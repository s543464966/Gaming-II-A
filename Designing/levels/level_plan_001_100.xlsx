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1b849ce6a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卡总表" sheetId="1" r:id="Rbc2f678d2f5d47cc"/>
    <x:sheet xmlns:r="http://schemas.openxmlformats.org/officeDocument/2006/relationships" name="口径与检查" sheetId="2" r:id="Re55442e937794f26"/>
    <x:sheet xmlns:r="http://schemas.openxmlformats.org/officeDocument/2006/relationships" name="装量配置" sheetId="3" r:id="R7336a035ab2e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0"/>
  </x:numFmts>
  <x:fonts count="9">
    <x:font>
      <x:sz val="11"/>
      <x:name val="Carlito"/>
    </x:font>
    <x:font>
      <x:sz val="10"/>
      <x:color rgb="FF243247"/>
      <x:name val="Arial"/>
    </x:font>
    <x:font>
      <x:b/>
      <x:sz val="17"/>
      <x:color rgb="FFFFFFFF"/>
      <x:name val="Arial"/>
    </x:font>
    <x:font>
      <x:sz val="10"/>
      <x:color rgb="FF63374B"/>
      <x:name val="Arial"/>
    </x:font>
    <x:font>
      <x:b/>
      <x:sz val="10"/>
      <x:color rgb="FFFFFFFF"/>
      <x:name val="Arial"/>
    </x:font>
    <x:font>
      <x:sz val="10"/>
      <x:color rgb="FF28425C"/>
      <x:name val="Arial"/>
    </x:font>
    <x:font>
      <x:sz val="10"/>
      <x:color rgb="FF233044"/>
      <x:name val="Arial"/>
    </x:font>
    <x:font>
      <x:b/>
      <x:sz val="16"/>
      <x:color rgb="FF2F4159"/>
      <x:name val="Arial"/>
    </x:font>
    <x:font>
      <x:sz val="10"/>
      <x:color rgb="FF65586B"/>
      <x:name val="Arial"/>
    </x:font>
  </x:fonts>
  <x:fills count="40">
    <x:fill>
      <x:patternFill patternType="none"/>
    </x:fill>
    <x:fill>
      <x:patternFill patternType="gray125"/>
    </x:fill>
    <x:fill>
      <x:patternFill patternType="solid">
        <x:fgColor rgb="FFC64772"/>
      </x:patternFill>
    </x:fill>
    <x:fill>
      <x:patternFill patternType="solid">
        <x:fgColor rgb="FFFFF0F5"/>
      </x:patternFill>
    </x:fill>
    <x:fill>
      <x:patternFill patternType="solid">
        <x:fgColor rgb="FF2F4159"/>
      </x:patternFill>
    </x:fill>
    <x:fill>
      <x:patternFill patternType="solid">
        <x:fgColor rgb="FFF8FAFC"/>
      </x:patternFill>
    </x:fill>
    <x:fill>
      <x:patternFill patternType="solid">
        <x:fgColor rgb="FFEEF4FA"/>
      </x:patternFill>
    </x:fill>
    <x:fill>
      <x:patternFill patternType="solid">
        <x:fgColor rgb="FFF5F8FC"/>
      </x:patternFill>
    </x:fill>
    <x:fill>
      <x:patternFill patternType="solid">
        <x:fgColor rgb="FFFFF7E8"/>
      </x:patternFill>
    </x:fill>
    <x:fill>
      <x:patternFill patternType="solid">
        <x:fgColor rgb="FFE7F5EF"/>
      </x:patternFill>
    </x:fill>
    <x:fill>
      <x:patternFill patternType="solid">
        <x:fgColor rgb="FFEFF2FA"/>
      </x:patternFill>
    </x:fill>
    <x:fill>
      <x:patternFill patternType="solid">
        <x:fgColor rgb="FF426B93"/>
      </x:patternFill>
    </x:fill>
    <x:fill>
      <x:patternFill patternType="solid">
        <x:fgColor rgb="FFEAF1F8"/>
      </x:patternFill>
    </x:fill>
    <x:fill>
      <x:patternFill patternType="solid">
        <x:fgColor rgb="FF2F4159"/>
      </x:patternFill>
    </x:fill>
    <x:fill>
      <x:patternFill patternType="solid">
        <x:fgColor rgb="FFF8FAFC"/>
      </x:patternFill>
    </x:fill>
    <x:fill>
      <x:patternFill patternType="solid">
        <x:fgColor rgb="FF2F4159"/>
      </x:patternFill>
    </x:fill>
    <x:fill>
      <x:patternFill patternType="solid">
        <x:fgColor rgb="FFF8FAFC"/>
      </x:patternFill>
    </x:fill>
    <x:fill>
      <x:patternFill patternType="solid">
        <x:fgColor rgb="FF2F4159"/>
      </x:patternFill>
    </x:fill>
    <x:fill>
      <x:patternFill patternType="solid">
        <x:fgColor rgb="FFF8FAFC"/>
      </x:patternFill>
    </x:fill>
    <x:fill>
      <x:patternFill patternType="solid">
        <x:fgColor rgb="FFF5F8FC"/>
      </x:patternFill>
    </x:fill>
    <x:fill>
      <x:patternFill patternType="solid">
        <x:fgColor rgb="FF2F4159"/>
      </x:patternFill>
    </x:fill>
    <x:fill>
      <x:patternFill patternType="solid">
        <x:fgColor rgb="FFF8FAFC"/>
      </x:patternFill>
    </x:fill>
    <x:fill>
      <x:patternFill patternType="solid">
        <x:fgColor rgb="FFFFF7E8"/>
      </x:patternFill>
    </x:fill>
    <x:fill>
      <x:patternFill patternType="solid">
        <x:fgColor rgb="FFF5F8FC"/>
      </x:patternFill>
    </x:fill>
    <x:fill>
      <x:patternFill patternType="solid">
        <x:fgColor rgb="FF2F4159"/>
      </x:patternFill>
    </x:fill>
    <x:fill>
      <x:patternFill patternType="solid">
        <x:fgColor rgb="FFF8FAFC"/>
      </x:patternFill>
    </x:fill>
    <x:fill>
      <x:patternFill patternType="solid">
        <x:fgColor rgb="FFFFF7E8"/>
      </x:patternFill>
    </x:fill>
    <x:fill>
      <x:patternFill patternType="solid">
        <x:fgColor rgb="FFF5F8FC"/>
      </x:patternFill>
    </x:fill>
    <x:fill>
      <x:patternFill patternType="solid">
        <x:fgColor rgb="FF2F4159"/>
      </x:patternFill>
    </x:fill>
    <x:fill>
      <x:patternFill patternType="solid">
        <x:fgColor rgb="FFF8FAFC"/>
      </x:patternFill>
    </x:fill>
    <x:fill>
      <x:patternFill patternType="solid">
        <x:fgColor rgb="FFFFF7E8"/>
      </x:patternFill>
    </x:fill>
    <x:fill>
      <x:patternFill patternType="solid">
        <x:fgColor rgb="FFF5F8FC"/>
      </x:patternFill>
    </x:fill>
    <x:fill>
      <x:patternFill patternType="solid">
        <x:fgColor rgb="FF2F4159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FFF4D9"/>
      </x:patternFill>
    </x:fill>
    <x:fill>
      <x:patternFill patternType="solid">
        <x:fgColor rgb="FF2D4056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FFF4D9"/>
      </x:patternFill>
    </x:fill>
  </x:fills>
  <x:borders count="2">
    <x:border/>
    <x:border>
      <x:top style="medium">
        <x:color rgb="FFC64772"/>
      </x:top>
    </x:border>
  </x:borders>
  <x:cellStyleXfs count="1">
    <x:xf numFmtId="0" fontId="0" fillId="0" borderId="0"/>
  </x:cellStyleXfs>
  <x:cellXfs count="15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9" borderId="1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8" borderId="1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1" fontId="1" fillId="8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1" fillId="14" borderId="1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/>
    <x:xf numFmtId="0" fontId="1" fillId="16" borderId="1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4" fillId="17" borderId="0" xfId="0" applyNumberFormat="1" applyFont="1" applyFill="1" applyBorder="1"/>
    <x:xf numFmtId="0" fontId="1" fillId="18" borderId="1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 wrapText="1"/>
    </x:xf>
    <x:xf numFmtId="0" fontId="4" fillId="20" borderId="0" xfId="0" applyNumberFormat="1" applyFont="1" applyFill="1" applyBorder="1"/>
    <x:xf numFmtId="0" fontId="1" fillId="21" borderId="1" xfId="0" applyNumberFormat="1" applyFont="1" applyFill="1" applyBorder="1" applyAlignment="1">
      <x:alignment vertical="center"/>
    </x:xf>
    <x:xf numFmtId="0" fontId="1" fillId="21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" fillId="22" borderId="0" xfId="0" applyNumberFormat="1" applyFont="1" applyFill="1" applyBorder="1" applyAlignment="1">
      <x:alignment vertical="center"/>
    </x:xf>
    <x:xf numFmtId="200" fontId="1" fillId="22" borderId="0" xfId="0" applyNumberFormat="1" applyFont="1" applyFill="1" applyBorder="1" applyAlignment="1">
      <x:alignment vertical="center"/>
    </x:xf>
    <x:xf numFmtId="200" fontId="1" fillId="21" borderId="0" xfId="0" applyNumberFormat="1" applyFont="1" applyFill="1" applyBorder="1" applyAlignment="1">
      <x:alignment vertical="center"/>
    </x:xf>
    <x:xf numFmtId="200" fontId="1" fillId="21" borderId="1" xfId="0" applyNumberFormat="1" applyFont="1" applyFill="1" applyBorder="1" applyAlignment="1">
      <x:alignment vertical="center"/>
    </x:xf>
    <x:xf numFmtId="0" fontId="1" fillId="23" borderId="0" xfId="0" applyNumberFormat="1" applyFont="1" applyFill="1" applyBorder="1" applyAlignment="1">
      <x:alignment vertical="center"/>
    </x:xf>
    <x:xf numFmtId="0" fontId="1" fillId="23" borderId="0" xfId="0" applyNumberFormat="1" applyFont="1" applyFill="1" applyBorder="1" applyAlignment="1">
      <x:alignment vertical="center" wrapText="1"/>
    </x:xf>
    <x:xf numFmtId="0" fontId="4" fillId="24" borderId="0" xfId="0" applyNumberFormat="1" applyFont="1" applyFill="1" applyBorder="1"/>
    <x:xf numFmtId="0" fontId="1" fillId="25" borderId="1" xfId="0" applyNumberFormat="1" applyFont="1" applyFill="1" applyBorder="1" applyAlignment="1">
      <x:alignment vertical="center"/>
    </x:xf>
    <x:xf numFmtId="0" fontId="1" fillId="25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" fillId="26" borderId="1" xfId="0" applyNumberFormat="1" applyFont="1" applyFill="1" applyBorder="1" applyAlignment="1">
      <x:alignment vertical="center"/>
    </x:xf>
    <x:xf numFmtId="200" fontId="1" fillId="26" borderId="1" xfId="0" applyNumberFormat="1" applyFont="1" applyFill="1" applyBorder="1" applyAlignment="1">
      <x:alignment vertical="center"/>
    </x:xf>
    <x:xf numFmtId="0" fontId="1" fillId="26" borderId="0" xfId="0" applyNumberFormat="1" applyFont="1" applyFill="1" applyBorder="1" applyAlignment="1">
      <x:alignment vertical="center"/>
    </x:xf>
    <x:xf numFmtId="200" fontId="1" fillId="26" borderId="0" xfId="0" applyNumberFormat="1" applyFont="1" applyFill="1" applyBorder="1" applyAlignment="1">
      <x:alignment vertical="center"/>
    </x:xf>
    <x:xf numFmtId="200" fontId="1" fillId="25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0" fillId="25" borderId="1" xfId="0" applyNumberFormat="1" applyFont="1" applyFill="1" applyBorder="1"/>
    <x:xf numFmtId="200" fontId="1" fillId="25" borderId="0" xfId="0" applyNumberFormat="1" applyFont="1" applyFill="1" applyBorder="1" applyAlignment="1">
      <x:alignment vertical="center"/>
    </x:xf>
    <x:xf numFmtId="0" fontId="0" fillId="2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 applyAlignment="1">
      <x:alignment vertical="center"/>
    </x:xf>
    <x:xf numFmtId="0" fontId="0" fillId="26" borderId="1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4" fillId="28" borderId="0" xfId="0" applyNumberFormat="1" applyFont="1" applyFill="1" applyBorder="1"/>
    <x:xf numFmtId="0" fontId="1" fillId="29" borderId="1" xfId="0" applyNumberFormat="1" applyFont="1" applyFill="1" applyBorder="1" applyAlignment="1">
      <x:alignment vertical="center"/>
    </x:xf>
    <x:xf numFmtId="0" fontId="1" fillId="29" borderId="0" xfId="0" applyNumberFormat="1" applyFont="1" applyFill="1" applyBorder="1" applyAlignment="1">
      <x:alignment vertical="center"/>
    </x:xf>
    <x:xf numFmtId="0" fontId="1" fillId="30" borderId="1" xfId="0" applyNumberFormat="1" applyFont="1" applyFill="1" applyBorder="1" applyAlignment="1">
      <x:alignment vertical="center"/>
    </x:xf>
    <x:xf numFmtId="200" fontId="1" fillId="30" borderId="1" xfId="0" applyNumberFormat="1" applyFont="1" applyFill="1" applyBorder="1" applyAlignment="1">
      <x:alignment vertical="center"/>
    </x:xf>
    <x:xf numFmtId="0" fontId="1" fillId="30" borderId="0" xfId="0" applyNumberFormat="1" applyFont="1" applyFill="1" applyBorder="1" applyAlignment="1">
      <x:alignment vertical="center"/>
    </x:xf>
    <x:xf numFmtId="200" fontId="1" fillId="30" borderId="0" xfId="0" applyNumberFormat="1" applyFont="1" applyFill="1" applyBorder="1" applyAlignment="1">
      <x:alignment vertical="center"/>
    </x:xf>
    <x:xf numFmtId="200" fontId="1" fillId="29" borderId="1" xfId="0" applyNumberFormat="1" applyFont="1" applyFill="1" applyBorder="1" applyAlignment="1">
      <x:alignment vertical="center"/>
    </x:xf>
    <x:xf numFmtId="0" fontId="0" fillId="29" borderId="1" xfId="0" applyNumberFormat="1" applyFont="1" applyFill="1" applyBorder="1" applyAlignment="1">
      <x:alignment vertical="center"/>
    </x:xf>
    <x:xf numFmtId="200" fontId="1" fillId="29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0" fillId="30" borderId="1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 applyAlignment="1">
      <x:alignment vertical="center"/>
    </x:xf>
    <x:xf numFmtId="0" fontId="1" fillId="31" borderId="0" xfId="0" applyNumberFormat="1" applyFont="1" applyFill="1" applyBorder="1" applyAlignment="1">
      <x:alignment vertical="center"/>
    </x:xf>
    <x:xf numFmtId="0" fontId="1" fillId="31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32" borderId="0" xfId="0" applyNumberFormat="1" applyFont="1" applyFill="1" applyBorder="1"/>
    <x:xf numFmtId="0" fontId="4" fillId="32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/>
    </x:xf>
    <x:xf numFmtId="201" fontId="6" fillId="5" borderId="1" xfId="0" applyNumberFormat="1" applyFont="1" applyFill="1" applyBorder="1" applyAlignment="1">
      <x:alignment vertical="center"/>
    </x:xf>
    <x:xf numFmtId="201" fontId="6" fillId="8" borderId="1" xfId="0" applyNumberFormat="1" applyFont="1" applyFill="1" applyBorder="1" applyAlignment="1">
      <x:alignment vertical="center"/>
    </x:xf>
    <x:xf numFmtId="200" fontId="6" fillId="8" borderId="1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8" borderId="0" xfId="0" applyNumberFormat="1" applyFont="1" applyFill="1" applyBorder="1" applyAlignment="1">
      <x:alignment vertical="center"/>
    </x:xf>
    <x:xf numFmtId="200" fontId="6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10" borderId="1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33" borderId="0" xfId="0" applyNumberFormat="1" applyFont="1" applyFill="1" applyBorder="1"/>
    <x:xf numFmtId="0" fontId="6" fillId="34" borderId="0" xfId="0" applyNumberFormat="1" applyFont="1" applyFill="1" applyBorder="1"/>
    <x:xf numFmtId="0" fontId="6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10" borderId="1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200" fontId="6" fillId="33" borderId="0" xfId="0" applyNumberFormat="1" applyFont="1" applyFill="1" applyBorder="1"/>
    <x:xf numFmtId="200" fontId="6" fillId="34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32" borderId="0" xfId="0" applyNumberFormat="1" applyFont="1" applyFill="1" applyBorder="1"/>
    <x:xf numFmtId="0" fontId="6" fillId="35" borderId="0" xfId="0" applyNumberFormat="1" applyFont="1" applyFill="1" applyBorder="1"/>
    <x:xf numFmtId="202" fontId="6" fillId="33" borderId="0" xfId="0" applyNumberFormat="1" applyFont="1" applyFill="1" applyBorder="1"/>
    <x:xf numFmtId="202" fontId="6" fillId="34" borderId="0" xfId="0" applyNumberFormat="1" applyFont="1" applyFill="1" applyBorder="1"/>
    <x:xf numFmtId="202" fontId="6" fillId="35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0" fillId="36" borderId="0" xfId="0" applyNumberFormat="1" applyFont="1" applyFill="1" applyBorder="1" applyAlignment="1">
      <x:alignment wrapText="1"/>
    </x:xf>
    <x:xf numFmtId="0" fontId="6" fillId="37" borderId="0" xfId="0" applyNumberFormat="1" applyFont="1" applyFill="1" applyBorder="1"/>
    <x:xf numFmtId="0" fontId="6" fillId="37" borderId="0" xfId="0" applyNumberFormat="1" applyFont="1" applyFill="1" applyBorder="1" applyAlignment="1">
      <x:alignment wrapText="1"/>
    </x:xf>
    <x:xf numFmtId="0" fontId="6" fillId="38" borderId="0" xfId="0" applyNumberFormat="1" applyFont="1" applyFill="1" applyBorder="1"/>
    <x:xf numFmtId="0" fontId="6" fillId="38" borderId="0" xfId="0" applyNumberFormat="1" applyFont="1" applyFill="1" applyBorder="1" applyAlignment="1">
      <x:alignment wrapText="1"/>
    </x:xf>
    <x:xf numFmtId="202" fontId="6" fillId="37" borderId="0" xfId="0" applyNumberFormat="1" applyFont="1" applyFill="1" applyBorder="1"/>
    <x:xf numFmtId="202" fontId="6" fillId="38" borderId="0" xfId="0" applyNumberFormat="1" applyFont="1" applyFill="1" applyBorder="1"/>
    <x:xf numFmtId="202" fontId="6" fillId="0" borderId="0" xfId="0" applyNumberFormat="1" applyFont="1" applyFill="1" applyBorder="1"/>
    <x:xf numFmtId="202" fontId="6" fillId="39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1823"/>
      </x:font>
      <x:fill>
        <x:patternFill>
          <x:bgColor rgb="FFFFE0E0"/>
        </x:patternFill>
      </x:fill>
    </x:dxf>
    <x:dxf>
      <x:font>
        <x:b/>
        <x:color rgb="FF9C1823"/>
      </x:font>
      <x:fill>
        <x:patternFill patternType="solid">
          <x:bgColor rgb="FFFF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917ff25fd4580" /><Relationship Type="http://schemas.openxmlformats.org/officeDocument/2006/relationships/theme" Target="/xl/theme/theme1.xml" Id="Rafd17447fc93466e" /><Relationship Type="http://schemas.openxmlformats.org/officeDocument/2006/relationships/sharedStrings" Target="/xl/sharedStrings.xml" Id="R82295570282e4988" /><Relationship Type="http://schemas.openxmlformats.org/officeDocument/2006/relationships/worksheet" Target="/xl/worksheets/sheet1.xml" Id="Rbc2f678d2f5d47cc" /><Relationship Type="http://schemas.openxmlformats.org/officeDocument/2006/relationships/worksheet" Target="/xl/worksheets/sheet2.xml" Id="Re55442e937794f26" /><Relationship Type="http://schemas.openxmlformats.org/officeDocument/2006/relationships/worksheet" Target="/xl/worksheets/sheet3.xml" Id="R7336a035ab2e45e8" /></Relationships>
</file>

<file path=xl/tables/table1.xml><?xml version="1.0" encoding="utf-8"?>
<x:table xmlns:x="http://schemas.openxmlformats.org/spreadsheetml/2006/main" id="1" name="LevelNumericMaster" displayName="LevelNumericMaster" ref="A5:BF105" headerRowCount="1" totalsRowCount="0" totalsRowShown="0">
  <x:tableColumns count="58">
    <x:tableColumn id="1" name="关卡"/>
    <x:tableColumn id="2" name="阶段"/>
    <x:tableColumn id="3" name="关卡角色"/>
    <x:tableColumn id="4" name="目标难度1-5"/>
    <x:tableColumn id="5" name="主要压力"/>
    <x:tableColumn id="6" name="次要压力"/>
    <x:tableColumn id="7" name="摆位"/>
    <x:tableColumn id="8" name="口味数"/>
    <x:tableColumn id="9" name="初始非空四格盒"/>
    <x:tableColumn id="10" name="备货盒"/>
    <x:tableColumn id="11" name="需回收盒"/>
    <x:tableColumn id="12" name="初始空四格盒（含受限）"/>
    <x:tableColumn id="13" name="单颗暂存盒总数"/>
    <x:tableColumn id="14" name="广告锁定周转位"/>
    <x:tableColumn id="15" name="同屏总盒位"/>
    <x:tableColumn id="16" name="开局通用空位"/>
    <x:tableColumn id="17" name="层序交错1-5"/>
    <x:tableColumn id="18" name="隐藏层占比"/>
    <x:tableColumn id="19" name="AABB占比上限"/>
    <x:tableColumn id="20" name="需求顺序压力1-5"/>
    <x:tableColumn id="21" name="备货顺序压力1-5"/>
    <x:tableColumn id="22" name="主机制"/>
    <x:tableColumn id="23" name="副机制"/>
    <x:tableColumn id="24" name="特殊盒配置摘要"/>
    <x:tableColumn id="25" name="总甜甜圈"/>
    <x:tableColumn id="26" name="装量与容量校验"/>
    <x:tableColumn id="27" name="无广告解法"/>
    <x:tableColumn id="28" name="无广告最短搬运"/>
    <x:tableColumn id="29" name="只开周转位A最短搬运"/>
    <x:tableColumn id="30" name="无广告首试通过率目标"/>
    <x:tableColumn id="31" name="目标中位时长(分)"/>
    <x:tableColumn id="32" name="实测首试通关率"/>
    <x:tableColumn id="33" name="实测中位时长"/>
    <x:tableColumn id="34" name="实测广告选择率"/>
    <x:tableColumn id="35" name="配置状态"/>
    <x:tableColumn id="36" name="关卡调校说明"/>
    <x:tableColumn id="37" name="构图建议"/>
    <x:tableColumn id="38" name="辅助档位（盒）"/>
    <x:tableColumn id="39" name="辅助首试通过率目标"/>
    <x:tableColumn id="40" name="解锁两盒最短搬运"/>
    <x:tableColumn id="41" name="辅助首试通过率实测"/>
    <x:tableColumn id="42" name="辅助验证状态"/>
    <x:tableColumn id="43" name="只开周转位B最短搬运"/>
    <x:tableColumn id="44" name="初始甜甜圈"/>
    <x:tableColumn id="45" name="普通装料盒装满度"/>
    <x:tableColumn id="46" name="可取放非空余格"/>
    <x:tableColumn id="47" name="受限接收余格"/>
    <x:tableColumn id="48" name="机关锁住余格"/>
    <x:tableColumn id="49" name="相邻同味对占比上限"/>
    <x:tableColumn id="50" name="首归纳搬运下限目标"/>
    <x:tableColumn id="51" name="开局一步归纳盒上限"/>
    <x:tableColumn id="52" name="特殊盒数"/>
    <x:tableColumn id="53" name="特殊盒类型数"/>
    <x:tableColumn id="54" name="前置锁盒数"/>
    <x:tableColumn id="55" name="数字扣数总需求"/>
    <x:tableColumn id="56" name="机制作用目标"/>
    <x:tableColumn id="57" name="中段腾位检查目标"/>
    <x:tableColumn id="58" name="中段验证状态"/>
  </x:tableColumns>
  <x:tableStyleInfo name="TableStyleMedium2" showFirstColumn="0" showLastColumn="0" showRowStripes="1" showColumnStripes="0"/>
</x:table>
</file>

<file path=xl/tables/table2.xml><?xml version="1.0" encoding="utf-8"?>
<ns0:table xmlns:ns0="http://schemas.openxmlformats.org/spreadsheetml/2006/main" id="2" name="LevelFillConfiguration" displayName="LevelFillConfiguration" ref="A5:R718" headerRowCount="1" totalsRowCount="0" totalsRowShown="0">
  <ns0:tableColumns count="18">
    <ns0:tableColumn id="1" name="关卡"/>
    <ns0:tableColumn id="2" name="入场"/>
    <ns0:tableColumn id="3" name="配置组"/>
    <ns0:tableColumn id="4" name="盒型"/>
    <ns0:tableColumn id="5" name="盒数"/>
    <ns0:tableColumn id="6" name="容量"/>
    <ns0:tableColumn id="7" name="每盒初始颗数"/>
    <ns0:tableColumn id="8" name="每盒数字"/>
    <ns0:tableColumn id="9" name="甜甜圈数"/>
    <ns0:tableColumn id="10" name="剩余容量"/>
    <ns0:tableColumn id="11" name="通用空位"/>
    <ns0:tableColumn id="12" name="可取放非空余格"/>
    <ns0:tableColumn id="13" name="受限接收余格"/>
    <ns0:tableColumn id="14" name="机关锁住余格"/>
    <ns0:tableColumn id="15" name="装量校验"/>
    <ns0:tableColumn id="16" name="配置用途"/>
    <ns0:tableColumn id="17" name="口味与层序"/>
    <ns0:tableColumn id="18" name="数字扣数需求"/>
  </ns0:tableColumns>
  <ns0:tableStyleInfo name="TableStyleMedium2" showFirstColumn="0" showLastColumn="0" showRowStripes="1" showColumnStripes="0"/>
</ns0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7b52514708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5eb75f60e047fe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D65A82"/>
  </ns0:sheetPr>
  <ns0:sheetViews>
    <ns0:sheetView showGridLines="0" workbookViewId="0">
      <ns0:pane xSplit="1" ySplit="5" topLeftCell="B6" activePane="bottomRight" state="frozen"/>
    </ns0:sheetView>
  </ns0:sheetViews>
  <ns0:sheetFormatPr defaultRowHeight="15"/>
  <ns0:cols>
    <ns0:col min="1" max="1" width="9" hidden="0" customWidth="1"/>
    <ns0:col min="2" max="2" width="20" hidden="0" customWidth="1"/>
    <ns0:col min="3" max="3" width="16" hidden="0" customWidth="1"/>
    <ns0:col min="4" max="4" width="15" hidden="0" customWidth="1"/>
    <ns0:col min="5" max="5" width="16" hidden="0" customWidth="1"/>
    <ns0:col min="6" max="6" width="16" hidden="0" customWidth="1"/>
    <ns0:col min="7" max="7" width="10" hidden="0" customWidth="1"/>
    <ns0:col min="8" max="8" width="14" hidden="0" customWidth="1"/>
    <ns0:col min="9" max="9" width="14" hidden="0" customWidth="1"/>
    <ns0:col min="10" max="10" width="14" hidden="0" customWidth="1"/>
    <ns0:col min="11" max="11" width="14" hidden="0" customWidth="1"/>
    <ns0:col min="12" max="12" width="19.5" hidden="0" customWidth="1"/>
    <ns0:col min="13" max="13" width="14" hidden="0" customWidth="1"/>
    <ns0:col min="14" max="14" width="14" hidden="0" customWidth="1"/>
    <ns0:col min="15" max="15" width="14" hidden="0" customWidth="1"/>
    <ns0:col min="16" max="16" width="16.75" hidden="0" customWidth="1"/>
    <ns0:col min="17" max="17" width="17" hidden="0" customWidth="1"/>
    <ns0:col min="18" max="18" width="17" hidden="0" customWidth="1"/>
    <ns0:col min="19" max="19" width="17" hidden="0" customWidth="1"/>
    <ns0:col min="20" max="20" width="17" hidden="0" customWidth="1"/>
    <ns0:col min="21" max="21" width="17" hidden="0" customWidth="1"/>
    <ns0:col min="22" max="22" width="18" hidden="0" customWidth="1"/>
    <ns0:col min="23" max="23" width="35" hidden="0" customWidth="1"/>
    <ns0:col min="24" max="24" width="60" hidden="0" customWidth="1"/>
    <ns0:col min="25" max="25" width="18" hidden="0" customWidth="1"/>
    <ns0:col min="26" max="26" width="21.25" hidden="0" customWidth="1"/>
    <ns0:col min="27" max="27" width="18" hidden="0" customWidth="1"/>
    <ns0:col min="28" max="28" width="18" hidden="0" customWidth="1"/>
    <ns0:col min="29" max="29" width="18" hidden="0" customWidth="1"/>
    <ns0:col min="30" max="30" width="20.25" hidden="0" customWidth="1"/>
    <ns0:col min="31" max="31" width="18" hidden="0" customWidth="1"/>
    <ns0:col min="32" max="32" width="18" hidden="0" customWidth="1"/>
    <ns0:col min="33" max="33" width="18" hidden="0" customWidth="1"/>
    <ns0:col min="34" max="34" width="18" hidden="0" customWidth="1"/>
    <ns0:col min="35" max="35" width="18" hidden="0" customWidth="1"/>
    <ns0:col min="36" max="36" width="51.25" hidden="0" customWidth="1"/>
    <ns0:col min="37" max="37" width="20" hidden="0" customWidth="1"/>
    <ns0:col min="38" max="38" width="19" hidden="0" customWidth="1"/>
    <ns0:col min="39" max="39" width="19" hidden="0" customWidth="1"/>
    <ns0:col min="40" max="40" width="19" hidden="0" customWidth="1"/>
    <ns0:col min="41" max="41" width="19" hidden="0" customWidth="1"/>
    <ns0:col min="42" max="42" width="22.25" hidden="0" customWidth="1"/>
    <ns0:col min="43" max="43" width="20" hidden="0" customWidth="1"/>
    <ns0:col min="44" max="44" width="16.75" hidden="0" customWidth="1"/>
    <ns0:col min="45" max="45" width="16.75" hidden="0" customWidth="1"/>
    <ns0:col min="46" max="46" width="16.75" hidden="0" customWidth="1"/>
    <ns0:col min="47" max="47" width="16.75" hidden="0" customWidth="1"/>
    <ns0:col min="48" max="48" width="16.75" hidden="0" customWidth="1"/>
    <ns0:col min="49" max="49" width="16.75" hidden="0" customWidth="1"/>
    <ns0:col min="50" max="50" width="16.75" hidden="0" customWidth="1"/>
    <ns0:col min="51" max="51" width="16.75" hidden="0" customWidth="1"/>
    <ns0:col min="52" max="52" width="16.75" hidden="0" customWidth="1"/>
    <ns0:col min="53" max="53" width="16.25" hidden="0" customWidth="1"/>
    <ns0:col min="54" max="54" width="16.25" hidden="0" customWidth="1"/>
    <ns0:col min="55" max="55" width="16.25" hidden="0" customWidth="1"/>
    <ns0:col min="56" max="56" width="82.5" hidden="0" customWidth="1"/>
    <ns0:col min="57" max="57" width="21.8799991607666" hidden="0" customWidth="1"/>
    <ns0:col min="58" max="58" width="21.8799991607666" hidden="0" customWidth="1"/>
  </ns0:cols>
  <ns0:sheetData>
    <ns0:row r="1">
      <ns0:c r="A1" s="1"/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  <ns0:c r="M1" s="1"/>
      <ns0:c r="N1" s="1"/>
      <ns0:c r="O1" s="1"/>
      <ns0:c r="P1" s="1"/>
      <ns0:c r="Q1" s="1"/>
      <ns0:c r="R1" s="1"/>
      <ns0:c r="S1" s="1"/>
      <ns0:c r="T1" s="1"/>
      <ns0:c r="U1" s="1"/>
      <ns0:c r="V1" s="1"/>
      <ns0:c r="W1" s="1"/>
      <ns0:c r="X1" s="1"/>
      <ns0:c r="Y1" s="1"/>
      <ns0:c r="Z1" s="1"/>
      <ns0:c r="AA1" s="1"/>
      <ns0:c r="AB1" s="1"/>
      <ns0:c r="AC1" s="1"/>
      <ns0:c r="AD1" s="1"/>
      <ns0:c r="AE1" s="1"/>
      <ns0:c r="AF1" s="1"/>
      <ns0:c r="AG1" s="1"/>
      <ns0:c r="AH1" s="1"/>
      <ns0:c r="AI1" s="1"/>
      <ns0:c r="AJ1" s="1"/>
    </ns0:row>
    <ns0:row r="2" ht="32" customHeight="1">
      <ns0:c r="A2" s="3" t="str">
        <ns0:v>1—100关关卡数值总表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3"/>
      <ns0:c r="Q2" s="1"/>
      <ns0:c r="R2" s="1"/>
      <ns0:c r="S2" s="1"/>
      <ns0:c r="T2" s="1"/>
      <ns0:c r="U2" s="1"/>
      <ns0:c r="V2" s="1"/>
      <ns0:c r="W2" s="1"/>
      <ns0:c r="X2" s="1"/>
      <ns0:c r="Y2" s="1"/>
      <ns0:c r="Z2" s="1"/>
      <ns0:c r="AA2" s="1"/>
      <ns0:c r="AB2" s="1"/>
      <ns0:c r="AC2" s="1"/>
      <ns0:c r="AD2" s="1"/>
      <ns0:c r="AE2" s="1"/>
      <ns0:c r="AF2" s="1"/>
      <ns0:c r="AG2" s="1"/>
      <ns0:c r="AH2" s="1"/>
      <ns0:c r="AI2" s="1"/>
      <ns0:c r="AJ2" s="1"/>
    </ns0:row>
    <ns0:row r="3" ht="25" customHeight="1">
      <ns0:c r="A3" s="5" t="str">
        <ns0:v>机制复用试配R2（2026-09-30）：提前教学并复用特殊盒；30关备货，93关一盒辅助／7关两盒辅助。新层序与可解性待验证。</ns0:v>
      </ns0:c>
      <ns0:c r="B3" s="5"/>
      <ns0:c r="C3" s="5"/>
      <ns0:c r="D3" s="5"/>
      <ns0:c r="E3" s="5"/>
      <ns0:c r="F3" s="5"/>
      <ns0:c r="G3" s="5"/>
      <ns0:c r="H3" s="5"/>
      <ns0:c r="I3" s="5"/>
      <ns0:c r="J3" s="5"/>
      <ns0:c r="K3" s="5"/>
      <ns0:c r="L3" s="5"/>
      <ns0:c r="M3" s="5"/>
      <ns0:c r="N3" s="5"/>
      <ns0:c r="O3" s="5"/>
      <ns0:c r="P3" s="5"/>
      <ns0:c r="Q3" s="1"/>
      <ns0:c r="R3" s="1"/>
      <ns0:c r="S3" s="1"/>
      <ns0:c r="T3" s="1"/>
      <ns0:c r="U3" s="1"/>
      <ns0:c r="V3" s="1"/>
      <ns0:c r="W3" s="1"/>
      <ns0:c r="X3" s="1"/>
      <ns0:c r="Y3" s="1"/>
      <ns0:c r="Z3" s="1"/>
      <ns0:c r="AA3" s="1"/>
      <ns0:c r="AB3" s="1"/>
      <ns0:c r="AC3" s="1"/>
      <ns0:c r="AD3" s="1"/>
      <ns0:c r="AE3" s="1"/>
      <ns0:c r="AF3" s="1"/>
      <ns0:c r="AG3" s="1"/>
      <ns0:c r="AH3" s="1"/>
      <ns0:c r="AI3" s="1"/>
      <ns0:c r="AJ3" s="1"/>
    </ns0:row>
    <ns0:row r="4">
      <ns0:c r="A4" s="1"/>
      <ns0:c r="B4" s="1"/>
      <ns0:c r="C4" s="1"/>
      <ns0:c r="D4" s="1"/>
      <ns0:c r="E4" s="1"/>
      <ns0:c r="F4" s="1"/>
      <ns0:c r="G4" s="1"/>
      <ns0:c r="H4" s="1"/>
      <ns0:c r="I4" s="1"/>
      <ns0:c r="J4" s="1"/>
      <ns0:c r="K4" s="1"/>
      <ns0:c r="L4" s="1"/>
      <ns0:c r="M4" s="1"/>
      <ns0:c r="N4" s="1"/>
      <ns0:c r="O4" s="1"/>
      <ns0:c r="P4" s="1"/>
      <ns0:c r="Q4" s="1"/>
      <ns0:c r="R4" s="1"/>
      <ns0:c r="S4" s="1"/>
      <ns0:c r="T4" s="1"/>
      <ns0:c r="U4" s="1"/>
      <ns0:c r="V4" s="1"/>
      <ns0:c r="W4" s="1"/>
      <ns0:c r="X4" s="1"/>
      <ns0:c r="Y4" s="1"/>
      <ns0:c r="Z4" s="1"/>
      <ns0:c r="AA4" s="1"/>
      <ns0:c r="AB4" s="1"/>
      <ns0:c r="AC4" s="1"/>
      <ns0:c r="AD4" s="1"/>
      <ns0:c r="AE4" s="1"/>
      <ns0:c r="AF4" s="1"/>
      <ns0:c r="AG4" s="1"/>
      <ns0:c r="AH4" s="1"/>
      <ns0:c r="AI4" s="1"/>
      <ns0:c r="AJ4" s="1"/>
    </ns0:row>
    <ns0:row r="5" ht="36" customHeight="1">
      <ns0:c r="A5" s="96" t="str">
        <ns0:v>关卡</ns0:v>
      </ns0:c>
      <ns0:c r="B5" s="96" t="str">
        <ns0:v>阶段</ns0:v>
      </ns0:c>
      <ns0:c r="C5" s="96" t="str">
        <ns0:v>关卡角色</ns0:v>
      </ns0:c>
      <ns0:c r="D5" s="96" t="str">
        <ns0:v>目标难度1-5</ns0:v>
      </ns0:c>
      <ns0:c r="E5" s="96" t="str">
        <ns0:v>主要压力</ns0:v>
      </ns0:c>
      <ns0:c r="F5" s="96" t="str">
        <ns0:v>次要压力</ns0:v>
      </ns0:c>
      <ns0:c r="G5" s="96" t="str">
        <ns0:v>摆位</ns0:v>
      </ns0:c>
      <ns0:c r="H5" s="96" t="str">
        <ns0:v>口味数</ns0:v>
      </ns0:c>
      <ns0:c r="I5" s="96" t="str">
        <ns0:v>初始非空四格盒</ns0:v>
      </ns0:c>
      <ns0:c r="J5" s="96" t="str">
        <ns0:v>备货盒</ns0:v>
      </ns0:c>
      <ns0:c r="K5" s="96" t="str">
        <ns0:v>需回收盒</ns0:v>
      </ns0:c>
      <ns0:c r="L5" s="96" t="str">
        <ns0:v>初始空四格盒（含受限）</ns0:v>
      </ns0:c>
      <ns0:c r="M5" s="96" t="str">
        <ns0:v>单颗暂存盒总数</ns0:v>
      </ns0:c>
      <ns0:c r="N5" s="96" t="str">
        <ns0:v>广告锁定周转位</ns0:v>
      </ns0:c>
      <ns0:c r="O5" s="96" t="str">
        <ns0:v>同屏总盒位</ns0:v>
      </ns0:c>
      <ns0:c r="P5" s="96" t="str">
        <ns0:v>开局通用空位</ns0:v>
      </ns0:c>
      <ns0:c r="Q5" s="96" t="str">
        <ns0:v>层序交错1-5</ns0:v>
      </ns0:c>
      <ns0:c r="R5" s="96" t="str">
        <ns0:v>隐藏层占比</ns0:v>
      </ns0:c>
      <ns0:c r="S5" s="96" t="str">
        <ns0:v>AABB占比上限</ns0:v>
      </ns0:c>
      <ns0:c r="T5" s="96" t="str">
        <ns0:v>需求顺序压力1-5</ns0:v>
      </ns0:c>
      <ns0:c r="U5" s="96" t="str">
        <ns0:v>备货顺序压力1-5</ns0:v>
      </ns0:c>
      <ns0:c r="V5" s="96" t="str">
        <ns0:v>主机制</ns0:v>
      </ns0:c>
      <ns0:c r="W5" s="96" t="str">
        <ns0:v>副机制</ns0:v>
      </ns0:c>
      <ns0:c r="X5" s="96" t="str">
        <ns0:v>特殊盒配置摘要</ns0:v>
      </ns0:c>
      <ns0:c r="Y5" s="96" t="str">
        <ns0:v>总甜甜圈</ns0:v>
      </ns0:c>
      <ns0:c r="Z5" s="96" t="str">
        <ns0:v>装量与容量校验</ns0:v>
      </ns0:c>
      <ns0:c r="AA5" s="96" t="str">
        <ns0:v>无广告解法</ns0:v>
      </ns0:c>
      <ns0:c r="AB5" s="96" t="str">
        <ns0:v>无广告最短搬运</ns0:v>
      </ns0:c>
      <ns0:c r="AC5" s="96" t="str">
        <ns0:v>只开周转位A最短搬运</ns0:v>
      </ns0:c>
      <ns0:c r="AD5" s="96" t="str">
        <ns0:v>无广告首试通过率目标</ns0:v>
      </ns0:c>
      <ns0:c r="AE5" s="96" t="str">
        <ns0:v>目标中位时长(分)</ns0:v>
      </ns0:c>
      <ns0:c r="AF5" s="96" t="str">
        <ns0:v>实测首试通关率</ns0:v>
      </ns0:c>
      <ns0:c r="AG5" s="96" t="str">
        <ns0:v>实测中位时长</ns0:v>
      </ns0:c>
      <ns0:c r="AH5" s="96" t="str">
        <ns0:v>实测广告选择率</ns0:v>
      </ns0:c>
      <ns0:c r="AI5" s="96" t="str">
        <ns0:v>配置状态</ns0:v>
      </ns0:c>
      <ns0:c r="AJ5" s="96" t="str">
        <ns0:v>关卡调校说明</ns0:v>
      </ns0:c>
      <ns0:c r="AK5" s="96" t="str">
        <ns0:v>构图建议</ns0:v>
      </ns0:c>
      <ns0:c r="AL5" s="96" t="str">
        <ns0:v>辅助档位（盒）</ns0:v>
      </ns0:c>
      <ns0:c r="AM5" s="96" t="str">
        <ns0:v>辅助首试通过率目标</ns0:v>
      </ns0:c>
      <ns0:c r="AN5" s="96" t="str">
        <ns0:v>解锁两盒最短搬运</ns0:v>
      </ns0:c>
      <ns0:c r="AO5" s="96" t="str">
        <ns0:v>辅助首试通过率实测</ns0:v>
      </ns0:c>
      <ns0:c r="AP5" s="96" t="str">
        <ns0:v>辅助验证状态</ns0:v>
      </ns0:c>
      <ns0:c r="AQ5" s="96" t="str">
        <ns0:v>只开周转位B最短搬运</ns0:v>
      </ns0:c>
      <ns0:c r="AR5" s="96" t="str">
        <ns0:v>初始甜甜圈</ns0:v>
      </ns0:c>
      <ns0:c r="AS5" s="96" t="str">
        <ns0:v>普通装料盒装满度</ns0:v>
      </ns0:c>
      <ns0:c r="AT5" s="96" t="str">
        <ns0:v>可取放非空余格</ns0:v>
      </ns0:c>
      <ns0:c r="AU5" s="96" t="str">
        <ns0:v>受限接收余格</ns0:v>
      </ns0:c>
      <ns0:c r="AV5" s="96" t="str">
        <ns0:v>机关锁住余格</ns0:v>
      </ns0:c>
      <ns0:c r="AW5" s="96" t="str">
        <ns0:v>相邻同味对占比上限</ns0:v>
      </ns0:c>
      <ns0:c r="AX5" s="96" t="str">
        <ns0:v>首归纳搬运下限目标</ns0:v>
      </ns0:c>
      <ns0:c r="AY5" s="96" t="str">
        <ns0:v>开局一步归纳盒上限</ns0:v>
      </ns0:c>
      <ns0:c r="AZ5" s="96" t="str">
        <ns0:v>特殊盒数</ns0:v>
      </ns0:c>
      <ns0:c r="BA5" s="143" t="str">
        <ns0:v>特殊盒类型数</ns0:v>
      </ns0:c>
      <ns0:c r="BB5" s="143" t="str">
        <ns0:v>前置锁盒数</ns0:v>
      </ns0:c>
      <ns0:c r="BC5" s="143" t="str">
        <ns0:v>数字扣数总需求</ns0:v>
      </ns0:c>
      <ns0:c r="BD5" s="144" t="str">
        <ns0:v>机制作用目标</ns0:v>
      </ns0:c>
      <ns0:c r="BE5" s="144" t="str">
        <ns0:v>中段腾位检查目标</ns0:v>
      </ns0:c>
      <ns0:c r="BF5" s="144" t="str">
        <ns0:v>中段验证状态</ns0:v>
      </ns0:c>
    </ns0:row>
    <ns0:row r="6" ht="33" customHeight="1">
      <ns0:c r="A6" s="97" t="n">
        <ns0:v>1</ns0:v>
      </ns0:c>
      <ns0:c r="B6" s="97" t="str">
        <ns0:v>基础整理</ns0:v>
      </ns0:c>
      <ns0:c r="C6" s="122" t="str">
        <ns0:v>基础教学</ns0:v>
      </ns0:c>
      <ns0:c r="D6" s="100" t="n">
        <ns0:v>1</ns0:v>
      </ns0:c>
      <ns0:c r="E6" s="122" t="str">
        <ns0:v>机制理解</ns0:v>
      </ns0:c>
      <ns0:c r="F6" s="122" t="str">
        <ns0:v>层序交错</ns0:v>
      </ns0:c>
      <ns0:c r="G6" s="97" t="str">
        <ns0:v>整齐</ns0:v>
      </ns0:c>
      <ns0:c r="H6" s="97" t="n">
        <ns0:v>2</ns0:v>
      </ns0:c>
      <ns0:c r="I6" s="97" t="n">
        <ns0:f>SUMIFS('装量配置'!$E$6:$E$718,'装量配置'!$A$6:$A$718,A6,'装量配置'!$B$6:$B$718,"开局",'装量配置'!$F$6:$F$718,4,'装量配置'!$G$6:$G$718,"&gt;0")</ns0:f>
        <ns0:v>4</ns0:v>
      </ns0:c>
      <ns0:c r="J6" s="97" t="n">
        <ns0:f>SUMIFS('装量配置'!$E$6:$E$718,'装量配置'!$A$6:$A$718,A6,'装量配置'!$B$6:$B$718,"备货")</ns0:f>
        <ns0:v>0</ns0:v>
      </ns0:c>
      <ns0:c r="K6" s="97" t="n">
        <ns0:v>3</ns0:v>
      </ns0:c>
      <ns0:c r="L6" s="97" t="n">
        <ns0:f>SUMIFS('装量配置'!$E$6:$E$718,'装量配置'!$A$6:$A$718,A6,'装量配置'!$B$6:$B$718,"开局",'装量配置'!$F$6:$F$718,4,'装量配置'!$G$6:$G$718,0,'装量配置'!$D$6:$D$718,"&lt;&gt;广告锁定周转盒")</ns0:f>
        <ns0:v>2</ns0:v>
      </ns0:c>
      <ns0:c r="M6" s="97" t="n">
        <ns0:f>SUMIFS('装量配置'!$E$6:$E$718,'装量配置'!$A$6:$A$718,A6,'装量配置'!$B$6:$B$718,"开局",'装量配置'!$F$6:$F$718,1)</ns0:f>
        <ns0:v>0</ns0:v>
      </ns0:c>
      <ns0:c r="N6" s="97" t="n">
        <ns0:f>SUMIFS('装量配置'!$E$6:$E$718,'装量配置'!$A$6:$A$718,A6,'装量配置'!$B$6:$B$718,"开局",'装量配置'!$D$6:$D$718,"广告锁定周转盒")</ns0:f>
        <ns0:v>2</ns0:v>
      </ns0:c>
      <ns0:c r="O6" s="97" t="n">
        <ns0:f>SUMIFS('装量配置'!$E$6:$E$718,'装量配置'!$A$6:$A$718,A6,'装量配置'!$B$6:$B$718,"开局")</ns0:f>
        <ns0:v>8</ns0:v>
      </ns0:c>
      <ns0:c r="P6" s="97" t="n">
        <ns0:f>SUMIFS('装量配置'!$K$6:$K$718,'装量配置'!$A$6:$A$718,A6)</ns0:f>
        <ns0:v>8</ns0:v>
      </ns0:c>
      <ns0:c r="Q6" s="97" t="n">
        <ns0:v>1</ns0:v>
      </ns0:c>
      <ns0:c r="R6" s="98" t="n">
        <ns0:v>0</ns0:v>
      </ns0:c>
      <ns0:c r="S6" s="98" t="n">
        <ns0:v>0.3</ns0:v>
      </ns0:c>
      <ns0:c r="T6" s="97" t="n">
        <ns0:v>1</ns0:v>
      </ns0:c>
      <ns0:c r="U6" s="97" t="n">
        <ns0:v>0</ns0:v>
      </ns0:c>
      <ns0:c r="V6" s="122" t="str">
        <ns0:v>基础整理</ns0:v>
      </ns0:c>
      <ns0:c r="W6" s="122"/>
      <ns0:c r="X6" s="122" t="str">
        <ns0:v>无特殊盒</ns0:v>
      </ns0:c>
      <ns0:c r="Y6" s="97" t="n">
        <ns0:f>SUMIFS('装量配置'!$I$6:$I$718,'装量配置'!$A$6:$A$718,A6)</ns0:f>
        <ns0:v>12</ns0:v>
      </ns0:c>
      <ns0:c r="Z6" s="97" t="str">
        <ns0:f>IF(AND(O6&lt;=25,N6=2,Y6=K6*4,H6&lt;=K6,P6+AT6&gt;=4,COUNTIFS('装量配置'!$A$6:$A$718,A6,'装量配置'!$O$6:$O$718,"需调整")=0),"装量通过；待逐味","需调整")</ns0:f>
        <ns0:v>装量通过；待逐味</ns0:v>
      </ns0:c>
      <ns0:c r="AA6" s="99" t="str">
        <ns0:v>待新层序求解</ns0:v>
      </ns0:c>
      <ns0:c r="AB6" s="99"/>
      <ns0:c r="AC6" s="99"/>
      <ns0:c r="AD6" s="98" t="n">
        <ns0:v>0.88</ns0:v>
      </ns0:c>
      <ns0:c r="AE6" s="100" t="n">
        <ns0:v>1.5</ns0:v>
      </ns0:c>
      <ns0:c r="AF6" s="101"/>
      <ns0:c r="AG6" s="101"/>
      <ns0:c r="AH6" s="102"/>
      <ns0:c r="AI6" s="128" t="str">
        <ns0:v>R2装量试配；待层序</ns0:v>
      </ns0:c>
      <ns0:c r="AJ6" s="122" t="str">
        <ns0:v>首次教学，先展示本机制。无备货。</ns0:v>
      </ns0:c>
      <ns0:c r="AK6" s="122" t="str">
        <ns0:v>行列矩阵</ns0:v>
      </ns0:c>
      <ns0:c r="AL6" s="97" t="n">
        <ns0:v>1</ns0:v>
      </ns0:c>
      <ns0:c r="AM6" s="98" t="n">
        <ns0:v>0.9</ns0:v>
      </ns0:c>
      <ns0:c r="AN6" s="97"/>
      <ns0:c r="AO6" s="98"/>
      <ns0:c r="AP6" s="122" t="str">
        <ns0:v>R2四条件待求解</ns0:v>
      </ns0:c>
      <ns0:c r="AQ6" s="99"/>
      <ns0:c r="AR6" s="120" t="n">
        <ns0:f>SUMIFS('装量配置'!$I$6:$I$718,'装量配置'!$A$6:$A$718,A6,'装量配置'!$B$6:$B$718,"开局")</ns0:f>
        <ns0:v>12</ns0:v>
      </ns0:c>
      <ns0:c r="AS6" s="132" t="n">
        <ns0:f>SUMIFS('装量配置'!$I$6:$I$718,'装量配置'!$A$6:$A$718,A6,'装量配置'!$B$6:$B$718,"开局",'装量配置'!$D$6:$D$718,"普通盒",'装量配置'!$G$6:$G$718,"&gt;0")/(4*SUMIFS('装量配置'!$E$6:$E$718,'装量配置'!$A$6:$A$718,A6,'装量配置'!$B$6:$B$718,"开局",'装量配置'!$D$6:$D$718,"普通盒",'装量配置'!$G$6:$G$718,"&gt;0"))</ns0:f>
        <ns0:v>0.75</ns0:v>
      </ns0:c>
      <ns0:c r="AT6" s="120" t="n">
        <ns0:f>SUMIFS('装量配置'!$L$6:$L$718,'装量配置'!$A$6:$A$718,A6)</ns0:f>
        <ns0:v>4</ns0:v>
      </ns0:c>
      <ns0:c r="AU6" s="120" t="n">
        <ns0:f>SUMIFS('装量配置'!$M$6:$M$718,'装量配置'!$A$6:$A$718,A6)</ns0:f>
        <ns0:v>0</ns0:v>
      </ns0:c>
      <ns0:c r="AV6" s="120" t="n">
        <ns0:f>SUMIFS('装量配置'!$N$6:$N$718,'装量配置'!$A$6:$A$718,A6)</ns0:f>
        <ns0:v>0</ns0:v>
      </ns0:c>
      <ns0:c r="AW6" s="132" t="n">
        <ns0:v>0.5</ns0:v>
      </ns0:c>
      <ns0:c r="AX6" s="120" t="n">
        <ns0:v>1</ns0:v>
      </ns0:c>
      <ns0:c r="AY6" s="120" t="n">
        <ns0:f>IF(AX6=1,1,0)</ns0:f>
        <ns0:v>1</ns0:v>
      </ns0:c>
      <ns0:c r="AZ6" s="120" t="n">
        <ns0:f>SUMIFS('装量配置'!$E$6:$E$718,'装量配置'!$A$6:$A$718,A6,'装量配置'!$B$6:$B$718,"开局",'装量配置'!$D$6:$D$718,"&lt;&gt;普通盒",'装量配置'!$D$6:$D$718,"&lt;&gt;广告锁定周转盒")</ns0:f>
        <ns0:v>0</ns0:v>
      </ns0:c>
      <ns0:c r="BA6" s="149" t="n">
        <ns0:f>IF(COUNTIFS('装量配置'!$A$6:$A$718,A6,'装量配置'!$B$6:$B$718,"开局",'装量配置'!$D$6:$D$718,"数字盖盒",'装量配置'!$E$6:$E$718,"&gt;0")&gt;0,1,0)+IF(COUNTIFS('装量配置'!$A$6:$A$718,A6,'装量配置'!$B$6:$B$718,"开局",'装量配置'!$D$6:$D$718,"普通冰冻盒",'装量配置'!$E$6:$E$718,"&gt;0")&gt;0,1,0)+IF(COUNTIFS('装量配置'!$A$6:$A$718,A6,'装量配置'!$B$6:$B$718,"开局",'装量配置'!$D$6:$D$718,"单颗暂存盒",'装量配置'!$E$6:$E$718,"&gt;0")&gt;0,1,0)+IF(COUNTIFS('装量配置'!$A$6:$A$718,A6,'装量配置'!$B$6:$B$718,"开局",'装量配置'!$D$6:$D$718,"数字冰冻盒",'装量配置'!$E$6:$E$718,"&gt;0")&gt;0,1,0)+IF(COUNTIFS('装量配置'!$A$6:$A$718,A6,'装量配置'!$B$6:$B$718,"开局",'装量配置'!$D$6:$D$718,"固定颜色盒",'装量配置'!$E$6:$E$718,"&gt;0")&gt;0,1,0)+IF(COUNTIFS('装量配置'!$A$6:$A$718,A6,'装量配置'!$B$6:$B$718,"开局",'装量配置'!$D$6:$D$718,"单向收纳盒",'装量配置'!$E$6:$E$718,"&gt;0")&gt;0,1,0)+IF(COUNTIFS('装量配置'!$A$6:$A$718,A6,'装量配置'!$B$6:$B$718,"开局",'装量配置'!$D$6:$D$718,"底部置顶盒",'装量配置'!$E$6:$E$718,"&gt;0")&gt;0,1,0)+IF(COUNTIFS('装量配置'!$A$6:$A$718,A6,'装量配置'!$B$6:$B$718,"开局",'装量配置'!$D$6:$D$718,"炸弹盒",'装量配置'!$E$6:$E$718,"&gt;0")&gt;0,1,0)</ns0:f>
        <ns0:v>0</ns0:v>
      </ns0:c>
      <ns0:c r="BB6" s="149" t="n">
        <ns0:f>SUMIFS('装量配置'!$E$6:$E$718,'装量配置'!$A$6:$A$718,A6,'装量配置'!$B$6:$B$718,"开局",'装量配置'!$D$6:$D$718,"数字盖盒")+SUMIFS('装量配置'!$E$6:$E$718,'装量配置'!$A$6:$A$718,A6,'装量配置'!$B$6:$B$718,"开局",'装量配置'!$D$6:$D$718,"普通冰冻盒")+SUMIFS('装量配置'!$E$6:$E$718,'装量配置'!$A$6:$A$718,A6,'装量配置'!$B$6:$B$718,"开局",'装量配置'!$D$6:$D$718,"数字冰冻盒")</ns0:f>
        <ns0:v>0</ns0:v>
      </ns0:c>
      <ns0:c r="BC6" s="149" t="n">
        <ns0:f>SUMIFS('装量配置'!$R$6:$R$718,'装量配置'!$A$6:$A$718,A6,'装量配置'!$B$6:$B$718,"开局")</ns0:f>
        <ns0:v>0</ns0:v>
      </ns0:c>
      <ns0:c r="BD6" s="146" t="str">
        <ns0:v>练习先腾位再归纳，控制直接顺接机会</ns0:v>
      </ns0:c>
      <ns0:c r="BE6" s="149" t="n">
        <ns0:v>0</ns0:v>
      </ns0:c>
      <ns0:c r="BF6" s="146" t="str">
        <ns0:v>待生成局面与试玩</ns0:v>
      </ns0:c>
    </ns0:row>
    <ns0:row r="7" ht="33" customHeight="1">
      <ns0:c r="A7" s="105" t="n">
        <ns0:v>2</ns0:v>
      </ns0:c>
      <ns0:c r="B7" s="105" t="str">
        <ns0:v>参考图挑战</ns0:v>
      </ns0:c>
      <ns0:c r="C7" s="123" t="str">
        <ns0:v>七色腾位与数字冰冻</ns0:v>
      </ns0:c>
      <ns0:c r="D7" s="108" t="n">
        <ns0:v>3.5</ns0:v>
      </ns0:c>
      <ns0:c r="E7" s="123" t="str">
        <ns0:v>七色层序交错</ns0:v>
      </ns0:c>
      <ns0:c r="F7" s="123" t="str">
        <ns0:v>首次归纳解冻</ns0:v>
      </ns0:c>
      <ns0:c r="G7" s="105" t="str">
        <ns0:v>整齐</ns0:v>
      </ns0:c>
      <ns0:c r="H7" s="105" t="n">
        <ns0:v>7</ns0:v>
      </ns0:c>
      <ns0:c r="I7" s="105" t="n">
        <ns0:f>SUMIFS('装量配置'!$E$6:$E$718,'装量配置'!$A$6:$A$718,A7,'装量配置'!$B$6:$B$718,"开局",'装量配置'!$F$6:$F$718,4,'装量配置'!$G$6:$G$718,"&gt;0")</ns0:f>
        <ns0:v>10</ns0:v>
      </ns0:c>
      <ns0:c r="J7" s="105" t="n">
        <ns0:f>SUMIFS('装量配置'!$E$6:$E$718,'装量配置'!$A$6:$A$718,A7,'装量配置'!$B$6:$B$718,"备货")</ns0:f>
        <ns0:v>0</ns0:v>
      </ns0:c>
      <ns0:c r="K7" s="105" t="n">
        <ns0:v>9</ns0:v>
      </ns0:c>
      <ns0:c r="L7" s="105" t="n">
        <ns0:f>SUMIFS('装量配置'!$E$6:$E$718,'装量配置'!$A$6:$A$718,A7,'装量配置'!$B$6:$B$718,"开局",'装量配置'!$F$6:$F$718,4,'装量配置'!$G$6:$G$718,0,'装量配置'!$D$6:$D$718,"&lt;&gt;广告锁定周转盒")</ns0:f>
        <ns0:v>2</ns0:v>
      </ns0:c>
      <ns0:c r="M7" s="105" t="n">
        <ns0:f>SUMIFS('装量配置'!$E$6:$E$718,'装量配置'!$A$6:$A$718,A7,'装量配置'!$B$6:$B$718,"开局",'装量配置'!$F$6:$F$718,1)</ns0:f>
        <ns0:v>0</ns0:v>
      </ns0:c>
      <ns0:c r="N7" s="105" t="n">
        <ns0:f>SUMIFS('装量配置'!$E$6:$E$718,'装量配置'!$A$6:$A$718,A7,'装量配置'!$B$6:$B$718,"开局",'装量配置'!$D$6:$D$718,"广告锁定周转盒")</ns0:f>
        <ns0:v>2</ns0:v>
      </ns0:c>
      <ns0:c r="O7" s="105" t="n">
        <ns0:f>SUMIFS('装量配置'!$E$6:$E$718,'装量配置'!$A$6:$A$718,A7,'装量配置'!$B$6:$B$718,"开局")</ns0:f>
        <ns0:v>14</ns0:v>
      </ns0:c>
      <ns0:c r="P7" s="105" t="n">
        <ns0:f>SUMIFS('装量配置'!$K$6:$K$718,'装量配置'!$A$6:$A$718,A7)</ns0:f>
        <ns0:v>8</ns0:v>
      </ns0:c>
      <ns0:c r="Q7" s="105" t="n">
        <ns0:v>4</ns0:v>
      </ns0:c>
      <ns0:c r="R7" s="106" t="n">
        <ns0:v>0</ns0:v>
      </ns0:c>
      <ns0:c r="S7" s="106" t="n">
        <ns0:v>0</ns0:v>
      </ns0:c>
      <ns0:c r="T7" s="105" t="n">
        <ns0:v>3</ns0:v>
      </ns0:c>
      <ns0:c r="U7" s="105" t="n">
        <ns0:v>0</ns0:v>
      </ns0:c>
      <ns0:c r="V7" s="123" t="str">
        <ns0:v>数字冰冻盒</ns0:v>
      </ns0:c>
      <ns0:c r="W7" s="123"/>
      <ns0:c r="X7" s="123" t="str">
        <ns0:v>1只数字冰冻盒，数字1；首次四同味归纳解冻，不要求回收</ns0:v>
      </ns0:c>
      <ns0:c r="Y7" s="105" t="n">
        <ns0:f>SUMIFS('装量配置'!$I$6:$I$718,'装量配置'!$A$6:$A$718,A7)</ns0:f>
        <ns0:v>36</ns0:v>
      </ns0:c>
      <ns0:c r="Z7" s="105" t="str">
        <ns0:f>IF(AND(O7&lt;=25,N7=2,Y7=K7*4,H7&lt;=K7,P7+AT7&gt;=4,COUNTIFS('装量配置'!$A$6:$A$718,A7,'装量配置'!$O$6:$O$718,"需调整")=0),"装量通过；待逐味","需调整")</ns0:f>
        <ns0:v>装量通过；待逐味</ns0:v>
      </ns0:c>
      <ns0:c r="AA7" s="107" t="str">
        <ns0:v>已验证可行路线；未证明最短</ns0:v>
      </ns0:c>
      <ns0:c r="AB7" s="107"/>
      <ns0:c r="AC7" s="107"/>
      <ns0:c r="AD7" s="106" t="n">
        <ns0:v>0.68</ns0:v>
      </ns0:c>
      <ns0:c r="AE7" s="108" t="n">
        <ns0:v>1.5</ns0:v>
      </ns0:c>
      <ns0:c r="AF7" s="109"/>
      <ns0:c r="AG7" s="109"/>
      <ns0:c r="AH7" s="110"/>
      <ns0:c r="AI7" s="129" t="str">
        <ns0:v>参考图层序已接入；待玩家试玩</ns0:v>
      </ns0:c>
      <ns0:c r="AJ7" s="123" t="str">
        <ns0:v>用户确认：第二关改为七色参考图；固定层序，2免费空盒，2广告锁位</ns0:v>
      </ns0:c>
      <ns0:c r="AK7" s="123" t="str">
        <ns0:v>5/5/4连续居中，局内不重排</ns0:v>
      </ns0:c>
      <ns0:c r="AL7" s="105" t="n">
        <ns0:v>1</ns0:v>
      </ns0:c>
      <ns0:c r="AM7" s="106" t="n">
        <ns0:v>0.9</ns0:v>
      </ns0:c>
      <ns0:c r="AN7" s="107"/>
      <ns0:c r="AO7" s="110"/>
      <ns0:c r="AP7" s="123" t="str">
        <ns0:v>四条件可行路线已生成；待引擎重放</ns0:v>
      </ns0:c>
      <ns0:c r="AQ7" s="107"/>
      <ns0:c r="AR7" s="121" t="n">
        <ns0:f>SUMIFS('装量配置'!$I$6:$I$718,'装量配置'!$A$6:$A$718,A7,'装量配置'!$B$6:$B$718,"开局")</ns0:f>
        <ns0:v>36</ns0:v>
      </ns0:c>
      <ns0:c r="AS7" s="133" t="n">
        <ns0:f>SUMIFS('装量配置'!$I$6:$I$718,'装量配置'!$A$6:$A$718,A7,'装量配置'!$B$6:$B$718,"开局",'装量配置'!$D$6:$D$718,"普通盒",'装量配置'!$G$6:$G$718,"&gt;0")/(4*SUMIFS('装量配置'!$E$6:$E$718,'装量配置'!$A$6:$A$718,A7,'装量配置'!$B$6:$B$718,"开局",'装量配置'!$D$6:$D$718,"普通盒",'装量配置'!$G$6:$G$718,"&gt;0"))</ns0:f>
        <ns0:v>0.8888888888888888</ns0:v>
      </ns0:c>
      <ns0:c r="AT7" s="121" t="n">
        <ns0:f>SUMIFS('装量配置'!$L$6:$L$718,'装量配置'!$A$6:$A$718,A7)</ns0:f>
        <ns0:v>4</ns0:v>
      </ns0:c>
      <ns0:c r="AU7" s="121" t="n">
        <ns0:f>SUMIFS('装量配置'!$M$6:$M$718,'装量配置'!$A$6:$A$718,A7)</ns0:f>
        <ns0:v>0</ns0:v>
      </ns0:c>
      <ns0:c r="AV7" s="121" t="n">
        <ns0:f>SUMIFS('装量配置'!$N$6:$N$718,'装量配置'!$A$6:$A$718,A7)</ns0:f>
        <ns0:v>0</ns0:v>
      </ns0:c>
      <ns0:c r="AW7" s="133" t="n">
        <ns0:v>0.1</ns0:v>
      </ns0:c>
      <ns0:c r="AX7" s="121" t="n">
        <ns0:v>5</ns0:v>
      </ns0:c>
      <ns0:c r="AY7" s="121" t="n">
        <ns0:f>IF(AX7=1,1,0)</ns0:f>
        <ns0:v>1</ns0:v>
      </ns0:c>
      <ns0:c r="AZ7" s="121" t="n">
        <ns0:f>SUMIFS('装量配置'!$E$6:$E$718,'装量配置'!$A$6:$A$718,A7,'装量配置'!$B$6:$B$718,"开局",'装量配置'!$D$6:$D$718,"&lt;&gt;普通盒",'装量配置'!$D$6:$D$718,"&lt;&gt;广告锁定周转盒")</ns0:f>
        <ns0:v>1</ns0:v>
      </ns0:c>
      <ns0:c r="BA7" s="150" t="n">
        <ns0:f>IF(COUNTIFS('装量配置'!$A$6:$A$718,A7,'装量配置'!$B$6:$B$718,"开局",'装量配置'!$D$6:$D$718,"数字盖盒",'装量配置'!$E$6:$E$718,"&gt;0")&gt;0,1,0)+IF(COUNTIFS('装量配置'!$A$6:$A$718,A7,'装量配置'!$B$6:$B$718,"开局",'装量配置'!$D$6:$D$718,"普通冰冻盒",'装量配置'!$E$6:$E$718,"&gt;0")&gt;0,1,0)+IF(COUNTIFS('装量配置'!$A$6:$A$718,A7,'装量配置'!$B$6:$B$718,"开局",'装量配置'!$D$6:$D$718,"单颗暂存盒",'装量配置'!$E$6:$E$718,"&gt;0")&gt;0,1,0)+IF(COUNTIFS('装量配置'!$A$6:$A$718,A7,'装量配置'!$B$6:$B$718,"开局",'装量配置'!$D$6:$D$718,"数字冰冻盒",'装量配置'!$E$6:$E$718,"&gt;0")&gt;0,1,0)+IF(COUNTIFS('装量配置'!$A$6:$A$718,A7,'装量配置'!$B$6:$B$718,"开局",'装量配置'!$D$6:$D$718,"固定颜色盒",'装量配置'!$E$6:$E$718,"&gt;0")&gt;0,1,0)+IF(COUNTIFS('装量配置'!$A$6:$A$718,A7,'装量配置'!$B$6:$B$718,"开局",'装量配置'!$D$6:$D$718,"单向收纳盒",'装量配置'!$E$6:$E$718,"&gt;0")&gt;0,1,0)+IF(COUNTIFS('装量配置'!$A$6:$A$718,A7,'装量配置'!$B$6:$B$718,"开局",'装量配置'!$D$6:$D$718,"底部置顶盒",'装量配置'!$E$6:$E$718,"&gt;0")&gt;0,1,0)+IF(COUNTIFS('装量配置'!$A$6:$A$718,A7,'装量配置'!$B$6:$B$718,"开局",'装量配置'!$D$6:$D$718,"炸弹盒",'装量配置'!$E$6:$E$718,"&gt;0")&gt;0,1,0)</ns0:f>
        <ns0:v>1</ns0:v>
      </ns0:c>
      <ns0:c r="BB7" s="150" t="n">
        <ns0:f>SUMIFS('装量配置'!$E$6:$E$718,'装量配置'!$A$6:$A$718,A7,'装量配置'!$B$6:$B$718,"开局",'装量配置'!$D$6:$D$718,"数字盖盒")+SUMIFS('装量配置'!$E$6:$E$718,'装量配置'!$A$6:$A$718,A7,'装量配置'!$B$6:$B$718,"开局",'装量配置'!$D$6:$D$718,"普通冰冻盒")+SUMIFS('装量配置'!$E$6:$E$718,'装量配置'!$A$6:$A$718,A7,'装量配置'!$B$6:$B$718,"开局",'装量配置'!$D$6:$D$718,"数字冰冻盒")</ns0:f>
        <ns0:v>1</ns0:v>
      </ns0:c>
      <ns0:c r="BC7" s="150" t="n">
        <ns0:f>SUMIFS('装量配置'!$R$6:$R$718,'装量配置'!$A$6:$A$718,A7,'装量配置'!$B$6:$B$718,"开局")</ns0:f>
        <ns0:v>1</ns0:v>
      </ns0:c>
      <ns0:c r="BD7" s="148" t="str">
        <ns0:v>先腾位完成首次四同味归纳，解冻后继续整理；不要求先回收</ns0:v>
      </ns0:c>
      <ns0:c r="BE7" s="150" t="n">
        <ns0:v>0</ns0:v>
      </ns0:c>
      <ns0:c r="BF7" s="148" t="str">
        <ns0:v>参考图固定层序；中段目标不额外加压</ns0:v>
      </ns0:c>
    </ns0:row>
    <ns0:row r="8" ht="33" customHeight="1">
      <ns0:c r="A8" s="112" t="n">
        <ns0:v>3</ns0:v>
      </ns0:c>
      <ns0:c r="B8" s="112" t="str">
        <ns0:v>参考图挑战</ns0:v>
      </ns0:c>
      <ns0:c r="C8" s="124" t="str">
        <ns0:v>七色双冰冻周转</ns0:v>
      </ns0:c>
      <ns0:c r="D8" s="114" t="n">
        <ns0:v>4</ns0:v>
      </ns0:c>
      <ns0:c r="E8" s="124" t="str">
        <ns0:v>单空盒周转</ns0:v>
      </ns0:c>
      <ns0:c r="F8" s="124" t="str">
        <ns0:v>双数字冰冻顺序</ns0:v>
      </ns0:c>
      <ns0:c r="G8" s="112" t="str">
        <ns0:v>整齐</ns0:v>
      </ns0:c>
      <ns0:c r="H8" s="112" t="n">
        <ns0:v>7</ns0:v>
      </ns0:c>
      <ns0:c r="I8" s="112" t="n">
        <ns0:f>SUMIFS('装量配置'!$E$6:$E$718,'装量配置'!$A$6:$A$718,A8,'装量配置'!$B$6:$B$718,"开局",'装量配置'!$F$6:$F$718,4,'装量配置'!$G$6:$G$718,"&gt;0")</ns0:f>
        <ns0:v>18</ns0:v>
      </ns0:c>
      <ns0:c r="J8" s="112" t="n">
        <ns0:f>SUMIFS('装量配置'!$E$6:$E$718,'装量配置'!$A$6:$A$718,A8,'装量配置'!$B$6:$B$718,"备货")</ns0:f>
        <ns0:v>0</ns0:v>
      </ns0:c>
      <ns0:c r="K8" s="112" t="n">
        <ns0:v>17</ns0:v>
      </ns0:c>
      <ns0:c r="L8" s="112" t="n">
        <ns0:f>SUMIFS('装量配置'!$E$6:$E$718,'装量配置'!$A$6:$A$718,A8,'装量配置'!$B$6:$B$718,"开局",'装量配置'!$F$6:$F$718,4,'装量配置'!$G$6:$G$718,0,'装量配置'!$D$6:$D$718,"&lt;&gt;广告锁定周转盒")</ns0:f>
        <ns0:v>1</ns0:v>
      </ns0:c>
      <ns0:c r="M8" s="112" t="n">
        <ns0:f>SUMIFS('装量配置'!$E$6:$E$718,'装量配置'!$A$6:$A$718,A8,'装量配置'!$B$6:$B$718,"开局",'装量配置'!$F$6:$F$718,1)</ns0:f>
        <ns0:v>0</ns0:v>
      </ns0:c>
      <ns0:c r="N8" s="112" t="n">
        <ns0:f>SUMIFS('装量配置'!$E$6:$E$718,'装量配置'!$A$6:$A$718,A8,'装量配置'!$B$6:$B$718,"开局",'装量配置'!$D$6:$D$718,"广告锁定周转盒")</ns0:f>
        <ns0:v>2</ns0:v>
      </ns0:c>
      <ns0:c r="O8" s="112" t="n">
        <ns0:f>SUMIFS('装量配置'!$E$6:$E$718,'装量配置'!$A$6:$A$718,A8,'装量配置'!$B$6:$B$718,"开局")</ns0:f>
        <ns0:v>21</ns0:v>
      </ns0:c>
      <ns0:c r="P8" s="112" t="n">
        <ns0:f>SUMIFS('装量配置'!$K$6:$K$718,'装量配置'!$A$6:$A$718,A8)</ns0:f>
        <ns0:v>4</ns0:v>
      </ns0:c>
      <ns0:c r="Q8" s="112" t="n">
        <ns0:v>4</ns0:v>
      </ns0:c>
      <ns0:c r="R8" s="113" t="n">
        <ns0:v>0</ns0:v>
      </ns0:c>
      <ns0:c r="S8" s="113" t="n">
        <ns0:v>0</ns0:v>
      </ns0:c>
      <ns0:c r="T8" s="112" t="n">
        <ns0:v>3</ns0:v>
      </ns0:c>
      <ns0:c r="U8" s="112" t="n">
        <ns0:v>0</ns0:v>
      </ns0:c>
      <ns0:c r="V8" s="124" t="str">
        <ns0:v>数字冰冻盒</ns0:v>
      </ns0:c>
      <ns0:c r="W8" s="124"/>
      <ns0:c r="X8" s="124" t="str">
        <ns0:v>2只数字冰冻盒，数字各1；每次首次四同味归纳推进当前第一只</ns0:v>
      </ns0:c>
      <ns0:c r="Y8" s="112" t="n">
        <ns0:f>SUMIFS('装量配置'!$I$6:$I$718,'装量配置'!$A$6:$A$718,A8)</ns0:f>
        <ns0:v>68</ns0:v>
      </ns0:c>
      <ns0:c r="Z8" s="112" t="str">
        <ns0:f>IF(AND(O8&lt;=25,N8=2,Y8=K8*4,H8&lt;=K8,P8+AT8&gt;=4,COUNTIFS('装量配置'!$A$6:$A$718,A8,'装量配置'!$O$6:$O$718,"需调整")=0),"装量通过；待逐味","需调整")</ns0:f>
        <ns0:v>装量通过；待逐味</ns0:v>
      </ns0:c>
      <ns0:c r="AA8" s="107" t="str">
        <ns0:v>51次搬运可行路线；未证明最短</ns0:v>
      </ns0:c>
      <ns0:c r="AB8" s="107"/>
      <ns0:c r="AC8" s="107"/>
      <ns0:c r="AD8" s="113" t="n">
        <ns0:v>0.68</ns0:v>
      </ns0:c>
      <ns0:c r="AE8" s="114" t="n">
        <ns0:v>1.5</ns0:v>
      </ns0:c>
      <ns0:c r="AF8" s="109"/>
      <ns0:c r="AG8" s="109"/>
      <ns0:c r="AH8" s="110"/>
      <ns0:c r="AI8" s="129" t="str">
        <ns0:v>参考图固定层序；待玩家试玩</ns0:v>
      </ns0:c>
      <ns0:c r="AJ8" s="124" t="str">
        <ns0:v>按用户确认的新参考图；1免费空盒、2广告锁位、双数字冰冻1，无备货</ns0:v>
      </ns0:c>
      <ns0:c r="AK8" s="124" t="str">
        <ns0:v>5/4/4/4/4连续居中，局内不重排</ns0:v>
      </ns0:c>
      <ns0:c r="AL8" s="112" t="n">
        <ns0:v>1</ns0:v>
      </ns0:c>
      <ns0:c r="AM8" s="113" t="n">
        <ns0:v>0.9</ns0:v>
      </ns0:c>
      <ns0:c r="AN8" s="112"/>
      <ns0:c r="AO8" s="113"/>
      <ns0:c r="AP8" s="124" t="str">
        <ns0:v>四条件可行路线已验证；引擎验收见实施记录</ns0:v>
      </ns0:c>
      <ns0:c r="AQ8" s="107"/>
      <ns0:c r="AR8" s="120" t="n">
        <ns0:f>SUMIFS('装量配置'!$I$6:$I$718,'装量配置'!$A$6:$A$718,A8,'装量配置'!$B$6:$B$718,"开局")</ns0:f>
        <ns0:v>68</ns0:v>
      </ns0:c>
      <ns0:c r="AS8" s="132" t="n">
        <ns0:f>SUMIFS('装量配置'!$I$6:$I$718,'装量配置'!$A$6:$A$718,A8,'装量配置'!$B$6:$B$718,"开局",'装量配置'!$D$6:$D$718,"普通盒",'装量配置'!$G$6:$G$718,"&gt;0")/(4*SUMIFS('装量配置'!$E$6:$E$718,'装量配置'!$A$6:$A$718,A8,'装量配置'!$B$6:$B$718,"开局",'装量配置'!$D$6:$D$718,"普通盒",'装量配置'!$G$6:$G$718,"&gt;0"))</ns0:f>
        <ns0:v>0.9375</ns0:v>
      </ns0:c>
      <ns0:c r="AT8" s="120" t="n">
        <ns0:f>SUMIFS('装量配置'!$L$6:$L$718,'装量配置'!$A$6:$A$718,A8)</ns0:f>
        <ns0:v>4</ns0:v>
      </ns0:c>
      <ns0:c r="AU8" s="120" t="n">
        <ns0:f>SUMIFS('装量配置'!$M$6:$M$718,'装量配置'!$A$6:$A$718,A8)</ns0:f>
        <ns0:v>0</ns0:v>
      </ns0:c>
      <ns0:c r="AV8" s="120" t="n">
        <ns0:f>SUMIFS('装量配置'!$N$6:$N$718,'装量配置'!$A$6:$A$718,A8)</ns0:f>
        <ns0:v>0</ns0:v>
      </ns0:c>
      <ns0:c r="AW8" s="132" t="n">
        <ns0:v>0.1</ns0:v>
      </ns0:c>
      <ns0:c r="AX8" s="120" t="n">
        <ns0:v>3</ns0:v>
      </ns0:c>
      <ns0:c r="AY8" s="120" t="n">
        <ns0:f>IF(AX8=1,1,0)</ns0:f>
        <ns0:v>0</ns0:v>
      </ns0:c>
      <ns0:c r="AZ8" s="120" t="n">
        <ns0:f>SUMIFS('装量配置'!$E$6:$E$718,'装量配置'!$A$6:$A$718,A8,'装量配置'!$B$6:$B$718,"开局",'装量配置'!$D$6:$D$718,"&lt;&gt;普通盒",'装量配置'!$D$6:$D$718,"&lt;&gt;广告锁定周转盒")</ns0:f>
        <ns0:v>2</ns0:v>
      </ns0:c>
      <ns0:c r="BA8" s="149" t="n">
        <ns0:f>IF(COUNTIFS('装量配置'!$A$6:$A$718,A8,'装量配置'!$B$6:$B$718,"开局",'装量配置'!$D$6:$D$718,"数字盖盒",'装量配置'!$E$6:$E$718,"&gt;0")&gt;0,1,0)+IF(COUNTIFS('装量配置'!$A$6:$A$718,A8,'装量配置'!$B$6:$B$718,"开局",'装量配置'!$D$6:$D$718,"普通冰冻盒",'装量配置'!$E$6:$E$718,"&gt;0")&gt;0,1,0)+IF(COUNTIFS('装量配置'!$A$6:$A$718,A8,'装量配置'!$B$6:$B$718,"开局",'装量配置'!$D$6:$D$718,"单颗暂存盒",'装量配置'!$E$6:$E$718,"&gt;0")&gt;0,1,0)+IF(COUNTIFS('装量配置'!$A$6:$A$718,A8,'装量配置'!$B$6:$B$718,"开局",'装量配置'!$D$6:$D$718,"数字冰冻盒",'装量配置'!$E$6:$E$718,"&gt;0")&gt;0,1,0)+IF(COUNTIFS('装量配置'!$A$6:$A$718,A8,'装量配置'!$B$6:$B$718,"开局",'装量配置'!$D$6:$D$718,"固定颜色盒",'装量配置'!$E$6:$E$718,"&gt;0")&gt;0,1,0)+IF(COUNTIFS('装量配置'!$A$6:$A$718,A8,'装量配置'!$B$6:$B$718,"开局",'装量配置'!$D$6:$D$718,"单向收纳盒",'装量配置'!$E$6:$E$718,"&gt;0")&gt;0,1,0)+IF(COUNTIFS('装量配置'!$A$6:$A$718,A8,'装量配置'!$B$6:$B$718,"开局",'装量配置'!$D$6:$D$718,"底部置顶盒",'装量配置'!$E$6:$E$718,"&gt;0")&gt;0,1,0)+IF(COUNTIFS('装量配置'!$A$6:$A$718,A8,'装量配置'!$B$6:$B$718,"开局",'装量配置'!$D$6:$D$718,"炸弹盒",'装量配置'!$E$6:$E$718,"&gt;0")&gt;0,1,0)</ns0:f>
        <ns0:v>1</ns0:v>
      </ns0:c>
      <ns0:c r="BB8" s="149" t="n">
        <ns0:f>SUMIFS('装量配置'!$E$6:$E$718,'装量配置'!$A$6:$A$718,A8,'装量配置'!$B$6:$B$718,"开局",'装量配置'!$D$6:$D$718,"数字盖盒")+SUMIFS('装量配置'!$E$6:$E$718,'装量配置'!$A$6:$A$718,A8,'装量配置'!$B$6:$B$718,"开局",'装量配置'!$D$6:$D$718,"普通冰冻盒")+SUMIFS('装量配置'!$E$6:$E$718,'装量配置'!$A$6:$A$718,A8,'装量配置'!$B$6:$B$718,"开局",'装量配置'!$D$6:$D$718,"数字冰冻盒")</ns0:f>
        <ns0:v>2</ns0:v>
      </ns0:c>
      <ns0:c r="BC8" s="149" t="n">
        <ns0:f>SUMIFS('装量配置'!$R$6:$R$718,'装量配置'!$A$6:$A$718,A8,'装量配置'!$B$6:$B$718,"开局")</ns0:f>
        <ns0:v>2</ns0:v>
      </ns0:c>
      <ns0:c r="BD8" s="146" t="str">
        <ns0:v>单空盒腾位；连续两次首次四同味归纳依次解除数字冰冻</ns0:v>
      </ns0:c>
      <ns0:c r="BE8" s="149" t="n">
        <ns0:v>0</ns0:v>
      </ns0:c>
      <ns0:c r="BF8" s="146" t="str">
        <ns0:v>参考图固定层序；中段目标不额外加压</ns0:v>
      </ns0:c>
    </ns0:row>
    <ns0:row r="9" ht="33" customHeight="1">
      <ns0:c r="A9" s="105" t="n">
        <ns0:v>4</ns0:v>
      </ns0:c>
      <ns0:c r="B9" s="105" t="str">
        <ns0:v>参考关</ns0:v>
      </ns0:c>
      <ns0:c r="C9" s="123" t="str">
        <ns0:v>八色双冰冻</ns0:v>
      </ns0:c>
      <ns0:c r="D9" s="108" t="n">
        <ns0:v>4</ns0:v>
      </ns0:c>
      <ns0:c r="E9" s="123" t="str">
        <ns0:v>双空盒周转与层序交错</ns0:v>
      </ns0:c>
      <ns0:c r="F9" s="123" t="str">
        <ns0:v>双冰冻材料释放</ns0:v>
      </ns0:c>
      <ns0:c r="G9" s="105" t="str">
        <ns0:v>整齐</ns0:v>
      </ns0:c>
      <ns0:c r="H9" s="105" t="n">
        <ns0:v>8</ns0:v>
      </ns0:c>
      <ns0:c r="I9" s="105" t="n">
        <ns0:f>SUMIFS('装量配置'!$E$6:$E$718,'装量配置'!$A$6:$A$718,A9,'装量配置'!$B$6:$B$718,"开局",'装量配置'!$F$6:$F$718,4,'装量配置'!$G$6:$G$718,"&gt;0")</ns0:f>
        <ns0:v>19</ns0:v>
      </ns0:c>
      <ns0:c r="J9" s="105" t="n">
        <ns0:f>SUMIFS('装量配置'!$E$6:$E$718,'装量配置'!$A$6:$A$718,A9,'装量配置'!$B$6:$B$718,"备货")</ns0:f>
        <ns0:v>0</ns0:v>
      </ns0:c>
      <ns0:c r="K9" s="105" t="n">
        <ns0:v>19</ns0:v>
      </ns0:c>
      <ns0:c r="L9" s="105" t="n">
        <ns0:f>SUMIFS('装量配置'!$E$6:$E$718,'装量配置'!$A$6:$A$718,A9,'装量配置'!$B$6:$B$718,"开局",'装量配置'!$F$6:$F$718,4,'装量配置'!$G$6:$G$718,0,'装量配置'!$D$6:$D$718,"&lt;&gt;广告锁定周转盒")</ns0:f>
        <ns0:v>2</ns0:v>
      </ns0:c>
      <ns0:c r="M9" s="105" t="n">
        <ns0:f>SUMIFS('装量配置'!$E$6:$E$718,'装量配置'!$A$6:$A$718,A9,'装量配置'!$B$6:$B$718,"开局",'装量配置'!$F$6:$F$718,1)</ns0:f>
        <ns0:v>0</ns0:v>
      </ns0:c>
      <ns0:c r="N9" s="105" t="n">
        <ns0:f>SUMIFS('装量配置'!$E$6:$E$718,'装量配置'!$A$6:$A$718,A9,'装量配置'!$B$6:$B$718,"开局",'装量配置'!$D$6:$D$718,"广告锁定周转盒")</ns0:f>
        <ns0:v>2</ns0:v>
      </ns0:c>
      <ns0:c r="O9" s="105" t="n">
        <ns0:f>SUMIFS('装量配置'!$E$6:$E$718,'装量配置'!$A$6:$A$718,A9,'装量配置'!$B$6:$B$718,"开局")</ns0:f>
        <ns0:v>23</ns0:v>
      </ns0:c>
      <ns0:c r="P9" s="105" t="n">
        <ns0:f>SUMIFS('装量配置'!$K$6:$K$718,'装量配置'!$A$6:$A$718,A9)</ns0:f>
        <ns0:v>8</ns0:v>
      </ns0:c>
      <ns0:c r="Q9" s="105" t="n">
        <ns0:v>4</ns0:v>
      </ns0:c>
      <ns0:c r="R9" s="106" t="n">
        <ns0:v>0</ns0:v>
      </ns0:c>
      <ns0:c r="S9" s="106" t="n">
        <ns0:v>0</ns0:v>
      </ns0:c>
      <ns0:c r="T9" s="105" t="n">
        <ns0:v>4</ns0:v>
      </ns0:c>
      <ns0:c r="U9" s="105" t="n">
        <ns0:v>0</ns0:v>
      </ns0:c>
      <ns0:c r="V9" s="123" t="str">
        <ns0:v>数字冰冻盒</ns0:v>
      </ns0:c>
      <ns0:c r="W9" s="123"/>
      <ns0:c r="X9" s="123" t="str">
        <ns0:v>冰冻1×2；原罩柱改普通盒</ns0:v>
      </ns0:c>
      <ns0:c r="Y9" s="105" t="n">
        <ns0:f>SUMIFS('装量配置'!$I$6:$I$718,'装量配置'!$A$6:$A$718,A9)</ns0:f>
        <ns0:v>76</ns0:v>
      </ns0:c>
      <ns0:c r="Z9" s="105" t="str">
        <ns0:f>IF(AND(O9&lt;=25,N9=2,Y9=K9*4,H9&lt;=K9,P9+AT9&gt;=4,COUNTIFS('装量配置'!$A$6:$A$718,A9,'装量配置'!$O$6:$O$718,"需调整")=0),"装量通过；待逐味","需调整")</ns0:f>
        <ns0:v>装量通过；待逐味</ns0:v>
      </ns0:c>
      <ns0:c r="AA9" s="107" t="str">
        <ns0:v>58步可行解；非最短</ns0:v>
      </ns0:c>
      <ns0:c r="AB9" s="107"/>
      <ns0:c r="AC9" s="107"/>
      <ns0:c r="AD9" s="106"/>
      <ns0:c r="AE9" s="108"/>
      <ns0:c r="AF9" s="109"/>
      <ns0:c r="AG9" s="109"/>
      <ns0:c r="AH9" s="110"/>
      <ns0:c r="AI9" s="129" t="str">
        <ns0:v>参考图固定层序</ns0:v>
      </ns0:c>
      <ns0:c r="AJ9" s="123" t="str">
        <ns0:v>用户确认八色参考图；双冰冻；取消颜色罩；目标难度为试玩前试配。</ns0:v>
      </ns0:c>
      <ns0:c r="AK9" s="123" t="str">
        <ns0:v>连续紧凑5/5/4/4/5</ns0:v>
      </ns0:c>
      <ns0:c r="AL9" s="105" t="n">
        <ns0:v>1</ns0:v>
      </ns0:c>
      <ns0:c r="AM9" s="106"/>
      <ns0:c r="AN9" s="107"/>
      <ns0:c r="AO9" s="110"/>
      <ns0:c r="AP9" s="123" t="str">
        <ns0:v>四种周转条件均有完整可行解</ns0:v>
      </ns0:c>
      <ns0:c r="AQ9" s="107"/>
      <ns0:c r="AR9" s="121" t="n">
        <ns0:f>SUMIFS('装量配置'!$I$6:$I$718,'装量配置'!$A$6:$A$718,A9,'装量配置'!$B$6:$B$718,"开局")</ns0:f>
        <ns0:v>76</ns0:v>
      </ns0:c>
      <ns0:c r="AS9" s="133" t="n">
        <ns0:f>SUMIFS('装量配置'!$I$6:$I$718,'装量配置'!$A$6:$A$718,A9,'装量配置'!$B$6:$B$718,"开局",'装量配置'!$D$6:$D$718,"普通盒",'装量配置'!$G$6:$G$718,"&gt;0")/(4*SUMIFS('装量配置'!$E$6:$E$718,'装量配置'!$A$6:$A$718,A9,'装量配置'!$B$6:$B$718,"开局",'装量配置'!$D$6:$D$718,"普通盒",'装量配置'!$G$6:$G$718,"&gt;0"))</ns0:f>
        <ns0:v>1</ns0:v>
      </ns0:c>
      <ns0:c r="AT9" s="121" t="n">
        <ns0:f>SUMIFS('装量配置'!$L$6:$L$718,'装量配置'!$A$6:$A$718,A9)</ns0:f>
        <ns0:v>0</ns0:v>
      </ns0:c>
      <ns0:c r="AU9" s="121" t="n">
        <ns0:f>SUMIFS('装量配置'!$M$6:$M$718,'装量配置'!$A$6:$A$718,A9)</ns0:f>
        <ns0:v>0</ns0:v>
      </ns0:c>
      <ns0:c r="AV9" s="121" t="n">
        <ns0:f>SUMIFS('装量配置'!$N$6:$N$718,'装量配置'!$A$6:$A$718,A9)</ns0:f>
        <ns0:v>0</ns0:v>
      </ns0:c>
      <ns0:c r="AW9" s="133" t="n">
        <ns0:v>0.15</ns0:v>
      </ns0:c>
      <ns0:c r="AX9" s="121" t="n">
        <ns0:v>3</ns0:v>
      </ns0:c>
      <ns0:c r="AY9" s="121" t="n">
        <ns0:f>IF(AX9=1,1,0)</ns0:f>
        <ns0:v>0</ns0:v>
      </ns0:c>
      <ns0:c r="AZ9" s="121" t="n">
        <ns0:f>SUMIFS('装量配置'!$E$6:$E$718,'装量配置'!$A$6:$A$718,A9,'装量配置'!$B$6:$B$718,"开局",'装量配置'!$D$6:$D$718,"&lt;&gt;普通盒",'装量配置'!$D$6:$D$718,"&lt;&gt;广告锁定周转盒")</ns0:f>
        <ns0:v>2</ns0:v>
      </ns0:c>
      <ns0:c r="BA9" s="150" t="n">
        <ns0:f>IF(COUNTIFS('装量配置'!$A$6:$A$718,A9,'装量配置'!$B$6:$B$718,"开局",'装量配置'!$D$6:$D$718,"数字盖盒",'装量配置'!$E$6:$E$718,"&gt;0")&gt;0,1,0)+IF(COUNTIFS('装量配置'!$A$6:$A$718,A9,'装量配置'!$B$6:$B$718,"开局",'装量配置'!$D$6:$D$718,"普通冰冻盒",'装量配置'!$E$6:$E$718,"&gt;0")&gt;0,1,0)+IF(COUNTIFS('装量配置'!$A$6:$A$718,A9,'装量配置'!$B$6:$B$718,"开局",'装量配置'!$D$6:$D$718,"单颗暂存盒",'装量配置'!$E$6:$E$718,"&gt;0")&gt;0,1,0)+IF(COUNTIFS('装量配置'!$A$6:$A$718,A9,'装量配置'!$B$6:$B$718,"开局",'装量配置'!$D$6:$D$718,"数字冰冻盒",'装量配置'!$E$6:$E$718,"&gt;0")&gt;0,1,0)+IF(COUNTIFS('装量配置'!$A$6:$A$718,A9,'装量配置'!$B$6:$B$718,"开局",'装量配置'!$D$6:$D$718,"固定颜色盒",'装量配置'!$E$6:$E$718,"&gt;0")&gt;0,1,0)+IF(COUNTIFS('装量配置'!$A$6:$A$718,A9,'装量配置'!$B$6:$B$718,"开局",'装量配置'!$D$6:$D$718,"单向收纳盒",'装量配置'!$E$6:$E$718,"&gt;0")&gt;0,1,0)+IF(COUNTIFS('装量配置'!$A$6:$A$718,A9,'装量配置'!$B$6:$B$718,"开局",'装量配置'!$D$6:$D$718,"底部置顶盒",'装量配置'!$E$6:$E$718,"&gt;0")&gt;0,1,0)+IF(COUNTIFS('装量配置'!$A$6:$A$718,A9,'装量配置'!$B$6:$B$718,"开局",'装量配置'!$D$6:$D$718,"炸弹盒",'装量配置'!$E$6:$E$718,"&gt;0")&gt;0,1,0)</ns0:f>
        <ns0:v>1</ns0:v>
      </ns0:c>
      <ns0:c r="BB9" s="150" t="n">
        <ns0:f>SUMIFS('装量配置'!$E$6:$E$718,'装量配置'!$A$6:$A$718,A9,'装量配置'!$B$6:$B$718,"开局",'装量配置'!$D$6:$D$718,"数字盖盒")+SUMIFS('装量配置'!$E$6:$E$718,'装量配置'!$A$6:$A$718,A9,'装量配置'!$B$6:$B$718,"开局",'装量配置'!$D$6:$D$718,"普通冰冻盒")+SUMIFS('装量配置'!$E$6:$E$718,'装量配置'!$A$6:$A$718,A9,'装量配置'!$B$6:$B$718,"开局",'装量配置'!$D$6:$D$718,"数字冰冻盒")</ns0:f>
        <ns0:v>2</ns0:v>
      </ns0:c>
      <ns0:c r="BC9" s="150" t="n">
        <ns0:f>SUMIFS('装量配置'!$R$6:$R$718,'装量配置'!$A$6:$A$718,A9,'装量配置'!$B$6:$B$718,"开局")</ns0:f>
        <ns0:v>2</ns0:v>
      </ns0:c>
      <ns0:c r="BD9" s="148" t="str">
        <ns0:v>按固定顺序归纳解冻，原罩柱开局可用</ns0:v>
      </ns0:c>
      <ns0:c r="BE9" s="150" t="n">
        <ns0:v>0</ns0:v>
      </ns0:c>
      <ns0:c r="BF9" s="148" t="str">
        <ns0:v>完整路线已求解；真人待试玩</ns0:v>
      </ns0:c>
    </ns0:row>
    <ns0:row r="10" ht="33" customHeight="1">
      <ns0:c r="A10" s="112" t="n">
        <ns0:v>5</ns0:v>
      </ns0:c>
      <ns0:c r="B10" s="112" t="str">
        <ns0:v>冰冻复习</ns0:v>
      </ns0:c>
      <ns0:c r="C10" s="124" t="str">
        <ns0:v>回落</ns0:v>
      </ns0:c>
      <ns0:c r="D10" s="114" t="n">
        <ns0:v>3.8</ns0:v>
      </ns0:c>
      <ns0:c r="E10" s="124" t="str">
        <ns0:v>层序与周转规划</ns0:v>
      </ns0:c>
      <ns0:c r="F10" s="124" t="str">
        <ns0:v>双冰冻</ns0:v>
      </ns0:c>
      <ns0:c r="G10" s="112" t="str">
        <ns0:v>整齐</ns0:v>
      </ns0:c>
      <ns0:c r="H10" s="112" t="n">
        <ns0:v>7</ns0:v>
      </ns0:c>
      <ns0:c r="I10" s="112" t="n">
        <ns0:f>SUMIFS('装量配置'!$E$6:$E$718,'装量配置'!$A$6:$A$718,A10,'装量配置'!$B$6:$B$718,"开局",'装量配置'!$F$6:$F$718,4,'装量配置'!$G$6:$G$718,"&gt;0")</ns0:f>
        <ns0:v>18</ns0:v>
      </ns0:c>
      <ns0:c r="J10" s="112" t="n">
        <ns0:f>SUMIFS('装量配置'!$E$6:$E$718,'装量配置'!$A$6:$A$718,A10,'装量配置'!$B$6:$B$718,"备货")</ns0:f>
        <ns0:v>0</ns0:v>
      </ns0:c>
      <ns0:c r="K10" s="112" t="n">
        <ns0:v>17</ns0:v>
      </ns0:c>
      <ns0:c r="L10" s="112" t="n">
        <ns0:f>SUMIFS('装量配置'!$E$6:$E$718,'装量配置'!$A$6:$A$718,A10,'装量配置'!$B$6:$B$718,"开局",'装量配置'!$F$6:$F$718,4,'装量配置'!$G$6:$G$718,0,'装量配置'!$D$6:$D$718,"&lt;&gt;广告锁定周转盒")</ns0:f>
        <ns0:v>1</ns0:v>
      </ns0:c>
      <ns0:c r="M10" s="112" t="n">
        <ns0:f>SUMIFS('装量配置'!$E$6:$E$718,'装量配置'!$A$6:$A$718,A10,'装量配置'!$B$6:$B$718,"开局",'装量配置'!$F$6:$F$718,1)</ns0:f>
        <ns0:v>0</ns0:v>
      </ns0:c>
      <ns0:c r="N10" s="112" t="n">
        <ns0:f>SUMIFS('装量配置'!$E$6:$E$718,'装量配置'!$A$6:$A$718,A10,'装量配置'!$B$6:$B$718,"开局",'装量配置'!$D$6:$D$718,"广告锁定周转盒")</ns0:f>
        <ns0:v>2</ns0:v>
      </ns0:c>
      <ns0:c r="O10" s="112" t="n">
        <ns0:f>SUMIFS('装量配置'!$E$6:$E$718,'装量配置'!$A$6:$A$718,A10,'装量配置'!$B$6:$B$718,"开局")</ns0:f>
        <ns0:v>21</ns0:v>
      </ns0:c>
      <ns0:c r="P10" s="112" t="n">
        <ns0:f>SUMIFS('装量配置'!$K$6:$K$718,'装量配置'!$A$6:$A$718,A10)</ns0:f>
        <ns0:v>4</ns0:v>
      </ns0:c>
      <ns0:c r="Q10" s="112" t="n">
        <ns0:v>3</ns0:v>
      </ns0:c>
      <ns0:c r="R10" s="113" t="n">
        <ns0:v>0</ns0:v>
      </ns0:c>
      <ns0:c r="S10" s="113" t="n">
        <ns0:v>0</ns0:v>
      </ns0:c>
      <ns0:c r="T10" s="112" t="n">
        <ns0:v>3</ns0:v>
      </ns0:c>
      <ns0:c r="U10" s="112" t="n">
        <ns0:v>0</ns0:v>
      </ns0:c>
      <ns0:c r="V10" s="124" t="str">
        <ns0:v>数字冰冻盒</ns0:v>
      </ns0:c>
      <ns0:c r="W10" s="124" t="str">
        <ns0:v>无</ns0:v>
      </ns0:c>
      <ns0:c r="X10" s="124" t="str">
        <ns0:v>冰冻1×2；隐藏0颗；备货0盒</ns0:v>
      </ns0:c>
      <ns0:c r="Y10" s="112" t="n">
        <ns0:f>SUMIFS('装量配置'!$I$6:$I$718,'装量配置'!$A$6:$A$718,A10)</ns0:f>
        <ns0:v>68</ns0:v>
      </ns0:c>
      <ns0:c r="Z10" s="112" t="str">
        <ns0:f>IF(AND(O10&lt;=25,N10=2,Y10=K10*4,H10&lt;=K10,P10+AT10&gt;=4,COUNTIFS('装量配置'!$A$6:$A$718,A10,'装量配置'!$O$6:$O$718,"需调整")=0),"装量通过；待逐味","需调整")</ns0:f>
        <ns0:v>装量通过；待逐味</ns0:v>
      </ns0:c>
      <ns0:c r="AA10" s="107" t="str">
        <ns0:v>已保存完整可行解（非最短）</ns0:v>
      </ns0:c>
      <ns0:c r="AB10" s="107"/>
      <ns0:c r="AC10" s="107"/>
      <ns0:c r="AD10" s="113"/>
      <ns0:c r="AE10" s="114"/>
      <ns0:c r="AF10" s="109"/>
      <ns0:c r="AG10" s="109"/>
      <ns0:c r="AH10" s="110"/>
      <ns0:c r="AI10" s="129" t="str">
        <ns0:v>层序已制作；真人待测</ns0:v>
      </ns0:c>
      <ns0:c r="AJ10" s="124" t="str">
        <ns0:v>用户要求开局装量多样化；混合满盒、三颗盒、半满盒、单颗装量与空盒，整体维持温和波动；真人待测。</ns0:v>
      </ns0:c>
      <ns0:c r="AK10" s="124" t="str">
        <ns0:v>连续紧凑，按盒数均衡分排</ns0:v>
      </ns0:c>
      <ns0:c r="AL10" s="112" t="n">
        <ns0:v>1</ns0:v>
      </ns0:c>
      <ns0:c r="AM10" s="113"/>
      <ns0:c r="AN10" s="112"/>
      <ns0:c r="AO10" s="113"/>
      <ns0:c r="AP10" s="124" t="str">
        <ns0:v>四条件回放夹具已制作</ns0:v>
      </ns0:c>
      <ns0:c r="AQ10" s="107"/>
      <ns0:c r="AR10" s="120" t="n">
        <ns0:f>SUMIFS('装量配置'!$I$6:$I$718,'装量配置'!$A$6:$A$718,A10,'装量配置'!$B$6:$B$718,"开局")</ns0:f>
        <ns0:v>68</ns0:v>
      </ns0:c>
      <ns0:c r="AS10" s="132" t="n">
        <ns0:f>SUMIFS('装量配置'!$I$6:$I$718,'装量配置'!$A$6:$A$718,A10,'装量配置'!$B$6:$B$718,"开局",'装量配置'!$D$6:$D$718,"普通盒",'装量配置'!$G$6:$G$718,"&gt;0")/(4*SUMIFS('装量配置'!$E$6:$E$718,'装量配置'!$A$6:$A$718,A10,'装量配置'!$B$6:$B$718,"开局",'装量配置'!$D$6:$D$718,"普通盒",'装量配置'!$G$6:$G$718,"&gt;0"))</ns0:f>
        <ns0:v>0.9375</ns0:v>
      </ns0:c>
      <ns0:c r="AT10" s="120" t="n">
        <ns0:f>SUMIFS('装量配置'!$L$6:$L$718,'装量配置'!$A$6:$A$718,A10)</ns0:f>
        <ns0:v>4</ns0:v>
      </ns0:c>
      <ns0:c r="AU10" s="120" t="n">
        <ns0:f>SUMIFS('装量配置'!$M$6:$M$718,'装量配置'!$A$6:$A$718,A10)</ns0:f>
        <ns0:v>0</ns0:v>
      </ns0:c>
      <ns0:c r="AV10" s="120" t="n">
        <ns0:f>SUMIFS('装量配置'!$N$6:$N$718,'装量配置'!$A$6:$A$718,A10)</ns0:f>
        <ns0:v>0</ns0:v>
      </ns0:c>
      <ns0:c r="AW10" s="132" t="n">
        <ns0:v>0.18</ns0:v>
      </ns0:c>
      <ns0:c r="AX10" s="120" t="n">
        <ns0:v>4</ns0:v>
      </ns0:c>
      <ns0:c r="AY10" s="120" t="n">
        <ns0:f>IF(AX10=1,1,0)</ns0:f>
        <ns0:v>0</ns0:v>
      </ns0:c>
      <ns0:c r="AZ10" s="120" t="n">
        <ns0:f>SUMIFS('装量配置'!$E$6:$E$718,'装量配置'!$A$6:$A$718,A10,'装量配置'!$B$6:$B$718,"开局",'装量配置'!$D$6:$D$718,"&lt;&gt;普通盒",'装量配置'!$D$6:$D$718,"&lt;&gt;广告锁定周转盒")</ns0:f>
        <ns0:v>2</ns0:v>
      </ns0:c>
      <ns0:c r="BA10" s="149" t="n">
        <ns0:f>IF(COUNTIFS('装量配置'!$A$6:$A$718,A10,'装量配置'!$B$6:$B$718,"开局",'装量配置'!$D$6:$D$718,"数字盖盒",'装量配置'!$E$6:$E$718,"&gt;0")&gt;0,1,0)+IF(COUNTIFS('装量配置'!$A$6:$A$718,A10,'装量配置'!$B$6:$B$718,"开局",'装量配置'!$D$6:$D$718,"普通冰冻盒",'装量配置'!$E$6:$E$718,"&gt;0")&gt;0,1,0)+IF(COUNTIFS('装量配置'!$A$6:$A$718,A10,'装量配置'!$B$6:$B$718,"开局",'装量配置'!$D$6:$D$718,"单颗暂存盒",'装量配置'!$E$6:$E$718,"&gt;0")&gt;0,1,0)+IF(COUNTIFS('装量配置'!$A$6:$A$718,A10,'装量配置'!$B$6:$B$718,"开局",'装量配置'!$D$6:$D$718,"数字冰冻盒",'装量配置'!$E$6:$E$718,"&gt;0")&gt;0,1,0)+IF(COUNTIFS('装量配置'!$A$6:$A$718,A10,'装量配置'!$B$6:$B$718,"开局",'装量配置'!$D$6:$D$718,"固定颜色盒",'装量配置'!$E$6:$E$718,"&gt;0")&gt;0,1,0)+IF(COUNTIFS('装量配置'!$A$6:$A$718,A10,'装量配置'!$B$6:$B$718,"开局",'装量配置'!$D$6:$D$718,"单向收纳盒",'装量配置'!$E$6:$E$718,"&gt;0")&gt;0,1,0)+IF(COUNTIFS('装量配置'!$A$6:$A$718,A10,'装量配置'!$B$6:$B$718,"开局",'装量配置'!$D$6:$D$718,"底部置顶盒",'装量配置'!$E$6:$E$718,"&gt;0")&gt;0,1,0)+IF(COUNTIFS('装量配置'!$A$6:$A$718,A10,'装量配置'!$B$6:$B$718,"开局",'装量配置'!$D$6:$D$718,"炸弹盒",'装量配置'!$E$6:$E$718,"&gt;0")&gt;0,1,0)</ns0:f>
        <ns0:v>1</ns0:v>
      </ns0:c>
      <ns0:c r="BB10" s="149" t="n">
        <ns0:f>SUMIFS('装量配置'!$E$6:$E$718,'装量配置'!$A$6:$A$718,A10,'装量配置'!$B$6:$B$718,"开局",'装量配置'!$D$6:$D$718,"数字盖盒")+SUMIFS('装量配置'!$E$6:$E$718,'装量配置'!$A$6:$A$718,A10,'装量配置'!$B$6:$B$718,"开局",'装量配置'!$D$6:$D$718,"普通冰冻盒")+SUMIFS('装量配置'!$E$6:$E$718,'装量配置'!$A$6:$A$718,A10,'装量配置'!$B$6:$B$718,"开局",'装量配置'!$D$6:$D$718,"数字冰冻盒")</ns0:f>
        <ns0:v>2</ns0:v>
      </ns0:c>
      <ns0:c r="BC10" s="149" t="n">
        <ns0:f>SUMIFS('装量配置'!$R$6:$R$718,'装量配置'!$A$6:$A$718,A10,'装量配置'!$B$6:$B$718,"开局")</ns0:f>
        <ns0:v>2</ns0:v>
      </ns0:c>
      <ns0:c r="BD10" s="146" t="str">
        <ns0:v>首次归纳逐只解冻</ns0:v>
      </ns0:c>
      <ns0:c r="BE10" s="149" t="n">
        <ns0:v>1</ns0:v>
      </ns0:c>
      <ns0:c r="BF10" s="146" t="str">
        <ns0:v>完整路线腾位检查；真人待测</ns0:v>
      </ns0:c>
    </ns0:row>
    <ns0:row r="11" ht="33" customHeight="1">
      <ns0:c r="A11" s="105" t="n">
        <ns0:v>6</ns0:v>
      </ns0:c>
      <ns0:c r="B11" s="105" t="str">
        <ns0:v>隐藏层</ns0:v>
      </ns0:c>
      <ns0:c r="C11" s="123" t="str">
        <ns0:v>隐藏教学</ns0:v>
      </ns0:c>
      <ns0:c r="D11" s="108" t="n">
        <ns0:v>4</ns0:v>
      </ns0:c>
      <ns0:c r="E11" s="123" t="str">
        <ns0:v>层序与周转规划</ns0:v>
      </ns0:c>
      <ns0:c r="F11" s="123" t="str">
        <ns0:v>隐藏揭示</ns0:v>
      </ns0:c>
      <ns0:c r="G11" s="105" t="str">
        <ns0:v>整齐</ns0:v>
      </ns0:c>
      <ns0:c r="H11" s="105" t="n">
        <ns0:v>8</ns0:v>
      </ns0:c>
      <ns0:c r="I11" s="105" t="n">
        <ns0:f>SUMIFS('装量配置'!$E$6:$E$718,'装量配置'!$A$6:$A$718,A11,'装量配置'!$B$6:$B$718,"开局",'装量配置'!$F$6:$F$718,4,'装量配置'!$G$6:$G$718,"&gt;0")</ns0:f>
        <ns0:v>19</ns0:v>
      </ns0:c>
      <ns0:c r="J11" s="105" t="n">
        <ns0:f>SUMIFS('装量配置'!$E$6:$E$718,'装量配置'!$A$6:$A$718,A11,'装量配置'!$B$6:$B$718,"备货")</ns0:f>
        <ns0:v>0</ns0:v>
      </ns0:c>
      <ns0:c r="K11" s="105" t="n">
        <ns0:v>17</ns0:v>
      </ns0:c>
      <ns0:c r="L11" s="105" t="n">
        <ns0:f>SUMIFS('装量配置'!$E$6:$E$718,'装量配置'!$A$6:$A$718,A11,'装量配置'!$B$6:$B$718,"开局",'装量配置'!$F$6:$F$718,4,'装量配置'!$G$6:$G$718,0,'装量配置'!$D$6:$D$718,"&lt;&gt;广告锁定周转盒")</ns0:f>
        <ns0:v>1</ns0:v>
      </ns0:c>
      <ns0:c r="M11" s="105" t="n">
        <ns0:f>SUMIFS('装量配置'!$E$6:$E$718,'装量配置'!$A$6:$A$718,A11,'装量配置'!$B$6:$B$718,"开局",'装量配置'!$F$6:$F$718,1)</ns0:f>
        <ns0:v>0</ns0:v>
      </ns0:c>
      <ns0:c r="N11" s="105" t="n">
        <ns0:f>SUMIFS('装量配置'!$E$6:$E$718,'装量配置'!$A$6:$A$718,A11,'装量配置'!$B$6:$B$718,"开局",'装量配置'!$D$6:$D$718,"广告锁定周转盒")</ns0:f>
        <ns0:v>2</ns0:v>
      </ns0:c>
      <ns0:c r="O11" s="105" t="n">
        <ns0:f>SUMIFS('装量配置'!$E$6:$E$718,'装量配置'!$A$6:$A$718,A11,'装量配置'!$B$6:$B$718,"开局")</ns0:f>
        <ns0:v>22</ns0:v>
      </ns0:c>
      <ns0:c r="P11" s="105" t="n">
        <ns0:f>SUMIFS('装量配置'!$K$6:$K$718,'装量配置'!$A$6:$A$718,A11)</ns0:f>
        <ns0:v>4</ns0:v>
      </ns0:c>
      <ns0:c r="Q11" s="105" t="n">
        <ns0:v>3</ns0:v>
      </ns0:c>
      <ns0:c r="R11" s="106" t="n">
        <ns0:v>0.014705882352941176</ns0:v>
      </ns0:c>
      <ns0:c r="S11" s="106" t="n">
        <ns0:v>0</ns0:v>
      </ns0:c>
      <ns0:c r="T11" s="105" t="n">
        <ns0:v>3</ns0:v>
      </ns0:c>
      <ns0:c r="U11" s="105" t="n">
        <ns0:v>0</ns0:v>
      </ns0:c>
      <ns0:c r="V11" s="123" t="str">
        <ns0:v>隐藏层</ns0:v>
      </ns0:c>
      <ns0:c r="W11" s="123" t="str">
        <ns0:v>无</ns0:v>
      </ns0:c>
      <ns0:c r="X11" s="123" t="str">
        <ns0:v>冰冻1×0；隐藏1颗；备货0盒</ns0:v>
      </ns0:c>
      <ns0:c r="Y11" s="105" t="n">
        <ns0:f>SUMIFS('装量配置'!$I$6:$I$718,'装量配置'!$A$6:$A$718,A11)</ns0:f>
        <ns0:v>68</ns0:v>
      </ns0:c>
      <ns0:c r="Z11" s="105" t="str">
        <ns0:f>IF(AND(O11&lt;=25,N11=2,Y11=K11*4,H11&lt;=K11,P11+AT11&gt;=4,COUNTIFS('装量配置'!$A$6:$A$718,A11,'装量配置'!$O$6:$O$718,"需调整")=0),"装量通过；待逐味","需调整")</ns0:f>
        <ns0:v>装量通过；待逐味</ns0:v>
      </ns0:c>
      <ns0:c r="AA11" s="107" t="str">
        <ns0:v>已保存完整可行解（非最短）</ns0:v>
      </ns0:c>
      <ns0:c r="AB11" s="107"/>
      <ns0:c r="AC11" s="107"/>
      <ns0:c r="AD11" s="106"/>
      <ns0:c r="AE11" s="108"/>
      <ns0:c r="AF11" s="109"/>
      <ns0:c r="AG11" s="109"/>
      <ns0:c r="AH11" s="110"/>
      <ns0:c r="AI11" s="129" t="str">
        <ns0:v>层序已制作；真人待测</ns0:v>
      </ns0:c>
      <ns0:c r="AJ11" s="123" t="str">
        <ns0:v>用户要求开局装量多样化；混合满盒、三颗盒、半满盒、单颗装量与空盒，整体维持温和波动；真人待测。</ns0:v>
      </ns0:c>
      <ns0:c r="AK11" s="123" t="str">
        <ns0:v>连续紧凑，按盒数均衡分排</ns0:v>
      </ns0:c>
      <ns0:c r="AL11" s="105" t="n">
        <ns0:v>1</ns0:v>
      </ns0:c>
      <ns0:c r="AM11" s="106"/>
      <ns0:c r="AN11" s="107"/>
      <ns0:c r="AO11" s="110"/>
      <ns0:c r="AP11" s="123" t="str">
        <ns0:v>四条件回放夹具已制作</ns0:v>
      </ns0:c>
      <ns0:c r="AQ11" s="107"/>
      <ns0:c r="AR11" s="121" t="n">
        <ns0:f>SUMIFS('装量配置'!$I$6:$I$718,'装量配置'!$A$6:$A$718,A11,'装量配置'!$B$6:$B$718,"开局")</ns0:f>
        <ns0:v>68</ns0:v>
      </ns0:c>
      <ns0:c r="AS11" s="133" t="n">
        <ns0:f>SUMIFS('装量配置'!$I$6:$I$718,'装量配置'!$A$6:$A$718,A11,'装量配置'!$B$6:$B$718,"开局",'装量配置'!$D$6:$D$718,"普通盒",'装量配置'!$G$6:$G$718,"&gt;0")/(4*SUMIFS('装量配置'!$E$6:$E$718,'装量配置'!$A$6:$A$718,A11,'装量配置'!$B$6:$B$718,"开局",'装量配置'!$D$6:$D$718,"普通盒",'装量配置'!$G$6:$G$718,"&gt;0"))</ns0:f>
        <ns0:v>0.8947368421052632</ns0:v>
      </ns0:c>
      <ns0:c r="AT11" s="121" t="n">
        <ns0:f>SUMIFS('装量配置'!$L$6:$L$718,'装量配置'!$A$6:$A$718,A11)</ns0:f>
        <ns0:v>8</ns0:v>
      </ns0:c>
      <ns0:c r="AU11" s="121" t="n">
        <ns0:f>SUMIFS('装量配置'!$M$6:$M$718,'装量配置'!$A$6:$A$718,A11)</ns0:f>
        <ns0:v>0</ns0:v>
      </ns0:c>
      <ns0:c r="AV11" s="121" t="n">
        <ns0:f>SUMIFS('装量配置'!$N$6:$N$718,'装量配置'!$A$6:$A$718,A11)</ns0:f>
        <ns0:v>0</ns0:v>
      </ns0:c>
      <ns0:c r="AW11" s="133" t="n">
        <ns0:v>0.18</ns0:v>
      </ns0:c>
      <ns0:c r="AX11" s="121" t="n">
        <ns0:v>3</ns0:v>
      </ns0:c>
      <ns0:c r="AY11" s="121" t="n">
        <ns0:f>IF(AX11=1,1,0)</ns0:f>
        <ns0:v>0</ns0:v>
      </ns0:c>
      <ns0:c r="AZ11" s="121" t="n">
        <ns0:f>SUMIFS('装量配置'!$E$6:$E$718,'装量配置'!$A$6:$A$718,A11,'装量配置'!$B$6:$B$718,"开局",'装量配置'!$D$6:$D$718,"&lt;&gt;普通盒",'装量配置'!$D$6:$D$718,"&lt;&gt;广告锁定周转盒")</ns0:f>
        <ns0:v>0</ns0:v>
      </ns0:c>
      <ns0:c r="BA11" s="150" t="n">
        <ns0:f>IF(COUNTIFS('装量配置'!$A$6:$A$718,A11,'装量配置'!$B$6:$B$718,"开局",'装量配置'!$D$6:$D$718,"数字盖盒",'装量配置'!$E$6:$E$718,"&gt;0")&gt;0,1,0)+IF(COUNTIFS('装量配置'!$A$6:$A$718,A11,'装量配置'!$B$6:$B$718,"开局",'装量配置'!$D$6:$D$718,"普通冰冻盒",'装量配置'!$E$6:$E$718,"&gt;0")&gt;0,1,0)+IF(COUNTIFS('装量配置'!$A$6:$A$718,A11,'装量配置'!$B$6:$B$718,"开局",'装量配置'!$D$6:$D$718,"单颗暂存盒",'装量配置'!$E$6:$E$718,"&gt;0")&gt;0,1,0)+IF(COUNTIFS('装量配置'!$A$6:$A$718,A11,'装量配置'!$B$6:$B$718,"开局",'装量配置'!$D$6:$D$718,"数字冰冻盒",'装量配置'!$E$6:$E$718,"&gt;0")&gt;0,1,0)+IF(COUNTIFS('装量配置'!$A$6:$A$718,A11,'装量配置'!$B$6:$B$718,"开局",'装量配置'!$D$6:$D$718,"固定颜色盒",'装量配置'!$E$6:$E$718,"&gt;0")&gt;0,1,0)+IF(COUNTIFS('装量配置'!$A$6:$A$718,A11,'装量配置'!$B$6:$B$718,"开局",'装量配置'!$D$6:$D$718,"单向收纳盒",'装量配置'!$E$6:$E$718,"&gt;0")&gt;0,1,0)+IF(COUNTIFS('装量配置'!$A$6:$A$718,A11,'装量配置'!$B$6:$B$718,"开局",'装量配置'!$D$6:$D$718,"底部置顶盒",'装量配置'!$E$6:$E$718,"&gt;0")&gt;0,1,0)+IF(COUNTIFS('装量配置'!$A$6:$A$718,A11,'装量配置'!$B$6:$B$718,"开局",'装量配置'!$D$6:$D$718,"炸弹盒",'装量配置'!$E$6:$E$718,"&gt;0")&gt;0,1,0)</ns0:f>
        <ns0:v>0</ns0:v>
      </ns0:c>
      <ns0:c r="BB11" s="150" t="n">
        <ns0:f>SUMIFS('装量配置'!$E$6:$E$718,'装量配置'!$A$6:$A$718,A11,'装量配置'!$B$6:$B$718,"开局",'装量配置'!$D$6:$D$718,"数字盖盒")+SUMIFS('装量配置'!$E$6:$E$718,'装量配置'!$A$6:$A$718,A11,'装量配置'!$B$6:$B$718,"开局",'装量配置'!$D$6:$D$718,"普通冰冻盒")+SUMIFS('装量配置'!$E$6:$E$718,'装量配置'!$A$6:$A$718,A11,'装量配置'!$B$6:$B$718,"开局",'装量配置'!$D$6:$D$718,"数字冰冻盒")</ns0:f>
        <ns0:v>0</ns0:v>
      </ns0:c>
      <ns0:c r="BC11" s="150" t="n">
        <ns0:f>SUMIFS('装量配置'!$R$6:$R$718,'装量配置'!$A$6:$A$718,A11,'装量配置'!$B$6:$B$718,"开局")</ns0:f>
        <ns0:v>0</ns0:v>
      </ns0:c>
      <ns0:c r="BD11" s="148" t="str">
        <ns0:v>下层隐藏露顶揭示</ns0:v>
      </ns0:c>
      <ns0:c r="BE11" s="150" t="n">
        <ns0:v>1</ns0:v>
      </ns0:c>
      <ns0:c r="BF11" s="148" t="str">
        <ns0:v>完整路线腾位检查；真人待测</ns0:v>
      </ns0:c>
    </ns0:row>
    <ns0:row r="12" ht="33" customHeight="1">
      <ns0:c r="A12" s="112" t="n">
        <ns0:v>7</ns0:v>
      </ns0:c>
      <ns0:c r="B12" s="112" t="str">
        <ns0:v>隐藏层</ns0:v>
      </ns0:c>
      <ns0:c r="C12" s="124" t="str">
        <ns0:v>隐藏练习</ns0:v>
      </ns0:c>
      <ns0:c r="D12" s="114" t="n">
        <ns0:v>4.2</ns0:v>
      </ns0:c>
      <ns0:c r="E12" s="124" t="str">
        <ns0:v>层序与周转规划</ns0:v>
      </ns0:c>
      <ns0:c r="F12" s="124" t="str">
        <ns0:v>隐藏揭示</ns0:v>
      </ns0:c>
      <ns0:c r="G12" s="112" t="str">
        <ns0:v>整齐</ns0:v>
      </ns0:c>
      <ns0:c r="H12" s="112" t="n">
        <ns0:v>8</ns0:v>
      </ns0:c>
      <ns0:c r="I12" s="112" t="n">
        <ns0:f>SUMIFS('装量配置'!$E$6:$E$718,'装量配置'!$A$6:$A$718,A12,'装量配置'!$B$6:$B$718,"开局",'装量配置'!$F$6:$F$718,4,'装量配置'!$G$6:$G$718,"&gt;0")</ns0:f>
        <ns0:v>20</ns0:v>
      </ns0:c>
      <ns0:c r="J12" s="112" t="n">
        <ns0:f>SUMIFS('装量配置'!$E$6:$E$718,'装量配置'!$A$6:$A$718,A12,'装量配置'!$B$6:$B$718,"备货")</ns0:f>
        <ns0:v>0</ns0:v>
      </ns0:c>
      <ns0:c r="K12" s="112" t="n">
        <ns0:v>18</ns0:v>
      </ns0:c>
      <ns0:c r="L12" s="112" t="n">
        <ns0:f>SUMIFS('装量配置'!$E$6:$E$718,'装量配置'!$A$6:$A$718,A12,'装量配置'!$B$6:$B$718,"开局",'装量配置'!$F$6:$F$718,4,'装量配置'!$G$6:$G$718,0,'装量配置'!$D$6:$D$718,"&lt;&gt;广告锁定周转盒")</ns0:f>
        <ns0:v>0</ns0:v>
      </ns0:c>
      <ns0:c r="M12" s="112" t="n">
        <ns0:f>SUMIFS('装量配置'!$E$6:$E$718,'装量配置'!$A$6:$A$718,A12,'装量配置'!$B$6:$B$718,"开局",'装量配置'!$F$6:$F$718,1)</ns0:f>
        <ns0:v>0</ns0:v>
      </ns0:c>
      <ns0:c r="N12" s="112" t="n">
        <ns0:f>SUMIFS('装量配置'!$E$6:$E$718,'装量配置'!$A$6:$A$718,A12,'装量配置'!$B$6:$B$718,"开局",'装量配置'!$D$6:$D$718,"广告锁定周转盒")</ns0:f>
        <ns0:v>2</ns0:v>
      </ns0:c>
      <ns0:c r="O12" s="112" t="n">
        <ns0:f>SUMIFS('装量配置'!$E$6:$E$718,'装量配置'!$A$6:$A$718,A12,'装量配置'!$B$6:$B$718,"开局")</ns0:f>
        <ns0:v>22</ns0:v>
      </ns0:c>
      <ns0:c r="P12" s="112" t="n">
        <ns0:f>SUMIFS('装量配置'!$K$6:$K$718,'装量配置'!$A$6:$A$718,A12)</ns0:f>
        <ns0:v>0</ns0:v>
      </ns0:c>
      <ns0:c r="Q12" s="112" t="n">
        <ns0:v>4</ns0:v>
      </ns0:c>
      <ns0:c r="R12" s="113" t="n">
        <ns0:v>0.027777777777777776</ns0:v>
      </ns0:c>
      <ns0:c r="S12" s="113" t="n">
        <ns0:v>0</ns0:v>
      </ns0:c>
      <ns0:c r="T12" s="112" t="n">
        <ns0:v>4</ns0:v>
      </ns0:c>
      <ns0:c r="U12" s="112" t="n">
        <ns0:v>0</ns0:v>
      </ns0:c>
      <ns0:c r="V12" s="124" t="str">
        <ns0:v>隐藏层</ns0:v>
      </ns0:c>
      <ns0:c r="W12" s="124" t="str">
        <ns0:v>无</ns0:v>
      </ns0:c>
      <ns0:c r="X12" s="124" t="str">
        <ns0:v>冰冻1×0；隐藏2颗；备货0盒</ns0:v>
      </ns0:c>
      <ns0:c r="Y12" s="112" t="n">
        <ns0:f>SUMIFS('装量配置'!$I$6:$I$718,'装量配置'!$A$6:$A$718,A12)</ns0:f>
        <ns0:v>72</ns0:v>
      </ns0:c>
      <ns0:c r="Z12" s="112" t="str">
        <ns0:f>IF(AND(O12&lt;=25,N12=2,Y12=K12*4,H12&lt;=K12,P12+AT12&gt;=4,COUNTIFS('装量配置'!$A$6:$A$718,A12,'装量配置'!$O$6:$O$718,"需调整")=0),"装量通过；待逐味","需调整")</ns0:f>
        <ns0:v>装量通过；待逐味</ns0:v>
      </ns0:c>
      <ns0:c r="AA12" s="107" t="str">
        <ns0:v>已保存完整可行解（非最短）</ns0:v>
      </ns0:c>
      <ns0:c r="AB12" s="107"/>
      <ns0:c r="AC12" s="107"/>
      <ns0:c r="AD12" s="113"/>
      <ns0:c r="AE12" s="114"/>
      <ns0:c r="AF12" s="109"/>
      <ns0:c r="AG12" s="109"/>
      <ns0:c r="AH12" s="110"/>
      <ns0:c r="AI12" s="129" t="str">
        <ns0:v>层序已制作；真人待测</ns0:v>
      </ns0:c>
      <ns0:c r="AJ12" s="124" t="str">
        <ns0:v>用户要求开局装量多样化；混合满盒、三颗盒、半满盒、单颗装量与空盒，整体维持温和波动；真人待测。</ns0:v>
      </ns0:c>
      <ns0:c r="AK12" s="124" t="str">
        <ns0:v>连续紧凑，按盒数均衡分排</ns0:v>
      </ns0:c>
      <ns0:c r="AL12" s="112" t="n">
        <ns0:v>1</ns0:v>
      </ns0:c>
      <ns0:c r="AM12" s="113"/>
      <ns0:c r="AN12" s="112"/>
      <ns0:c r="AO12" s="113"/>
      <ns0:c r="AP12" s="124" t="str">
        <ns0:v>四条件回放夹具已制作</ns0:v>
      </ns0:c>
      <ns0:c r="AQ12" s="107"/>
      <ns0:c r="AR12" s="120" t="n">
        <ns0:f>SUMIFS('装量配置'!$I$6:$I$718,'装量配置'!$A$6:$A$718,A12,'装量配置'!$B$6:$B$718,"开局")</ns0:f>
        <ns0:v>72</ns0:v>
      </ns0:c>
      <ns0:c r="AS12" s="132" t="n">
        <ns0:f>SUMIFS('装量配置'!$I$6:$I$718,'装量配置'!$A$6:$A$718,A12,'装量配置'!$B$6:$B$718,"开局",'装量配置'!$D$6:$D$718,"普通盒",'装量配置'!$G$6:$G$718,"&gt;0")/(4*SUMIFS('装量配置'!$E$6:$E$718,'装量配置'!$A$6:$A$718,A12,'装量配置'!$B$6:$B$718,"开局",'装量配置'!$D$6:$D$718,"普通盒",'装量配置'!$G$6:$G$718,"&gt;0"))</ns0:f>
        <ns0:v>0.9</ns0:v>
      </ns0:c>
      <ns0:c r="AT12" s="120" t="n">
        <ns0:f>SUMIFS('装量配置'!$L$6:$L$718,'装量配置'!$A$6:$A$718,A12)</ns0:f>
        <ns0:v>8</ns0:v>
      </ns0:c>
      <ns0:c r="AU12" s="120" t="n">
        <ns0:f>SUMIFS('装量配置'!$M$6:$M$718,'装量配置'!$A$6:$A$718,A12)</ns0:f>
        <ns0:v>0</ns0:v>
      </ns0:c>
      <ns0:c r="AV12" s="120" t="n">
        <ns0:f>SUMIFS('装量配置'!$N$6:$N$718,'装量配置'!$A$6:$A$718,A12)</ns0:f>
        <ns0:v>0</ns0:v>
      </ns0:c>
      <ns0:c r="AW12" s="132" t="n">
        <ns0:v>0.18</ns0:v>
      </ns0:c>
      <ns0:c r="AX12" s="120" t="n">
        <ns0:v>4</ns0:v>
      </ns0:c>
      <ns0:c r="AY12" s="120" t="n">
        <ns0:f>IF(AX12=1,1,0)</ns0:f>
        <ns0:v>0</ns0:v>
      </ns0:c>
      <ns0:c r="AZ12" s="120" t="n">
        <ns0:f>SUMIFS('装量配置'!$E$6:$E$718,'装量配置'!$A$6:$A$718,A12,'装量配置'!$B$6:$B$718,"开局",'装量配置'!$D$6:$D$718,"&lt;&gt;普通盒",'装量配置'!$D$6:$D$718,"&lt;&gt;广告锁定周转盒")</ns0:f>
        <ns0:v>0</ns0:v>
      </ns0:c>
      <ns0:c r="BA12" s="149" t="n">
        <ns0:f>IF(COUNTIFS('装量配置'!$A$6:$A$718,A12,'装量配置'!$B$6:$B$718,"开局",'装量配置'!$D$6:$D$718,"数字盖盒",'装量配置'!$E$6:$E$718,"&gt;0")&gt;0,1,0)+IF(COUNTIFS('装量配置'!$A$6:$A$718,A12,'装量配置'!$B$6:$B$718,"开局",'装量配置'!$D$6:$D$718,"普通冰冻盒",'装量配置'!$E$6:$E$718,"&gt;0")&gt;0,1,0)+IF(COUNTIFS('装量配置'!$A$6:$A$718,A12,'装量配置'!$B$6:$B$718,"开局",'装量配置'!$D$6:$D$718,"单颗暂存盒",'装量配置'!$E$6:$E$718,"&gt;0")&gt;0,1,0)+IF(COUNTIFS('装量配置'!$A$6:$A$718,A12,'装量配置'!$B$6:$B$718,"开局",'装量配置'!$D$6:$D$718,"数字冰冻盒",'装量配置'!$E$6:$E$718,"&gt;0")&gt;0,1,0)+IF(COUNTIFS('装量配置'!$A$6:$A$718,A12,'装量配置'!$B$6:$B$718,"开局",'装量配置'!$D$6:$D$718,"固定颜色盒",'装量配置'!$E$6:$E$718,"&gt;0")&gt;0,1,0)+IF(COUNTIFS('装量配置'!$A$6:$A$718,A12,'装量配置'!$B$6:$B$718,"开局",'装量配置'!$D$6:$D$718,"单向收纳盒",'装量配置'!$E$6:$E$718,"&gt;0")&gt;0,1,0)+IF(COUNTIFS('装量配置'!$A$6:$A$718,A12,'装量配置'!$B$6:$B$718,"开局",'装量配置'!$D$6:$D$718,"底部置顶盒",'装量配置'!$E$6:$E$718,"&gt;0")&gt;0,1,0)+IF(COUNTIFS('装量配置'!$A$6:$A$718,A12,'装量配置'!$B$6:$B$718,"开局",'装量配置'!$D$6:$D$718,"炸弹盒",'装量配置'!$E$6:$E$718,"&gt;0")&gt;0,1,0)</ns0:f>
        <ns0:v>0</ns0:v>
      </ns0:c>
      <ns0:c r="BB12" s="149" t="n">
        <ns0:f>SUMIFS('装量配置'!$E$6:$E$718,'装量配置'!$A$6:$A$718,A12,'装量配置'!$B$6:$B$718,"开局",'装量配置'!$D$6:$D$718,"数字盖盒")+SUMIFS('装量配置'!$E$6:$E$718,'装量配置'!$A$6:$A$718,A12,'装量配置'!$B$6:$B$718,"开局",'装量配置'!$D$6:$D$718,"普通冰冻盒")+SUMIFS('装量配置'!$E$6:$E$718,'装量配置'!$A$6:$A$718,A12,'装量配置'!$B$6:$B$718,"开局",'装量配置'!$D$6:$D$718,"数字冰冻盒")</ns0:f>
        <ns0:v>0</ns0:v>
      </ns0:c>
      <ns0:c r="BC12" s="149" t="n">
        <ns0:f>SUMIFS('装量配置'!$R$6:$R$718,'装量配置'!$A$6:$A$718,A12,'装量配置'!$B$6:$B$718,"开局")</ns0:f>
        <ns0:v>0</ns0:v>
      </ns0:c>
      <ns0:c r="BD12" s="146" t="str">
        <ns0:v>下层隐藏露顶揭示</ns0:v>
      </ns0:c>
      <ns0:c r="BE12" s="149" t="n">
        <ns0:v>2</ns0:v>
      </ns0:c>
      <ns0:c r="BF12" s="146" t="str">
        <ns0:v>完整路线腾位检查；真人待测</ns0:v>
      </ns0:c>
    </ns0:row>
    <ns0:row r="13" ht="33" customHeight="1">
      <ns0:c r="A13" s="105" t="n">
        <ns0:v>8</ns0:v>
      </ns0:c>
      <ns0:c r="B13" s="105" t="str">
        <ns0:v>隐藏层</ns0:v>
      </ns0:c>
      <ns0:c r="C13" s="123" t="str">
        <ns0:v>回落复习</ns0:v>
      </ns0:c>
      <ns0:c r="D13" s="108" t="n">
        <ns0:v>4</ns0:v>
      </ns0:c>
      <ns0:c r="E13" s="123" t="str">
        <ns0:v>层序与周转规划</ns0:v>
      </ns0:c>
      <ns0:c r="F13" s="123" t="str">
        <ns0:v>隐藏揭示</ns0:v>
      </ns0:c>
      <ns0:c r="G13" s="105" t="str">
        <ns0:v>整齐</ns0:v>
      </ns0:c>
      <ns0:c r="H13" s="105" t="n">
        <ns0:v>8</ns0:v>
      </ns0:c>
      <ns0:c r="I13" s="105" t="n">
        <ns0:f>SUMIFS('装量配置'!$E$6:$E$718,'装量配置'!$A$6:$A$718,A13,'装量配置'!$B$6:$B$718,"开局",'装量配置'!$F$6:$F$718,4,'装量配置'!$G$6:$G$718,"&gt;0")</ns0:f>
        <ns0:v>17</ns0:v>
      </ns0:c>
      <ns0:c r="J13" s="105" t="n">
        <ns0:f>SUMIFS('装量配置'!$E$6:$E$718,'装量配置'!$A$6:$A$718,A13,'装量配置'!$B$6:$B$718,"备货")</ns0:f>
        <ns0:v>0</ns0:v>
      </ns0:c>
      <ns0:c r="K13" s="105" t="n">
        <ns0:v>17</ns0:v>
      </ns0:c>
      <ns0:c r="L13" s="105" t="n">
        <ns0:f>SUMIFS('装量配置'!$E$6:$E$718,'装量配置'!$A$6:$A$718,A13,'装量配置'!$B$6:$B$718,"开局",'装量配置'!$F$6:$F$718,4,'装量配置'!$G$6:$G$718,0,'装量配置'!$D$6:$D$718,"&lt;&gt;广告锁定周转盒")</ns0:f>
        <ns0:v>2</ns0:v>
      </ns0:c>
      <ns0:c r="M13" s="105" t="n">
        <ns0:f>SUMIFS('装量配置'!$E$6:$E$718,'装量配置'!$A$6:$A$718,A13,'装量配置'!$B$6:$B$718,"开局",'装量配置'!$F$6:$F$718,1)</ns0:f>
        <ns0:v>0</ns0:v>
      </ns0:c>
      <ns0:c r="N13" s="105" t="n">
        <ns0:f>SUMIFS('装量配置'!$E$6:$E$718,'装量配置'!$A$6:$A$718,A13,'装量配置'!$B$6:$B$718,"开局",'装量配置'!$D$6:$D$718,"广告锁定周转盒")</ns0:f>
        <ns0:v>2</ns0:v>
      </ns0:c>
      <ns0:c r="O13" s="105" t="n">
        <ns0:f>SUMIFS('装量配置'!$E$6:$E$718,'装量配置'!$A$6:$A$718,A13,'装量配置'!$B$6:$B$718,"开局")</ns0:f>
        <ns0:v>21</ns0:v>
      </ns0:c>
      <ns0:c r="P13" s="105" t="n">
        <ns0:f>SUMIFS('装量配置'!$K$6:$K$718,'装量配置'!$A$6:$A$718,A13)</ns0:f>
        <ns0:v>8</ns0:v>
      </ns0:c>
      <ns0:c r="Q13" s="105" t="n">
        <ns0:v>3</ns0:v>
      </ns0:c>
      <ns0:c r="R13" s="106" t="n">
        <ns0:v>0.029411764705882353</ns0:v>
      </ns0:c>
      <ns0:c r="S13" s="106" t="n">
        <ns0:v>0</ns0:v>
      </ns0:c>
      <ns0:c r="T13" s="105" t="n">
        <ns0:v>3</ns0:v>
      </ns0:c>
      <ns0:c r="U13" s="105" t="n">
        <ns0:v>0</ns0:v>
      </ns0:c>
      <ns0:c r="V13" s="123" t="str">
        <ns0:v>数字冰冻盒</ns0:v>
      </ns0:c>
      <ns0:c r="W13" s="123" t="str">
        <ns0:v>隐藏层</ns0:v>
      </ns0:c>
      <ns0:c r="X13" s="123" t="str">
        <ns0:v>冰冻1×1；隐藏2颗；备货0盒</ns0:v>
      </ns0:c>
      <ns0:c r="Y13" s="105" t="n">
        <ns0:f>SUMIFS('装量配置'!$I$6:$I$718,'装量配置'!$A$6:$A$718,A13)</ns0:f>
        <ns0:v>68</ns0:v>
      </ns0:c>
      <ns0:c r="Z13" s="105" t="str">
        <ns0:f>IF(AND(O13&lt;=25,N13=2,Y13=K13*4,H13&lt;=K13,P13+AT13&gt;=4,COUNTIFS('装量配置'!$A$6:$A$718,A13,'装量配置'!$O$6:$O$718,"需调整")=0),"装量通过；待逐味","需调整")</ns0:f>
        <ns0:v>装量通过；待逐味</ns0:v>
      </ns0:c>
      <ns0:c r="AA13" s="107" t="str">
        <ns0:v>已保存完整可行解（非最短）</ns0:v>
      </ns0:c>
      <ns0:c r="AB13" s="107"/>
      <ns0:c r="AC13" s="107"/>
      <ns0:c r="AD13" s="106"/>
      <ns0:c r="AE13" s="108"/>
      <ns0:c r="AF13" s="109"/>
      <ns0:c r="AG13" s="109"/>
      <ns0:c r="AH13" s="110"/>
      <ns0:c r="AI13" s="129" t="str">
        <ns0:v>层序已制作；真人待测</ns0:v>
      </ns0:c>
      <ns0:c r="AJ13" s="123" t="str">
        <ns0:v>用户要求开局装量多样化；混合满盒、三颗盒、半满盒、单颗装量与空盒，整体维持温和波动；真人待测。</ns0:v>
      </ns0:c>
      <ns0:c r="AK13" s="123" t="str">
        <ns0:v>连续紧凑，按盒数均衡分排</ns0:v>
      </ns0:c>
      <ns0:c r="AL13" s="105" t="n">
        <ns0:v>1</ns0:v>
      </ns0:c>
      <ns0:c r="AM13" s="106"/>
      <ns0:c r="AN13" s="107"/>
      <ns0:c r="AO13" s="110"/>
      <ns0:c r="AP13" s="123" t="str">
        <ns0:v>四条件回放夹具已制作</ns0:v>
      </ns0:c>
      <ns0:c r="AQ13" s="107"/>
      <ns0:c r="AR13" s="121" t="n">
        <ns0:f>SUMIFS('装量配置'!$I$6:$I$718,'装量配置'!$A$6:$A$718,A13,'装量配置'!$B$6:$B$718,"开局")</ns0:f>
        <ns0:v>68</ns0:v>
      </ns0:c>
      <ns0:c r="AS13" s="133" t="n">
        <ns0:f>SUMIFS('装量配置'!$I$6:$I$718,'装量配置'!$A$6:$A$718,A13,'装量配置'!$B$6:$B$718,"开局",'装量配置'!$D$6:$D$718,"普通盒",'装量配置'!$G$6:$G$718,"&gt;0")/(4*SUMIFS('装量配置'!$E$6:$E$718,'装量配置'!$A$6:$A$718,A13,'装量配置'!$B$6:$B$718,"开局",'装量配置'!$D$6:$D$718,"普通盒",'装量配置'!$G$6:$G$718,"&gt;0"))</ns0:f>
        <ns0:v>1</ns0:v>
      </ns0:c>
      <ns0:c r="AT13" s="121" t="n">
        <ns0:f>SUMIFS('装量配置'!$L$6:$L$718,'装量配置'!$A$6:$A$718,A13)</ns0:f>
        <ns0:v>0</ns0:v>
      </ns0:c>
      <ns0:c r="AU13" s="121" t="n">
        <ns0:f>SUMIFS('装量配置'!$M$6:$M$718,'装量配置'!$A$6:$A$718,A13)</ns0:f>
        <ns0:v>0</ns0:v>
      </ns0:c>
      <ns0:c r="AV13" s="121" t="n">
        <ns0:f>SUMIFS('装量配置'!$N$6:$N$718,'装量配置'!$A$6:$A$718,A13)</ns0:f>
        <ns0:v>0</ns0:v>
      </ns0:c>
      <ns0:c r="AW13" s="133" t="n">
        <ns0:v>0.18</ns0:v>
      </ns0:c>
      <ns0:c r="AX13" s="121" t="n">
        <ns0:v>3</ns0:v>
      </ns0:c>
      <ns0:c r="AY13" s="121" t="n">
        <ns0:f>IF(AX13=1,1,0)</ns0:f>
        <ns0:v>0</ns0:v>
      </ns0:c>
      <ns0:c r="AZ13" s="121" t="n">
        <ns0:f>SUMIFS('装量配置'!$E$6:$E$718,'装量配置'!$A$6:$A$718,A13,'装量配置'!$B$6:$B$718,"开局",'装量配置'!$D$6:$D$718,"&lt;&gt;普通盒",'装量配置'!$D$6:$D$718,"&lt;&gt;广告锁定周转盒")</ns0:f>
        <ns0:v>1</ns0:v>
      </ns0:c>
      <ns0:c r="BA13" s="150" t="n">
        <ns0:f>IF(COUNTIFS('装量配置'!$A$6:$A$718,A13,'装量配置'!$B$6:$B$718,"开局",'装量配置'!$D$6:$D$718,"数字盖盒",'装量配置'!$E$6:$E$718,"&gt;0")&gt;0,1,0)+IF(COUNTIFS('装量配置'!$A$6:$A$718,A13,'装量配置'!$B$6:$B$718,"开局",'装量配置'!$D$6:$D$718,"普通冰冻盒",'装量配置'!$E$6:$E$718,"&gt;0")&gt;0,1,0)+IF(COUNTIFS('装量配置'!$A$6:$A$718,A13,'装量配置'!$B$6:$B$718,"开局",'装量配置'!$D$6:$D$718,"单颗暂存盒",'装量配置'!$E$6:$E$718,"&gt;0")&gt;0,1,0)+IF(COUNTIFS('装量配置'!$A$6:$A$718,A13,'装量配置'!$B$6:$B$718,"开局",'装量配置'!$D$6:$D$718,"数字冰冻盒",'装量配置'!$E$6:$E$718,"&gt;0")&gt;0,1,0)+IF(COUNTIFS('装量配置'!$A$6:$A$718,A13,'装量配置'!$B$6:$B$718,"开局",'装量配置'!$D$6:$D$718,"固定颜色盒",'装量配置'!$E$6:$E$718,"&gt;0")&gt;0,1,0)+IF(COUNTIFS('装量配置'!$A$6:$A$718,A13,'装量配置'!$B$6:$B$718,"开局",'装量配置'!$D$6:$D$718,"单向收纳盒",'装量配置'!$E$6:$E$718,"&gt;0")&gt;0,1,0)+IF(COUNTIFS('装量配置'!$A$6:$A$718,A13,'装量配置'!$B$6:$B$718,"开局",'装量配置'!$D$6:$D$718,"底部置顶盒",'装量配置'!$E$6:$E$718,"&gt;0")&gt;0,1,0)+IF(COUNTIFS('装量配置'!$A$6:$A$718,A13,'装量配置'!$B$6:$B$718,"开局",'装量配置'!$D$6:$D$718,"炸弹盒",'装量配置'!$E$6:$E$718,"&gt;0")&gt;0,1,0)</ns0:f>
        <ns0:v>1</ns0:v>
      </ns0:c>
      <ns0:c r="BB13" s="150" t="n">
        <ns0:f>SUMIFS('装量配置'!$E$6:$E$718,'装量配置'!$A$6:$A$718,A13,'装量配置'!$B$6:$B$718,"开局",'装量配置'!$D$6:$D$718,"数字盖盒")+SUMIFS('装量配置'!$E$6:$E$718,'装量配置'!$A$6:$A$718,A13,'装量配置'!$B$6:$B$718,"开局",'装量配置'!$D$6:$D$718,"普通冰冻盒")+SUMIFS('装量配置'!$E$6:$E$718,'装量配置'!$A$6:$A$718,A13,'装量配置'!$B$6:$B$718,"开局",'装量配置'!$D$6:$D$718,"数字冰冻盒")</ns0:f>
        <ns0:v>1</ns0:v>
      </ns0:c>
      <ns0:c r="BC13" s="150" t="n">
        <ns0:f>SUMIFS('装量配置'!$R$6:$R$718,'装量配置'!$A$6:$A$718,A13,'装量配置'!$B$6:$B$718,"开局")</ns0:f>
        <ns0:v>1</ns0:v>
      </ns0:c>
      <ns0:c r="BD13" s="148" t="str">
        <ns0:v>首次归纳逐只解冻</ns0:v>
      </ns0:c>
      <ns0:c r="BE13" s="150" t="n">
        <ns0:v>1</ns0:v>
      </ns0:c>
      <ns0:c r="BF13" s="148" t="str">
        <ns0:v>完整路线腾位检查；真人待测</ns0:v>
      </ns0:c>
    </ns0:row>
    <ns0:row r="14" ht="33" customHeight="1">
      <ns0:c r="A14" s="112" t="n">
        <ns0:v>9</ns0:v>
      </ns0:c>
      <ns0:c r="B14" s="112" t="str">
        <ns0:v>原位补货</ns0:v>
      </ns0:c>
      <ns0:c r="C14" s="124" t="str">
        <ns0:v>补货教学</ns0:v>
      </ns0:c>
      <ns0:c r="D14" s="114" t="n">
        <ns0:v>4.2</ns0:v>
      </ns0:c>
      <ns0:c r="E14" s="124" t="str">
        <ns0:v>层序与周转规划</ns0:v>
      </ns0:c>
      <ns0:c r="F14" s="124" t="str">
        <ns0:v>补货顺序</ns0:v>
      </ns0:c>
      <ns0:c r="G14" s="112" t="str">
        <ns0:v>整齐</ns0:v>
      </ns0:c>
      <ns0:c r="H14" s="112" t="n">
        <ns0:v>8</ns0:v>
      </ns0:c>
      <ns0:c r="I14" s="112" t="n">
        <ns0:f>SUMIFS('装量配置'!$E$6:$E$718,'装量配置'!$A$6:$A$718,A14,'装量配置'!$B$6:$B$718,"开局",'装量配置'!$F$6:$F$718,4,'装量配置'!$G$6:$G$718,"&gt;0")</ns0:f>
        <ns0:v>17</ns0:v>
      </ns0:c>
      <ns0:c r="J14" s="112" t="n">
        <ns0:f>SUMIFS('装量配置'!$E$6:$E$718,'装量配置'!$A$6:$A$718,A14,'装量配置'!$B$6:$B$718,"备货")</ns0:f>
        <ns0:v>1</ns0:v>
      </ns0:c>
      <ns0:c r="K14" s="112" t="n">
        <ns0:v>17</ns0:v>
      </ns0:c>
      <ns0:c r="L14" s="112" t="n">
        <ns0:f>SUMIFS('装量配置'!$E$6:$E$718,'装量配置'!$A$6:$A$718,A14,'装量配置'!$B$6:$B$718,"开局",'装量配置'!$F$6:$F$718,4,'装量配置'!$G$6:$G$718,0,'装量配置'!$D$6:$D$718,"&lt;&gt;广告锁定周转盒")</ns0:f>
        <ns0:v>1</ns0:v>
      </ns0:c>
      <ns0:c r="M14" s="112" t="n">
        <ns0:f>SUMIFS('装量配置'!$E$6:$E$718,'装量配置'!$A$6:$A$718,A14,'装量配置'!$B$6:$B$718,"开局",'装量配置'!$F$6:$F$718,1)</ns0:f>
        <ns0:v>0</ns0:v>
      </ns0:c>
      <ns0:c r="N14" s="112" t="n">
        <ns0:f>SUMIFS('装量配置'!$E$6:$E$718,'装量配置'!$A$6:$A$718,A14,'装量配置'!$B$6:$B$718,"开局",'装量配置'!$D$6:$D$718,"广告锁定周转盒")</ns0:f>
        <ns0:v>2</ns0:v>
      </ns0:c>
      <ns0:c r="O14" s="112" t="n">
        <ns0:f>SUMIFS('装量配置'!$E$6:$E$718,'装量配置'!$A$6:$A$718,A14,'装量配置'!$B$6:$B$718,"开局")</ns0:f>
        <ns0:v>20</ns0:v>
      </ns0:c>
      <ns0:c r="P14" s="112" t="n">
        <ns0:f>SUMIFS('装量配置'!$K$6:$K$718,'装量配置'!$A$6:$A$718,A14)</ns0:f>
        <ns0:v>4</ns0:v>
      </ns0:c>
      <ns0:c r="Q14" s="112" t="n">
        <ns0:v>4</ns0:v>
      </ns0:c>
      <ns0:c r="R14" s="113" t="n">
        <ns0:v>0</ns0:v>
      </ns0:c>
      <ns0:c r="S14" s="113" t="n">
        <ns0:v>0</ns0:v>
      </ns0:c>
      <ns0:c r="T14" s="112" t="n">
        <ns0:v>4</ns0:v>
      </ns0:c>
      <ns0:c r="U14" s="112" t="n">
        <ns0:v>1</ns0:v>
      </ns0:c>
      <ns0:c r="V14" s="124" t="str">
        <ns0:v>备货</ns0:v>
      </ns0:c>
      <ns0:c r="W14" s="124" t="str">
        <ns0:v>无</ns0:v>
      </ns0:c>
      <ns0:c r="X14" s="124" t="str">
        <ns0:v>冰冻1×0；隐藏0颗；备货1盒</ns0:v>
      </ns0:c>
      <ns0:c r="Y14" s="112" t="n">
        <ns0:f>SUMIFS('装量配置'!$I$6:$I$718,'装量配置'!$A$6:$A$718,A14)</ns0:f>
        <ns0:v>68</ns0:v>
      </ns0:c>
      <ns0:c r="Z14" s="112" t="str">
        <ns0:f>IF(AND(O14&lt;=25,N14=2,Y14=K14*4,H14&lt;=K14,P14+AT14&gt;=4,COUNTIFS('装量配置'!$A$6:$A$718,A14,'装量配置'!$O$6:$O$718,"需调整")=0),"装量通过；待逐味","需调整")</ns0:f>
        <ns0:v>装量通过；待逐味</ns0:v>
      </ns0:c>
      <ns0:c r="AA14" s="107" t="str">
        <ns0:v>已保存完整可行解（非最短）</ns0:v>
      </ns0:c>
      <ns0:c r="AB14" s="107"/>
      <ns0:c r="AC14" s="107"/>
      <ns0:c r="AD14" s="113"/>
      <ns0:c r="AE14" s="114"/>
      <ns0:c r="AF14" s="109"/>
      <ns0:c r="AG14" s="109"/>
      <ns0:c r="AH14" s="110"/>
      <ns0:c r="AI14" s="129" t="str">
        <ns0:v>层序已制作；真人待测</ns0:v>
      </ns0:c>
      <ns0:c r="AJ14" s="124" t="str">
        <ns0:v>用户要求开局装量多样化；混合满盒、三颗盒、半满盒、单颗装量与空盒，整体维持温和波动；真人待测。</ns0:v>
      </ns0:c>
      <ns0:c r="AK14" s="124" t="str">
        <ns0:v>连续紧凑，按盒数均衡分排</ns0:v>
      </ns0:c>
      <ns0:c r="AL14" s="112" t="n">
        <ns0:v>1</ns0:v>
      </ns0:c>
      <ns0:c r="AM14" s="113"/>
      <ns0:c r="AN14" s="112"/>
      <ns0:c r="AO14" s="113"/>
      <ns0:c r="AP14" s="124" t="str">
        <ns0:v>四条件回放夹具已制作</ns0:v>
      </ns0:c>
      <ns0:c r="AQ14" s="107"/>
      <ns0:c r="AR14" s="120" t="n">
        <ns0:f>SUMIFS('装量配置'!$I$6:$I$718,'装量配置'!$A$6:$A$718,A14,'装量配置'!$B$6:$B$718,"开局")</ns0:f>
        <ns0:v>64</ns0:v>
      </ns0:c>
      <ns0:c r="AS14" s="132" t="n">
        <ns0:f>SUMIFS('装量配置'!$I$6:$I$718,'装量配置'!$A$6:$A$718,A14,'装量配置'!$B$6:$B$718,"开局",'装量配置'!$D$6:$D$718,"普通盒",'装量配置'!$G$6:$G$718,"&gt;0")/(4*SUMIFS('装量配置'!$E$6:$E$718,'装量配置'!$A$6:$A$718,A14,'装量配置'!$B$6:$B$718,"开局",'装量配置'!$D$6:$D$718,"普通盒",'装量配置'!$G$6:$G$718,"&gt;0"))</ns0:f>
        <ns0:v>0.9411764705882353</ns0:v>
      </ns0:c>
      <ns0:c r="AT14" s="120" t="n">
        <ns0:f>SUMIFS('装量配置'!$L$6:$L$718,'装量配置'!$A$6:$A$718,A14)</ns0:f>
        <ns0:v>4</ns0:v>
      </ns0:c>
      <ns0:c r="AU14" s="120" t="n">
        <ns0:f>SUMIFS('装量配置'!$M$6:$M$718,'装量配置'!$A$6:$A$718,A14)</ns0:f>
        <ns0:v>0</ns0:v>
      </ns0:c>
      <ns0:c r="AV14" s="120" t="n">
        <ns0:f>SUMIFS('装量配置'!$N$6:$N$718,'装量配置'!$A$6:$A$718,A14)</ns0:f>
        <ns0:v>0</ns0:v>
      </ns0:c>
      <ns0:c r="AW14" s="132" t="n">
        <ns0:v>0.18</ns0:v>
      </ns0:c>
      <ns0:c r="AX14" s="120" t="n">
        <ns0:v>4</ns0:v>
      </ns0:c>
      <ns0:c r="AY14" s="120" t="n">
        <ns0:f>IF(AX14=1,1,0)</ns0:f>
        <ns0:v>0</ns0:v>
      </ns0:c>
      <ns0:c r="AZ14" s="120" t="n">
        <ns0:f>SUMIFS('装量配置'!$E$6:$E$718,'装量配置'!$A$6:$A$718,A14,'装量配置'!$B$6:$B$718,"开局",'装量配置'!$D$6:$D$718,"&lt;&gt;普通盒",'装量配置'!$D$6:$D$718,"&lt;&gt;广告锁定周转盒")</ns0:f>
        <ns0:v>0</ns0:v>
      </ns0:c>
      <ns0:c r="BA14" s="149" t="n">
        <ns0:f>IF(COUNTIFS('装量配置'!$A$6:$A$718,A14,'装量配置'!$B$6:$B$718,"开局",'装量配置'!$D$6:$D$718,"数字盖盒",'装量配置'!$E$6:$E$718,"&gt;0")&gt;0,1,0)+IF(COUNTIFS('装量配置'!$A$6:$A$718,A14,'装量配置'!$B$6:$B$718,"开局",'装量配置'!$D$6:$D$718,"普通冰冻盒",'装量配置'!$E$6:$E$718,"&gt;0")&gt;0,1,0)+IF(COUNTIFS('装量配置'!$A$6:$A$718,A14,'装量配置'!$B$6:$B$718,"开局",'装量配置'!$D$6:$D$718,"单颗暂存盒",'装量配置'!$E$6:$E$718,"&gt;0")&gt;0,1,0)+IF(COUNTIFS('装量配置'!$A$6:$A$718,A14,'装量配置'!$B$6:$B$718,"开局",'装量配置'!$D$6:$D$718,"数字冰冻盒",'装量配置'!$E$6:$E$718,"&gt;0")&gt;0,1,0)+IF(COUNTIFS('装量配置'!$A$6:$A$718,A14,'装量配置'!$B$6:$B$718,"开局",'装量配置'!$D$6:$D$718,"固定颜色盒",'装量配置'!$E$6:$E$718,"&gt;0")&gt;0,1,0)+IF(COUNTIFS('装量配置'!$A$6:$A$718,A14,'装量配置'!$B$6:$B$718,"开局",'装量配置'!$D$6:$D$718,"单向收纳盒",'装量配置'!$E$6:$E$718,"&gt;0")&gt;0,1,0)+IF(COUNTIFS('装量配置'!$A$6:$A$718,A14,'装量配置'!$B$6:$B$718,"开局",'装量配置'!$D$6:$D$718,"底部置顶盒",'装量配置'!$E$6:$E$718,"&gt;0")&gt;0,1,0)+IF(COUNTIFS('装量配置'!$A$6:$A$718,A14,'装量配置'!$B$6:$B$718,"开局",'装量配置'!$D$6:$D$718,"炸弹盒",'装量配置'!$E$6:$E$718,"&gt;0")&gt;0,1,0)</ns0:f>
        <ns0:v>0</ns0:v>
      </ns0:c>
      <ns0:c r="BB14" s="149" t="n">
        <ns0:f>SUMIFS('装量配置'!$E$6:$E$718,'装量配置'!$A$6:$A$718,A14,'装量配置'!$B$6:$B$718,"开局",'装量配置'!$D$6:$D$718,"数字盖盒")+SUMIFS('装量配置'!$E$6:$E$718,'装量配置'!$A$6:$A$718,A14,'装量配置'!$B$6:$B$718,"开局",'装量配置'!$D$6:$D$718,"普通冰冻盒")+SUMIFS('装量配置'!$E$6:$E$718,'装量配置'!$A$6:$A$718,A14,'装量配置'!$B$6:$B$718,"开局",'装量配置'!$D$6:$D$718,"数字冰冻盒")</ns0:f>
        <ns0:v>0</ns0:v>
      </ns0:c>
      <ns0:c r="BC14" s="149" t="n">
        <ns0:f>SUMIFS('装量配置'!$R$6:$R$718,'装量配置'!$A$6:$A$718,A14,'装量配置'!$B$6:$B$718,"开局")</ns0:f>
        <ns0:v>0</ns0:v>
      </ns0:c>
      <ns0:c r="BD14" s="146" t="str">
        <ns0:v>回收后左右原位补货</ns0:v>
      </ns0:c>
      <ns0:c r="BE14" s="149" t="n">
        <ns0:v>1</ns0:v>
      </ns0:c>
      <ns0:c r="BF14" s="146" t="str">
        <ns0:v>完整路线腾位检查；真人待测</ns0:v>
      </ns0:c>
    </ns0:row>
    <ns0:row r="15" ht="33" customHeight="1">
      <ns0:c r="A15" s="105" t="n">
        <ns0:v>10</ns0:v>
      </ns0:c>
      <ns0:c r="B15" s="105" t="str">
        <ns0:v>原位补货</ns0:v>
      </ns0:c>
      <ns0:c r="C15" s="123" t="str">
        <ns0:v>阶段小挑战</ns0:v>
      </ns0:c>
      <ns0:c r="D15" s="108" t="n">
        <ns0:v>4.4</ns0:v>
      </ns0:c>
      <ns0:c r="E15" s="123" t="str">
        <ns0:v>层序与周转规划</ns0:v>
      </ns0:c>
      <ns0:c r="F15" s="123" t="str">
        <ns0:v>补货顺序</ns0:v>
      </ns0:c>
      <ns0:c r="G15" s="105" t="str">
        <ns0:v>整齐</ns0:v>
      </ns0:c>
      <ns0:c r="H15" s="105" t="n">
        <ns0:v>8</ns0:v>
      </ns0:c>
      <ns0:c r="I15" s="105" t="n">
        <ns0:f>SUMIFS('装量配置'!$E$6:$E$718,'装量配置'!$A$6:$A$718,A15,'装量配置'!$B$6:$B$718,"开局",'装量配置'!$F$6:$F$718,4,'装量配置'!$G$6:$G$718,"&gt;0")</ns0:f>
        <ns0:v>18</ns0:v>
      </ns0:c>
      <ns0:c r="J15" s="105" t="n">
        <ns0:f>SUMIFS('装量配置'!$E$6:$E$718,'装量配置'!$A$6:$A$718,A15,'装量配置'!$B$6:$B$718,"备货")</ns0:f>
        <ns0:v>2</ns0:v>
      </ns0:c>
      <ns0:c r="K15" s="105" t="n">
        <ns0:v>18</ns0:v>
      </ns0:c>
      <ns0:c r="L15" s="105" t="n">
        <ns0:f>SUMIFS('装量配置'!$E$6:$E$718,'装量配置'!$A$6:$A$718,A15,'装量配置'!$B$6:$B$718,"开局",'装量配置'!$F$6:$F$718,4,'装量配置'!$G$6:$G$718,0,'装量配置'!$D$6:$D$718,"&lt;&gt;广告锁定周转盒")</ns0:f>
        <ns0:v>0</ns0:v>
      </ns0:c>
      <ns0:c r="M15" s="105" t="n">
        <ns0:f>SUMIFS('装量配置'!$E$6:$E$718,'装量配置'!$A$6:$A$718,A15,'装量配置'!$B$6:$B$718,"开局",'装量配置'!$F$6:$F$718,1)</ns0:f>
        <ns0:v>0</ns0:v>
      </ns0:c>
      <ns0:c r="N15" s="105" t="n">
        <ns0:f>SUMIFS('装量配置'!$E$6:$E$718,'装量配置'!$A$6:$A$718,A15,'装量配置'!$B$6:$B$718,"开局",'装量配置'!$D$6:$D$718,"广告锁定周转盒")</ns0:f>
        <ns0:v>2</ns0:v>
      </ns0:c>
      <ns0:c r="O15" s="105" t="n">
        <ns0:f>SUMIFS('装量配置'!$E$6:$E$718,'装量配置'!$A$6:$A$718,A15,'装量配置'!$B$6:$B$718,"开局")</ns0:f>
        <ns0:v>20</ns0:v>
      </ns0:c>
      <ns0:c r="P15" s="105" t="n">
        <ns0:f>SUMIFS('装量配置'!$K$6:$K$718,'装量配置'!$A$6:$A$718,A15)</ns0:f>
        <ns0:v>0</ns0:v>
      </ns0:c>
      <ns0:c r="Q15" s="105" t="n">
        <ns0:v>4</ns0:v>
      </ns0:c>
      <ns0:c r="R15" s="106" t="n">
        <ns0:v>0</ns0:v>
      </ns0:c>
      <ns0:c r="S15" s="106" t="n">
        <ns0:v>0</ns0:v>
      </ns0:c>
      <ns0:c r="T15" s="105" t="n">
        <ns0:v>4</ns0:v>
      </ns0:c>
      <ns0:c r="U15" s="105" t="n">
        <ns0:v>2</ns0:v>
      </ns0:c>
      <ns0:c r="V15" s="123" t="str">
        <ns0:v>备货</ns0:v>
      </ns0:c>
      <ns0:c r="W15" s="123" t="str">
        <ns0:v>无</ns0:v>
      </ns0:c>
      <ns0:c r="X15" s="123" t="str">
        <ns0:v>冰冻1×0；隐藏0颗；备货2盒</ns0:v>
      </ns0:c>
      <ns0:c r="Y15" s="105" t="n">
        <ns0:f>SUMIFS('装量配置'!$I$6:$I$718,'装量配置'!$A$6:$A$718,A15)</ns0:f>
        <ns0:v>72</ns0:v>
      </ns0:c>
      <ns0:c r="Z15" s="105" t="str">
        <ns0:f>IF(AND(O15&lt;=25,N15=2,Y15=K15*4,H15&lt;=K15,P15+AT15&gt;=4,COUNTIFS('装量配置'!$A$6:$A$718,A15,'装量配置'!$O$6:$O$718,"需调整")=0),"装量通过；待逐味","需调整")</ns0:f>
        <ns0:v>装量通过；待逐味</ns0:v>
      </ns0:c>
      <ns0:c r="AA15" s="107" t="str">
        <ns0:v>已保存完整可行解（非最短）</ns0:v>
      </ns0:c>
      <ns0:c r="AB15" s="107"/>
      <ns0:c r="AC15" s="107"/>
      <ns0:c r="AD15" s="106"/>
      <ns0:c r="AE15" s="108"/>
      <ns0:c r="AF15" s="109"/>
      <ns0:c r="AG15" s="109"/>
      <ns0:c r="AH15" s="110"/>
      <ns0:c r="AI15" s="129" t="str">
        <ns0:v>层序已制作；真人待测</ns0:v>
      </ns0:c>
      <ns0:c r="AJ15" s="123" t="str">
        <ns0:v>用户要求开局装量多样化；混合满盒、三颗盒、半满盒、单颗装量与空盒，整体维持温和波动；真人待测。</ns0:v>
      </ns0:c>
      <ns0:c r="AK15" s="123" t="str">
        <ns0:v>连续紧凑，按盒数均衡分排</ns0:v>
      </ns0:c>
      <ns0:c r="AL15" s="105" t="n">
        <ns0:v>1</ns0:v>
      </ns0:c>
      <ns0:c r="AM15" s="106"/>
      <ns0:c r="AN15" s="107"/>
      <ns0:c r="AO15" s="110"/>
      <ns0:c r="AP15" s="123" t="str">
        <ns0:v>四条件回放夹具已制作</ns0:v>
      </ns0:c>
      <ns0:c r="AQ15" s="107"/>
      <ns0:c r="AR15" s="121" t="n">
        <ns0:f>SUMIFS('装量配置'!$I$6:$I$718,'装量配置'!$A$6:$A$718,A15,'装量配置'!$B$6:$B$718,"开局")</ns0:f>
        <ns0:v>64</ns0:v>
      </ns0:c>
      <ns0:c r="AS15" s="133" t="n">
        <ns0:f>SUMIFS('装量配置'!$I$6:$I$718,'装量配置'!$A$6:$A$718,A15,'装量配置'!$B$6:$B$718,"开局",'装量配置'!$D$6:$D$718,"普通盒",'装量配置'!$G$6:$G$718,"&gt;0")/(4*SUMIFS('装量配置'!$E$6:$E$718,'装量配置'!$A$6:$A$718,A15,'装量配置'!$B$6:$B$718,"开局",'装量配置'!$D$6:$D$718,"普通盒",'装量配置'!$G$6:$G$718,"&gt;0"))</ns0:f>
        <ns0:v>0.8888888888888888</ns0:v>
      </ns0:c>
      <ns0:c r="AT15" s="121" t="n">
        <ns0:f>SUMIFS('装量配置'!$L$6:$L$718,'装量配置'!$A$6:$A$718,A15)</ns0:f>
        <ns0:v>8</ns0:v>
      </ns0:c>
      <ns0:c r="AU15" s="121" t="n">
        <ns0:f>SUMIFS('装量配置'!$M$6:$M$718,'装量配置'!$A$6:$A$718,A15)</ns0:f>
        <ns0:v>0</ns0:v>
      </ns0:c>
      <ns0:c r="AV15" s="121" t="n">
        <ns0:f>SUMIFS('装量配置'!$N$6:$N$718,'装量配置'!$A$6:$A$718,A15)</ns0:f>
        <ns0:v>0</ns0:v>
      </ns0:c>
      <ns0:c r="AW15" s="133" t="n">
        <ns0:v>0.18</ns0:v>
      </ns0:c>
      <ns0:c r="AX15" s="121" t="n">
        <ns0:v>5</ns0:v>
      </ns0:c>
      <ns0:c r="AY15" s="121" t="n">
        <ns0:f>IF(AX15=1,1,0)</ns0:f>
        <ns0:v>0</ns0:v>
      </ns0:c>
      <ns0:c r="AZ15" s="121" t="n">
        <ns0:f>SUMIFS('装量配置'!$E$6:$E$718,'装量配置'!$A$6:$A$718,A15,'装量配置'!$B$6:$B$718,"开局",'装量配置'!$D$6:$D$718,"&lt;&gt;普通盒",'装量配置'!$D$6:$D$718,"&lt;&gt;广告锁定周转盒")</ns0:f>
        <ns0:v>0</ns0:v>
      </ns0:c>
      <ns0:c r="BA15" s="150" t="n">
        <ns0:f>IF(COUNTIFS('装量配置'!$A$6:$A$718,A15,'装量配置'!$B$6:$B$718,"开局",'装量配置'!$D$6:$D$718,"数字盖盒",'装量配置'!$E$6:$E$718,"&gt;0")&gt;0,1,0)+IF(COUNTIFS('装量配置'!$A$6:$A$718,A15,'装量配置'!$B$6:$B$718,"开局",'装量配置'!$D$6:$D$718,"普通冰冻盒",'装量配置'!$E$6:$E$718,"&gt;0")&gt;0,1,0)+IF(COUNTIFS('装量配置'!$A$6:$A$718,A15,'装量配置'!$B$6:$B$718,"开局",'装量配置'!$D$6:$D$718,"单颗暂存盒",'装量配置'!$E$6:$E$718,"&gt;0")&gt;0,1,0)+IF(COUNTIFS('装量配置'!$A$6:$A$718,A15,'装量配置'!$B$6:$B$718,"开局",'装量配置'!$D$6:$D$718,"数字冰冻盒",'装量配置'!$E$6:$E$718,"&gt;0")&gt;0,1,0)+IF(COUNTIFS('装量配置'!$A$6:$A$718,A15,'装量配置'!$B$6:$B$718,"开局",'装量配置'!$D$6:$D$718,"固定颜色盒",'装量配置'!$E$6:$E$718,"&gt;0")&gt;0,1,0)+IF(COUNTIFS('装量配置'!$A$6:$A$718,A15,'装量配置'!$B$6:$B$718,"开局",'装量配置'!$D$6:$D$718,"单向收纳盒",'装量配置'!$E$6:$E$718,"&gt;0")&gt;0,1,0)+IF(COUNTIFS('装量配置'!$A$6:$A$718,A15,'装量配置'!$B$6:$B$718,"开局",'装量配置'!$D$6:$D$718,"底部置顶盒",'装量配置'!$E$6:$E$718,"&gt;0")&gt;0,1,0)+IF(COUNTIFS('装量配置'!$A$6:$A$718,A15,'装量配置'!$B$6:$B$718,"开局",'装量配置'!$D$6:$D$718,"炸弹盒",'装量配置'!$E$6:$E$718,"&gt;0")&gt;0,1,0)</ns0:f>
        <ns0:v>0</ns0:v>
      </ns0:c>
      <ns0:c r="BB15" s="150" t="n">
        <ns0:f>SUMIFS('装量配置'!$E$6:$E$718,'装量配置'!$A$6:$A$718,A15,'装量配置'!$B$6:$B$718,"开局",'装量配置'!$D$6:$D$718,"数字盖盒")+SUMIFS('装量配置'!$E$6:$E$718,'装量配置'!$A$6:$A$718,A15,'装量配置'!$B$6:$B$718,"开局",'装量配置'!$D$6:$D$718,"普通冰冻盒")+SUMIFS('装量配置'!$E$6:$E$718,'装量配置'!$A$6:$A$718,A15,'装量配置'!$B$6:$B$718,"开局",'装量配置'!$D$6:$D$718,"数字冰冻盒")</ns0:f>
        <ns0:v>0</ns0:v>
      </ns0:c>
      <ns0:c r="BC15" s="150" t="n">
        <ns0:f>SUMIFS('装量配置'!$R$6:$R$718,'装量配置'!$A$6:$A$718,A15,'装量配置'!$B$6:$B$718,"开局")</ns0:f>
        <ns0:v>0</ns0:v>
      </ns0:c>
      <ns0:c r="BD15" s="148" t="str">
        <ns0:v>回收后左右原位补货</ns0:v>
      </ns0:c>
      <ns0:c r="BE15" s="150" t="n">
        <ns0:v>2</ns0:v>
      </ns0:c>
      <ns0:c r="BF15" s="148" t="str">
        <ns0:v>完整路线腾位检查；真人待测</ns0:v>
      </ns0:c>
    </ns0:row>
    <ns0:row r="16" ht="33" customHeight="1">
      <ns0:c r="A16" s="97" t="n">
        <ns0:v>11</ns0:v>
      </ns0:c>
      <ns0:c r="B16" s="97" t="str">
        <ns0:v>数字冰冻盒</ns0:v>
      </ns0:c>
      <ns0:c r="C16" s="122" t="str">
        <ns0:v>熟悉机制过渡</ns0:v>
      </ns0:c>
      <ns0:c r="D16" s="100" t="n">
        <ns0:v>4.3</ns0:v>
      </ns0:c>
      <ns0:c r="E16" s="122" t="str">
        <ns0:v>颜色层序与接收空间</ns0:v>
      </ns0:c>
      <ns0:c r="F16" s="122" t="str">
        <ns0:v>机关释放与订单顺序</ns0:v>
      </ns0:c>
      <ns0:c r="G16" s="97" t="str">
        <ns0:v>整齐</ns0:v>
      </ns0:c>
      <ns0:c r="H16" s="97" t="n">
        <ns0:v>8</ns0:v>
      </ns0:c>
      <ns0:c r="I16" s="97" t="n">
        <ns0:f>SUMIFS('装量配置'!$E$6:$E$718,'装量配置'!$A$6:$A$718,A16,'装量配置'!$B$6:$B$718,"开局",'装量配置'!$F$6:$F$718,4,'装量配置'!$G$6:$G$718,"&gt;0")</ns0:f>
        <ns0:v>17</ns0:v>
      </ns0:c>
      <ns0:c r="J16" s="97" t="n">
        <ns0:f>SUMIFS('装量配置'!$E$6:$E$718,'装量配置'!$A$6:$A$718,A16,'装量配置'!$B$6:$B$718,"备货")</ns0:f>
        <ns0:v>0</ns0:v>
      </ns0:c>
      <ns0:c r="K16" s="97" t="n">
        <ns0:v>16</ns0:v>
      </ns0:c>
      <ns0:c r="L16" s="97" t="n">
        <ns0:f>SUMIFS('装量配置'!$E$6:$E$718,'装量配置'!$A$6:$A$718,A16,'装量配置'!$B$6:$B$718,"开局",'装量配置'!$F$6:$F$718,4,'装量配置'!$G$6:$G$718,0,'装量配置'!$D$6:$D$718,"&lt;&gt;广告锁定周转盒")</ns0:f>
        <ns0:v>1</ns0:v>
      </ns0:c>
      <ns0:c r="M16" s="97" t="n">
        <ns0:f>SUMIFS('装量配置'!$E$6:$E$718,'装量配置'!$A$6:$A$718,A16,'装量配置'!$B$6:$B$718,"开局",'装量配置'!$F$6:$F$718,1)</ns0:f>
        <ns0:v>0</ns0:v>
      </ns0:c>
      <ns0:c r="N16" s="97" t="n">
        <ns0:f>SUMIFS('装量配置'!$E$6:$E$718,'装量配置'!$A$6:$A$718,A16,'装量配置'!$B$6:$B$718,"开局",'装量配置'!$D$6:$D$718,"广告锁定周转盒")</ns0:f>
        <ns0:v>2</ns0:v>
      </ns0:c>
      <ns0:c r="O16" s="97" t="n">
        <ns0:f>SUMIFS('装量配置'!$E$6:$E$718,'装量配置'!$A$6:$A$718,A16,'装量配置'!$B$6:$B$718,"开局")</ns0:f>
        <ns0:v>20</ns0:v>
      </ns0:c>
      <ns0:c r="P16" s="97" t="n">
        <ns0:f>SUMIFS('装量配置'!$K$6:$K$718,'装量配置'!$A$6:$A$718,A16)</ns0:f>
        <ns0:v>4</ns0:v>
      </ns0:c>
      <ns0:c r="Q16" s="97" t="n">
        <ns0:v>4</ns0:v>
      </ns0:c>
      <ns0:c r="R16" s="98" t="n">
        <ns0:v>0.03125</ns0:v>
      </ns0:c>
      <ns0:c r="S16" s="98" t="n">
        <ns0:v>0</ns0:v>
      </ns0:c>
      <ns0:c r="T16" s="97" t="n">
        <ns0:v>4</ns0:v>
      </ns0:c>
      <ns0:c r="U16" s="97" t="n">
        <ns0:v>0</ns0:v>
      </ns0:c>
      <ns0:c r="V16" s="122" t="str">
        <ns0:v>数字冰冻盒</ns0:v>
      </ns0:c>
      <ns0:c r="W16" s="122"/>
      <ns0:c r="X16" s="122" t="str">
        <ns0:v>数字冰冻盒1×1</ns0:v>
      </ns0:c>
      <ns0:c r="Y16" s="97" t="n">
        <ns0:f>SUMIFS('装量配置'!$I$6:$I$718,'装量配置'!$A$6:$A$718,A16)</ns0:f>
        <ns0:v>64</ns0:v>
      </ns0:c>
      <ns0:c r="Z16" s="97" t="str">
        <ns0:f>IF(AND(O16&lt;=25,N16=2,Y16=K16*4,H16&lt;=K16,P16+AT16&gt;=4,COUNTIFS('装量配置'!$A$6:$A$718,A16,'装量配置'!$O$6:$O$718,"需调整")=0),"装量通过；待逐味","需调整")</ns0:f>
        <ns0:v>装量通过；待逐味</ns0:v>
      </ns0:c>
      <ns0:c r="AA16" s="99" t="str">
        <ns0:v>已找到完整可行路线</ns0:v>
      </ns0:c>
      <ns0:c r="AB16" s="99"/>
      <ns0:c r="AC16" s="99"/>
      <ns0:c r="AD16" s="98"/>
      <ns0:c r="AE16" s="100" t="n">
        <ns0:v>6</ns0:v>
      </ns0:c>
      <ns0:c r="AF16" s="101"/>
      <ns0:c r="AG16" s="101"/>
      <ns0:c r="AH16" s="102"/>
      <ns0:c r="AI16" s="128" t="str">
        <ns0:v>层序已制作；真人难度待测</ns0:v>
      </ns0:c>
      <ns0:c r="AJ16" s="122" t="str">
        <ns0:v>用户确认温和波动方案；可行解非最短；真实验收见R2实施记录</ns0:v>
      </ns0:c>
      <ns0:c r="AK16" s="122" t="str">
        <ns0:v>按盒数连续紧凑分排</ns0:v>
      </ns0:c>
      <ns0:c r="AL16" s="97" t="n">
        <ns0:v>0</ns0:v>
      </ns0:c>
      <ns0:c r="AM16" s="98"/>
      <ns0:c r="AN16" s="97"/>
      <ns0:c r="AO16" s="98"/>
      <ns0:c r="AP16" s="122" t="str">
        <ns0:v>四种周转条件完整回放见实施记录</ns0:v>
      </ns0:c>
      <ns0:c r="AQ16" s="99"/>
      <ns0:c r="AR16" s="120" t="n">
        <ns0:f>SUMIFS('装量配置'!$I$6:$I$718,'装量配置'!$A$6:$A$718,A16,'装量配置'!$B$6:$B$718,"开局")</ns0:f>
        <ns0:v>64</ns0:v>
      </ns0:c>
      <ns0:c r="AS16" s="132" t="n">
        <ns0:f>SUMIFS('装量配置'!$I$6:$I$718,'装量配置'!$A$6:$A$718,A16,'装量配置'!$B$6:$B$718,"开局",'装量配置'!$D$6:$D$718,"普通盒",'装量配置'!$G$6:$G$718,"&gt;0")/(4*SUMIFS('装量配置'!$E$6:$E$718,'装量配置'!$A$6:$A$718,A16,'装量配置'!$B$6:$B$718,"开局",'装量配置'!$D$6:$D$718,"普通盒",'装量配置'!$G$6:$G$718,"&gt;0"))</ns0:f>
        <ns0:v>0.9375</ns0:v>
      </ns0:c>
      <ns0:c r="AT16" s="120" t="n">
        <ns0:f>SUMIFS('装量配置'!$L$6:$L$718,'装量配置'!$A$6:$A$718,A16)</ns0:f>
        <ns0:v>4</ns0:v>
      </ns0:c>
      <ns0:c r="AU16" s="120" t="n">
        <ns0:f>SUMIFS('装量配置'!$M$6:$M$718,'装量配置'!$A$6:$A$718,A16)</ns0:f>
        <ns0:v>0</ns0:v>
      </ns0:c>
      <ns0:c r="AV16" s="120" t="n">
        <ns0:f>SUMIFS('装量配置'!$N$6:$N$718,'装量配置'!$A$6:$A$718,A16)</ns0:f>
        <ns0:v>0</ns0:v>
      </ns0:c>
      <ns0:c r="AW16" s="132" t="n">
        <ns0:v>0.18</ns0:v>
      </ns0:c>
      <ns0:c r="AX16" s="120" t="n">
        <ns0:v>4</ns0:v>
      </ns0:c>
      <ns0:c r="AY16" s="120" t="n">
        <ns0:f>IF(AX16=1,1,0)</ns0:f>
        <ns0:v>0</ns0:v>
      </ns0:c>
      <ns0:c r="AZ16" s="120" t="n">
        <ns0:f>SUMIFS('装量配置'!$E$6:$E$718,'装量配置'!$A$6:$A$718,A16,'装量配置'!$B$6:$B$718,"开局",'装量配置'!$D$6:$D$718,"&lt;&gt;普通盒",'装量配置'!$D$6:$D$718,"&lt;&gt;广告锁定周转盒")</ns0:f>
        <ns0:v>1</ns0:v>
      </ns0:c>
      <ns0:c r="BA16" s="149" t="n">
        <ns0:f>IF(COUNTIFS('装量配置'!$A$6:$A$718,A16,'装量配置'!$B$6:$B$718,"开局",'装量配置'!$D$6:$D$718,"数字盖盒",'装量配置'!$E$6:$E$718,"&gt;0")&gt;0,1,0)+IF(COUNTIFS('装量配置'!$A$6:$A$718,A16,'装量配置'!$B$6:$B$718,"开局",'装量配置'!$D$6:$D$718,"普通冰冻盒",'装量配置'!$E$6:$E$718,"&gt;0")&gt;0,1,0)+IF(COUNTIFS('装量配置'!$A$6:$A$718,A16,'装量配置'!$B$6:$B$718,"开局",'装量配置'!$D$6:$D$718,"单颗暂存盒",'装量配置'!$E$6:$E$718,"&gt;0")&gt;0,1,0)+IF(COUNTIFS('装量配置'!$A$6:$A$718,A16,'装量配置'!$B$6:$B$718,"开局",'装量配置'!$D$6:$D$718,"数字冰冻盒",'装量配置'!$E$6:$E$718,"&gt;0")&gt;0,1,0)+IF(COUNTIFS('装量配置'!$A$6:$A$718,A16,'装量配置'!$B$6:$B$718,"开局",'装量配置'!$D$6:$D$718,"固定颜色盒",'装量配置'!$E$6:$E$718,"&gt;0")&gt;0,1,0)+IF(COUNTIFS('装量配置'!$A$6:$A$718,A16,'装量配置'!$B$6:$B$718,"开局",'装量配置'!$D$6:$D$718,"单向收纳盒",'装量配置'!$E$6:$E$718,"&gt;0")&gt;0,1,0)+IF(COUNTIFS('装量配置'!$A$6:$A$718,A16,'装量配置'!$B$6:$B$718,"开局",'装量配置'!$D$6:$D$718,"底部置顶盒",'装量配置'!$E$6:$E$718,"&gt;0")&gt;0,1,0)+IF(COUNTIFS('装量配置'!$A$6:$A$718,A16,'装量配置'!$B$6:$B$718,"开局",'装量配置'!$D$6:$D$718,"炸弹盒",'装量配置'!$E$6:$E$718,"&gt;0")&gt;0,1,0)</ns0:f>
        <ns0:v>1</ns0:v>
      </ns0:c>
      <ns0:c r="BB16" s="149" t="n">
        <ns0:f>SUMIFS('装量配置'!$E$6:$E$718,'装量配置'!$A$6:$A$718,A16,'装量配置'!$B$6:$B$718,"开局",'装量配置'!$D$6:$D$718,"数字盖盒")+SUMIFS('装量配置'!$E$6:$E$718,'装量配置'!$A$6:$A$718,A16,'装量配置'!$B$6:$B$718,"开局",'装量配置'!$D$6:$D$718,"普通冰冻盒")+SUMIFS('装量配置'!$E$6:$E$718,'装量配置'!$A$6:$A$718,A16,'装量配置'!$B$6:$B$718,"开局",'装量配置'!$D$6:$D$718,"数字冰冻盒")</ns0:f>
        <ns0:v>1</ns0:v>
      </ns0:c>
      <ns0:c r="BC16" s="149" t="n">
        <ns0:f>SUMIFS('装量配置'!$R$6:$R$718,'装量配置'!$A$6:$A$718,A16,'装量配置'!$B$6:$B$718,"开局")</ns0:f>
        <ns0:v>1</ns0:v>
      </ns0:c>
      <ns0:c r="BD16" s="146" t="str">
        <ns0:v>首组推动机关；普通冰冻由真实回收触发</ns0:v>
      </ns0:c>
      <ns0:c r="BE16" s="149" t="n">
        <ns0:v>2</ns0:v>
      </ns0:c>
      <ns0:c r="BF16" s="146" t="str">
        <ns0:v>基线路线验证；非所有路线下限</ns0:v>
      </ns0:c>
    </ns0:row>
    <ns0:row r="17" ht="33" customHeight="1">
      <ns0:c r="A17" s="105" t="n">
        <ns0:v>12</ns0:v>
      </ns0:c>
      <ns0:c r="B17" s="105" t="str">
        <ns0:v>数字盖盒</ns0:v>
      </ns0:c>
      <ns0:c r="C17" s="123" t="str">
        <ns0:v>数字盖盒教学</ns0:v>
      </ns0:c>
      <ns0:c r="D17" s="108" t="n">
        <ns0:v>4.2</ns0:v>
      </ns0:c>
      <ns0:c r="E17" s="123" t="str">
        <ns0:v>颜色层序与接收空间</ns0:v>
      </ns0:c>
      <ns0:c r="F17" s="123" t="str">
        <ns0:v>机关释放与订单顺序</ns0:v>
      </ns0:c>
      <ns0:c r="G17" s="105" t="str">
        <ns0:v>整齐</ns0:v>
      </ns0:c>
      <ns0:c r="H17" s="105" t="n">
        <ns0:v>7</ns0:v>
      </ns0:c>
      <ns0:c r="I17" s="105" t="n">
        <ns0:f>SUMIFS('装量配置'!$E$6:$E$718,'装量配置'!$A$6:$A$718,A17,'装量配置'!$B$6:$B$718,"开局",'装量配置'!$F$6:$F$718,4,'装量配置'!$G$6:$G$718,"&gt;0")</ns0:f>
        <ns0:v>16</ns0:v>
      </ns0:c>
      <ns0:c r="J17" s="105" t="n">
        <ns0:f>SUMIFS('装量配置'!$E$6:$E$718,'装量配置'!$A$6:$A$718,A17,'装量配置'!$B$6:$B$718,"备货")</ns0:f>
        <ns0:v>0</ns0:v>
      </ns0:c>
      <ns0:c r="K17" s="105" t="n">
        <ns0:v>15</ns0:v>
      </ns0:c>
      <ns0:c r="L17" s="105" t="n">
        <ns0:f>SUMIFS('装量配置'!$E$6:$E$718,'装量配置'!$A$6:$A$718,A17,'装量配置'!$B$6:$B$718,"开局",'装量配置'!$F$6:$F$718,4,'装量配置'!$G$6:$G$718,0,'装量配置'!$D$6:$D$718,"&lt;&gt;广告锁定周转盒")</ns0:f>
        <ns0:v>2</ns0:v>
      </ns0:c>
      <ns0:c r="M17" s="105" t="n">
        <ns0:f>SUMIFS('装量配置'!$E$6:$E$718,'装量配置'!$A$6:$A$718,A17,'装量配置'!$B$6:$B$718,"开局",'装量配置'!$F$6:$F$718,1)</ns0:f>
        <ns0:v>0</ns0:v>
      </ns0:c>
      <ns0:c r="N17" s="105" t="n">
        <ns0:f>SUMIFS('装量配置'!$E$6:$E$718,'装量配置'!$A$6:$A$718,A17,'装量配置'!$B$6:$B$718,"开局",'装量配置'!$D$6:$D$718,"广告锁定周转盒")</ns0:f>
        <ns0:v>2</ns0:v>
      </ns0:c>
      <ns0:c r="O17" s="105" t="n">
        <ns0:f>SUMIFS('装量配置'!$E$6:$E$718,'装量配置'!$A$6:$A$718,A17,'装量配置'!$B$6:$B$718,"开局")</ns0:f>
        <ns0:v>20</ns0:v>
      </ns0:c>
      <ns0:c r="P17" s="105" t="n">
        <ns0:f>SUMIFS('装量配置'!$K$6:$K$718,'装量配置'!$A$6:$A$718,A17)</ns0:f>
        <ns0:v>8</ns0:v>
      </ns0:c>
      <ns0:c r="Q17" s="105" t="n">
        <ns0:v>4</ns0:v>
      </ns0:c>
      <ns0:c r="R17" s="106" t="n">
        <ns0:v>0</ns0:v>
      </ns0:c>
      <ns0:c r="S17" s="106" t="n">
        <ns0:v>0</ns0:v>
      </ns0:c>
      <ns0:c r="T17" s="105" t="n">
        <ns0:v>3</ns0:v>
      </ns0:c>
      <ns0:c r="U17" s="105" t="n">
        <ns0:v>0</ns0:v>
      </ns0:c>
      <ns0:c r="V17" s="123" t="str">
        <ns0:v>数字盖盒</ns0:v>
      </ns0:c>
      <ns0:c r="W17" s="123"/>
      <ns0:c r="X17" s="123" t="str">
        <ns0:v>数字盖盒1×1</ns0:v>
      </ns0:c>
      <ns0:c r="Y17" s="105" t="n">
        <ns0:f>SUMIFS('装量配置'!$I$6:$I$718,'装量配置'!$A$6:$A$718,A17)</ns0:f>
        <ns0:v>60</ns0:v>
      </ns0:c>
      <ns0:c r="Z17" s="105" t="str">
        <ns0:f>IF(AND(O17&lt;=25,N17=2,Y17=K17*4,H17&lt;=K17,P17+AT17&gt;=4,COUNTIFS('装量配置'!$A$6:$A$718,A17,'装量配置'!$O$6:$O$718,"需调整")=0),"装量通过；待逐味","需调整")</ns0:f>
        <ns0:v>装量通过；待逐味</ns0:v>
      </ns0:c>
      <ns0:c r="AA17" s="107" t="str">
        <ns0:v>已找到完整可行路线</ns0:v>
      </ns0:c>
      <ns0:c r="AB17" s="107"/>
      <ns0:c r="AC17" s="107"/>
      <ns0:c r="AD17" s="106"/>
      <ns0:c r="AE17" s="108" t="n">
        <ns0:v>6</ns0:v>
      </ns0:c>
      <ns0:c r="AF17" s="109"/>
      <ns0:c r="AG17" s="109"/>
      <ns0:c r="AH17" s="110"/>
      <ns0:c r="AI17" s="129" t="str">
        <ns0:v>层序已制作；真人难度待测</ns0:v>
      </ns0:c>
      <ns0:c r="AJ17" s="123" t="str">
        <ns0:v>用户确认温和波动方案；可行解非最短；真实验收见R2实施记录</ns0:v>
      </ns0:c>
      <ns0:c r="AK17" s="123" t="str">
        <ns0:v>按盒数连续紧凑分排</ns0:v>
      </ns0:c>
      <ns0:c r="AL17" s="105" t="n">
        <ns0:v>0</ns0:v>
      </ns0:c>
      <ns0:c r="AM17" s="106"/>
      <ns0:c r="AN17" s="107"/>
      <ns0:c r="AO17" s="110"/>
      <ns0:c r="AP17" s="123" t="str">
        <ns0:v>四种周转条件完整回放见实施记录</ns0:v>
      </ns0:c>
      <ns0:c r="AQ17" s="107"/>
      <ns0:c r="AR17" s="121" t="n">
        <ns0:f>SUMIFS('装量配置'!$I$6:$I$718,'装量配置'!$A$6:$A$718,A17,'装量配置'!$B$6:$B$718,"开局")</ns0:f>
        <ns0:v>60</ns0:v>
      </ns0:c>
      <ns0:c r="AS17" s="133" t="n">
        <ns0:f>SUMIFS('装量配置'!$I$6:$I$718,'装量配置'!$A$6:$A$718,A17,'装量配置'!$B$6:$B$718,"开局",'装量配置'!$D$6:$D$718,"普通盒",'装量配置'!$G$6:$G$718,"&gt;0")/(4*SUMIFS('装量配置'!$E$6:$E$718,'装量配置'!$A$6:$A$718,A17,'装量配置'!$B$6:$B$718,"开局",'装量配置'!$D$6:$D$718,"普通盒",'装量配置'!$G$6:$G$718,"&gt;0"))</ns0:f>
        <ns0:v>0.9333333333333333</ns0:v>
      </ns0:c>
      <ns0:c r="AT17" s="121" t="n">
        <ns0:f>SUMIFS('装量配置'!$L$6:$L$718,'装量配置'!$A$6:$A$718,A17)</ns0:f>
        <ns0:v>4</ns0:v>
      </ns0:c>
      <ns0:c r="AU17" s="121" t="n">
        <ns0:f>SUMIFS('装量配置'!$M$6:$M$718,'装量配置'!$A$6:$A$718,A17)</ns0:f>
        <ns0:v>0</ns0:v>
      </ns0:c>
      <ns0:c r="AV17" s="121" t="n">
        <ns0:f>SUMIFS('装量配置'!$N$6:$N$718,'装量配置'!$A$6:$A$718,A17)</ns0:f>
        <ns0:v>0</ns0:v>
      </ns0:c>
      <ns0:c r="AW17" s="133" t="n">
        <ns0:v>0.18</ns0:v>
      </ns0:c>
      <ns0:c r="AX17" s="121" t="n">
        <ns0:v>3</ns0:v>
      </ns0:c>
      <ns0:c r="AY17" s="121" t="n">
        <ns0:f>IF(AX17=1,1,0)</ns0:f>
        <ns0:v>1</ns0:v>
      </ns0:c>
      <ns0:c r="AZ17" s="121" t="n">
        <ns0:f>SUMIFS('装量配置'!$E$6:$E$718,'装量配置'!$A$6:$A$718,A17,'装量配置'!$B$6:$B$718,"开局",'装量配置'!$D$6:$D$718,"&lt;&gt;普通盒",'装量配置'!$D$6:$D$718,"&lt;&gt;广告锁定周转盒")</ns0:f>
        <ns0:v>1</ns0:v>
      </ns0:c>
      <ns0:c r="BA17" s="150" t="n">
        <ns0:f>IF(COUNTIFS('装量配置'!$A$6:$A$718,A17,'装量配置'!$B$6:$B$718,"开局",'装量配置'!$D$6:$D$718,"数字盖盒",'装量配置'!$E$6:$E$718,"&gt;0")&gt;0,1,0)+IF(COUNTIFS('装量配置'!$A$6:$A$718,A17,'装量配置'!$B$6:$B$718,"开局",'装量配置'!$D$6:$D$718,"普通冰冻盒",'装量配置'!$E$6:$E$718,"&gt;0")&gt;0,1,0)+IF(COUNTIFS('装量配置'!$A$6:$A$718,A17,'装量配置'!$B$6:$B$718,"开局",'装量配置'!$D$6:$D$718,"单颗暂存盒",'装量配置'!$E$6:$E$718,"&gt;0")&gt;0,1,0)+IF(COUNTIFS('装量配置'!$A$6:$A$718,A17,'装量配置'!$B$6:$B$718,"开局",'装量配置'!$D$6:$D$718,"数字冰冻盒",'装量配置'!$E$6:$E$718,"&gt;0")&gt;0,1,0)+IF(COUNTIFS('装量配置'!$A$6:$A$718,A17,'装量配置'!$B$6:$B$718,"开局",'装量配置'!$D$6:$D$718,"固定颜色盒",'装量配置'!$E$6:$E$718,"&gt;0")&gt;0,1,0)+IF(COUNTIFS('装量配置'!$A$6:$A$718,A17,'装量配置'!$B$6:$B$718,"开局",'装量配置'!$D$6:$D$718,"单向收纳盒",'装量配置'!$E$6:$E$718,"&gt;0")&gt;0,1,0)+IF(COUNTIFS('装量配置'!$A$6:$A$718,A17,'装量配置'!$B$6:$B$718,"开局",'装量配置'!$D$6:$D$718,"底部置顶盒",'装量配置'!$E$6:$E$718,"&gt;0")&gt;0,1,0)+IF(COUNTIFS('装量配置'!$A$6:$A$718,A17,'装量配置'!$B$6:$B$718,"开局",'装量配置'!$D$6:$D$718,"炸弹盒",'装量配置'!$E$6:$E$718,"&gt;0")&gt;0,1,0)</ns0:f>
        <ns0:v>1</ns0:v>
      </ns0:c>
      <ns0:c r="BB17" s="150" t="n">
        <ns0:f>SUMIFS('装量配置'!$E$6:$E$718,'装量配置'!$A$6:$A$718,A17,'装量配置'!$B$6:$B$718,"开局",'装量配置'!$D$6:$D$718,"数字盖盒")+SUMIFS('装量配置'!$E$6:$E$718,'装量配置'!$A$6:$A$718,A17,'装量配置'!$B$6:$B$718,"开局",'装量配置'!$D$6:$D$718,"普通冰冻盒")+SUMIFS('装量配置'!$E$6:$E$718,'装量配置'!$A$6:$A$718,A17,'装量配置'!$B$6:$B$718,"开局",'装量配置'!$D$6:$D$718,"数字冰冻盒")</ns0:f>
        <ns0:v>1</ns0:v>
      </ns0:c>
      <ns0:c r="BC17" s="150" t="n">
        <ns0:f>SUMIFS('装量配置'!$R$6:$R$718,'装量配置'!$A$6:$A$718,A17,'装量配置'!$B$6:$B$718,"开局")</ns0:f>
        <ns0:v>1</ns0:v>
      </ns0:c>
      <ns0:c r="BD17" s="148" t="str">
        <ns0:v>首组推动机关；普通冰冻由真实回收触发</ns0:v>
      </ns0:c>
      <ns0:c r="BE17" s="150" t="n">
        <ns0:v>1</ns0:v>
      </ns0:c>
      <ns0:c r="BF17" s="148" t="str">
        <ns0:v>基线路线验证；非所有路线下限</ns0:v>
      </ns0:c>
    </ns0:row>
    <ns0:row r="18" ht="33" customHeight="1">
      <ns0:c r="A18" s="112" t="n">
        <ns0:v>13</ns0:v>
      </ns0:c>
      <ns0:c r="B18" s="112" t="str">
        <ns0:v>数字盖盒</ns0:v>
      </ns0:c>
      <ns0:c r="C18" s="124" t="str">
        <ns0:v>数字盖盒练习</ns0:v>
      </ns0:c>
      <ns0:c r="D18" s="114" t="n">
        <ns0:v>4.4</ns0:v>
      </ns0:c>
      <ns0:c r="E18" s="124" t="str">
        <ns0:v>颜色层序与接收空间</ns0:v>
      </ns0:c>
      <ns0:c r="F18" s="124" t="str">
        <ns0:v>机关释放与订单顺序</ns0:v>
      </ns0:c>
      <ns0:c r="G18" s="112" t="str">
        <ns0:v>整齐</ns0:v>
      </ns0:c>
      <ns0:c r="H18" s="112" t="n">
        <ns0:v>8</ns0:v>
      </ns0:c>
      <ns0:c r="I18" s="112" t="n">
        <ns0:f>SUMIFS('装量配置'!$E$6:$E$718,'装量配置'!$A$6:$A$718,A18,'装量配置'!$B$6:$B$718,"开局",'装量配置'!$F$6:$F$718,4,'装量配置'!$G$6:$G$718,"&gt;0")</ns0:f>
        <ns0:v>18</ns0:v>
      </ns0:c>
      <ns0:c r="J18" s="112" t="n">
        <ns0:f>SUMIFS('装量配置'!$E$6:$E$718,'装量配置'!$A$6:$A$718,A18,'装量配置'!$B$6:$B$718,"备货")</ns0:f>
        <ns0:v>0</ns0:v>
      </ns0:c>
      <ns0:c r="K18" s="112" t="n">
        <ns0:v>17</ns0:v>
      </ns0:c>
      <ns0:c r="L18" s="112" t="n">
        <ns0:f>SUMIFS('装量配置'!$E$6:$E$718,'装量配置'!$A$6:$A$718,A18,'装量配置'!$B$6:$B$718,"开局",'装量配置'!$F$6:$F$718,4,'装量配置'!$G$6:$G$718,0,'装量配置'!$D$6:$D$718,"&lt;&gt;广告锁定周转盒")</ns0:f>
        <ns0:v>1</ns0:v>
      </ns0:c>
      <ns0:c r="M18" s="112" t="n">
        <ns0:f>SUMIFS('装量配置'!$E$6:$E$718,'装量配置'!$A$6:$A$718,A18,'装量配置'!$B$6:$B$718,"开局",'装量配置'!$F$6:$F$718,1)</ns0:f>
        <ns0:v>0</ns0:v>
      </ns0:c>
      <ns0:c r="N18" s="112" t="n">
        <ns0:f>SUMIFS('装量配置'!$E$6:$E$718,'装量配置'!$A$6:$A$718,A18,'装量配置'!$B$6:$B$718,"开局",'装量配置'!$D$6:$D$718,"广告锁定周转盒")</ns0:f>
        <ns0:v>2</ns0:v>
      </ns0:c>
      <ns0:c r="O18" s="112" t="n">
        <ns0:f>SUMIFS('装量配置'!$E$6:$E$718,'装量配置'!$A$6:$A$718,A18,'装量配置'!$B$6:$B$718,"开局")</ns0:f>
        <ns0:v>21</ns0:v>
      </ns0:c>
      <ns0:c r="P18" s="112" t="n">
        <ns0:f>SUMIFS('装量配置'!$K$6:$K$718,'装量配置'!$A$6:$A$718,A18)</ns0:f>
        <ns0:v>4</ns0:v>
      </ns0:c>
      <ns0:c r="Q18" s="112" t="n">
        <ns0:v>4</ns0:v>
      </ns0:c>
      <ns0:c r="R18" s="113" t="n">
        <ns0:v>0</ns0:v>
      </ns0:c>
      <ns0:c r="S18" s="113" t="n">
        <ns0:v>0</ns0:v>
      </ns0:c>
      <ns0:c r="T18" s="112" t="n">
        <ns0:v>4</ns0:v>
      </ns0:c>
      <ns0:c r="U18" s="112" t="n">
        <ns0:v>0</ns0:v>
      </ns0:c>
      <ns0:c r="V18" s="124" t="str">
        <ns0:v>数字盖盒</ns0:v>
      </ns0:c>
      <ns0:c r="W18" s="124"/>
      <ns0:c r="X18" s="124" t="str">
        <ns0:v>数字盖盒1×1；数字盖盒1×1</ns0:v>
      </ns0:c>
      <ns0:c r="Y18" s="112" t="n">
        <ns0:f>SUMIFS('装量配置'!$I$6:$I$718,'装量配置'!$A$6:$A$718,A18)</ns0:f>
        <ns0:v>68</ns0:v>
      </ns0:c>
      <ns0:c r="Z18" s="112" t="str">
        <ns0:f>IF(AND(O18&lt;=25,N18=2,Y18=K18*4,H18&lt;=K18,P18+AT18&gt;=4,COUNTIFS('装量配置'!$A$6:$A$718,A18,'装量配置'!$O$6:$O$718,"需调整")=0),"装量通过；待逐味","需调整")</ns0:f>
        <ns0:v>装量通过；待逐味</ns0:v>
      </ns0:c>
      <ns0:c r="AA18" s="107" t="str">
        <ns0:v>已找到完整可行路线</ns0:v>
      </ns0:c>
      <ns0:c r="AB18" s="107"/>
      <ns0:c r="AC18" s="107"/>
      <ns0:c r="AD18" s="113"/>
      <ns0:c r="AE18" s="114" t="n">
        <ns0:v>6</ns0:v>
      </ns0:c>
      <ns0:c r="AF18" s="109"/>
      <ns0:c r="AG18" s="109"/>
      <ns0:c r="AH18" s="110"/>
      <ns0:c r="AI18" s="129" t="str">
        <ns0:v>层序已制作；真人难度待测</ns0:v>
      </ns0:c>
      <ns0:c r="AJ18" s="124" t="str">
        <ns0:v>用户确认温和波动方案；可行解非最短；真实验收见R2实施记录</ns0:v>
      </ns0:c>
      <ns0:c r="AK18" s="124" t="str">
        <ns0:v>按盒数连续紧凑分排</ns0:v>
      </ns0:c>
      <ns0:c r="AL18" s="112" t="n">
        <ns0:v>0</ns0:v>
      </ns0:c>
      <ns0:c r="AM18" s="113"/>
      <ns0:c r="AN18" s="112"/>
      <ns0:c r="AO18" s="113"/>
      <ns0:c r="AP18" s="124" t="str">
        <ns0:v>四种周转条件完整回放见实施记录</ns0:v>
      </ns0:c>
      <ns0:c r="AQ18" s="107"/>
      <ns0:c r="AR18" s="120" t="n">
        <ns0:f>SUMIFS('装量配置'!$I$6:$I$718,'装量配置'!$A$6:$A$718,A18,'装量配置'!$B$6:$B$718,"开局")</ns0:f>
        <ns0:v>68</ns0:v>
      </ns0:c>
      <ns0:c r="AS18" s="132" t="n">
        <ns0:f>SUMIFS('装量配置'!$I$6:$I$718,'装量配置'!$A$6:$A$718,A18,'装量配置'!$B$6:$B$718,"开局",'装量配置'!$D$6:$D$718,"普通盒",'装量配置'!$G$6:$G$718,"&gt;0")/(4*SUMIFS('装量配置'!$E$6:$E$718,'装量配置'!$A$6:$A$718,A18,'装量配置'!$B$6:$B$718,"开局",'装量配置'!$D$6:$D$718,"普通盒",'装量配置'!$G$6:$G$718,"&gt;0"))</ns0:f>
        <ns0:v>0.9375</ns0:v>
      </ns0:c>
      <ns0:c r="AT18" s="120" t="n">
        <ns0:f>SUMIFS('装量配置'!$L$6:$L$718,'装量配置'!$A$6:$A$718,A18)</ns0:f>
        <ns0:v>4</ns0:v>
      </ns0:c>
      <ns0:c r="AU18" s="120" t="n">
        <ns0:f>SUMIFS('装量配置'!$M$6:$M$718,'装量配置'!$A$6:$A$718,A18)</ns0:f>
        <ns0:v>0</ns0:v>
      </ns0:c>
      <ns0:c r="AV18" s="120" t="n">
        <ns0:f>SUMIFS('装量配置'!$N$6:$N$718,'装量配置'!$A$6:$A$718,A18)</ns0:f>
        <ns0:v>0</ns0:v>
      </ns0:c>
      <ns0:c r="AW18" s="132" t="n">
        <ns0:v>0.18</ns0:v>
      </ns0:c>
      <ns0:c r="AX18" s="120" t="n">
        <ns0:v>4</ns0:v>
      </ns0:c>
      <ns0:c r="AY18" s="120" t="n">
        <ns0:f>IF(AX18=1,1,0)</ns0:f>
        <ns0:v>0</ns0:v>
      </ns0:c>
      <ns0:c r="AZ18" s="120" t="n">
        <ns0:f>SUMIFS('装量配置'!$E$6:$E$718,'装量配置'!$A$6:$A$718,A18,'装量配置'!$B$6:$B$718,"开局",'装量配置'!$D$6:$D$718,"&lt;&gt;普通盒",'装量配置'!$D$6:$D$718,"&lt;&gt;广告锁定周转盒")</ns0:f>
        <ns0:v>2</ns0:v>
      </ns0:c>
      <ns0:c r="BA18" s="149" t="n">
        <ns0:f>IF(COUNTIFS('装量配置'!$A$6:$A$718,A18,'装量配置'!$B$6:$B$718,"开局",'装量配置'!$D$6:$D$718,"数字盖盒",'装量配置'!$E$6:$E$718,"&gt;0")&gt;0,1,0)+IF(COUNTIFS('装量配置'!$A$6:$A$718,A18,'装量配置'!$B$6:$B$718,"开局",'装量配置'!$D$6:$D$718,"普通冰冻盒",'装量配置'!$E$6:$E$718,"&gt;0")&gt;0,1,0)+IF(COUNTIFS('装量配置'!$A$6:$A$718,A18,'装量配置'!$B$6:$B$718,"开局",'装量配置'!$D$6:$D$718,"单颗暂存盒",'装量配置'!$E$6:$E$718,"&gt;0")&gt;0,1,0)+IF(COUNTIFS('装量配置'!$A$6:$A$718,A18,'装量配置'!$B$6:$B$718,"开局",'装量配置'!$D$6:$D$718,"数字冰冻盒",'装量配置'!$E$6:$E$718,"&gt;0")&gt;0,1,0)+IF(COUNTIFS('装量配置'!$A$6:$A$718,A18,'装量配置'!$B$6:$B$718,"开局",'装量配置'!$D$6:$D$718,"固定颜色盒",'装量配置'!$E$6:$E$718,"&gt;0")&gt;0,1,0)+IF(COUNTIFS('装量配置'!$A$6:$A$718,A18,'装量配置'!$B$6:$B$718,"开局",'装量配置'!$D$6:$D$718,"单向收纳盒",'装量配置'!$E$6:$E$718,"&gt;0")&gt;0,1,0)+IF(COUNTIFS('装量配置'!$A$6:$A$718,A18,'装量配置'!$B$6:$B$718,"开局",'装量配置'!$D$6:$D$718,"底部置顶盒",'装量配置'!$E$6:$E$718,"&gt;0")&gt;0,1,0)+IF(COUNTIFS('装量配置'!$A$6:$A$718,A18,'装量配置'!$B$6:$B$718,"开局",'装量配置'!$D$6:$D$718,"炸弹盒",'装量配置'!$E$6:$E$718,"&gt;0")&gt;0,1,0)</ns0:f>
        <ns0:v>1</ns0:v>
      </ns0:c>
      <ns0:c r="BB18" s="149" t="n">
        <ns0:f>SUMIFS('装量配置'!$E$6:$E$718,'装量配置'!$A$6:$A$718,A18,'装量配置'!$B$6:$B$718,"开局",'装量配置'!$D$6:$D$718,"数字盖盒")+SUMIFS('装量配置'!$E$6:$E$718,'装量配置'!$A$6:$A$718,A18,'装量配置'!$B$6:$B$718,"开局",'装量配置'!$D$6:$D$718,"普通冰冻盒")+SUMIFS('装量配置'!$E$6:$E$718,'装量配置'!$A$6:$A$718,A18,'装量配置'!$B$6:$B$718,"开局",'装量配置'!$D$6:$D$718,"数字冰冻盒")</ns0:f>
        <ns0:v>2</ns0:v>
      </ns0:c>
      <ns0:c r="BC18" s="149" t="n">
        <ns0:f>SUMIFS('装量配置'!$R$6:$R$718,'装量配置'!$A$6:$A$718,A18,'装量配置'!$B$6:$B$718,"开局")</ns0:f>
        <ns0:v>2</ns0:v>
      </ns0:c>
      <ns0:c r="BD18" s="146" t="str">
        <ns0:v>首组推动机关；普通冰冻由真实回收触发</ns0:v>
      </ns0:c>
      <ns0:c r="BE18" s="149" t="n">
        <ns0:v>2</ns0:v>
      </ns0:c>
      <ns0:c r="BF18" s="146" t="str">
        <ns0:v>基线路线验证；非所有路线下限</ns0:v>
      </ns0:c>
    </ns0:row>
    <ns0:row r="19" ht="33" customHeight="1">
      <ns0:c r="A19" s="105" t="n">
        <ns0:v>14</ns0:v>
      </ns0:c>
      <ns0:c r="B19" s="105" t="str">
        <ns0:v>数字盖盒</ns0:v>
      </ns0:c>
      <ns0:c r="C19" s="123" t="str">
        <ns0:v>分散余量与补货</ns0:v>
      </ns0:c>
      <ns0:c r="D19" s="108" t="n">
        <ns0:v>4.5</ns0:v>
      </ns0:c>
      <ns0:c r="E19" s="123" t="str">
        <ns0:v>颜色层序与接收空间</ns0:v>
      </ns0:c>
      <ns0:c r="F19" s="123" t="str">
        <ns0:v>机关释放与订单顺序</ns0:v>
      </ns0:c>
      <ns0:c r="G19" s="105" t="str">
        <ns0:v>整齐</ns0:v>
      </ns0:c>
      <ns0:c r="H19" s="105" t="n">
        <ns0:v>8</ns0:v>
      </ns0:c>
      <ns0:c r="I19" s="105" t="n">
        <ns0:f>SUMIFS('装量配置'!$E$6:$E$718,'装量配置'!$A$6:$A$718,A19,'装量配置'!$B$6:$B$718,"开局",'装量配置'!$F$6:$F$718,4,'装量配置'!$G$6:$G$718,"&gt;0")</ns0:f>
        <ns0:v>19</ns0:v>
      </ns0:c>
      <ns0:c r="J19" s="105" t="n">
        <ns0:f>SUMIFS('装量配置'!$E$6:$E$718,'装量配置'!$A$6:$A$718,A19,'装量配置'!$B$6:$B$718,"备货")</ns0:f>
        <ns0:v>1</ns0:v>
      </ns0:c>
      <ns0:c r="K19" s="105" t="n">
        <ns0:v>18</ns0:v>
      </ns0:c>
      <ns0:c r="L19" s="105" t="n">
        <ns0:f>SUMIFS('装量配置'!$E$6:$E$718,'装量配置'!$A$6:$A$718,A19,'装量配置'!$B$6:$B$718,"开局",'装量配置'!$F$6:$F$718,4,'装量配置'!$G$6:$G$718,0,'装量配置'!$D$6:$D$718,"&lt;&gt;广告锁定周转盒")</ns0:f>
        <ns0:v>0</ns0:v>
      </ns0:c>
      <ns0:c r="M19" s="105" t="n">
        <ns0:f>SUMIFS('装量配置'!$E$6:$E$718,'装量配置'!$A$6:$A$718,A19,'装量配置'!$B$6:$B$718,"开局",'装量配置'!$F$6:$F$718,1)</ns0:f>
        <ns0:v>0</ns0:v>
      </ns0:c>
      <ns0:c r="N19" s="105" t="n">
        <ns0:f>SUMIFS('装量配置'!$E$6:$E$718,'装量配置'!$A$6:$A$718,A19,'装量配置'!$B$6:$B$718,"开局",'装量配置'!$D$6:$D$718,"广告锁定周转盒")</ns0:f>
        <ns0:v>2</ns0:v>
      </ns0:c>
      <ns0:c r="O19" s="105" t="n">
        <ns0:f>SUMIFS('装量配置'!$E$6:$E$718,'装量配置'!$A$6:$A$718,A19,'装量配置'!$B$6:$B$718,"开局")</ns0:f>
        <ns0:v>21</ns0:v>
      </ns0:c>
      <ns0:c r="P19" s="105" t="n">
        <ns0:f>SUMIFS('装量配置'!$K$6:$K$718,'装量配置'!$A$6:$A$718,A19)</ns0:f>
        <ns0:v>0</ns0:v>
      </ns0:c>
      <ns0:c r="Q19" s="105" t="n">
        <ns0:v>5</ns0:v>
      </ns0:c>
      <ns0:c r="R19" s="106" t="n">
        <ns0:v>0</ns0:v>
      </ns0:c>
      <ns0:c r="S19" s="106" t="n">
        <ns0:v>0</ns0:v>
      </ns0:c>
      <ns0:c r="T19" s="105" t="n">
        <ns0:v>4</ns0:v>
      </ns0:c>
      <ns0:c r="U19" s="105" t="n">
        <ns0:v>3</ns0:v>
      </ns0:c>
      <ns0:c r="V19" s="123" t="str">
        <ns0:v>数字盖盒</ns0:v>
      </ns0:c>
      <ns0:c r="W19" s="123"/>
      <ns0:c r="X19" s="123" t="str">
        <ns0:v>数字盖盒1×1</ns0:v>
      </ns0:c>
      <ns0:c r="Y19" s="105" t="n">
        <ns0:f>SUMIFS('装量配置'!$I$6:$I$718,'装量配置'!$A$6:$A$718,A19)</ns0:f>
        <ns0:v>72</ns0:v>
      </ns0:c>
      <ns0:c r="Z19" s="105" t="str">
        <ns0:f>IF(AND(O19&lt;=25,N19=2,Y19=K19*4,H19&lt;=K19,P19+AT19&gt;=4,COUNTIFS('装量配置'!$A$6:$A$718,A19,'装量配置'!$O$6:$O$718,"需调整")=0),"装量通过；待逐味","需调整")</ns0:f>
        <ns0:v>装量通过；待逐味</ns0:v>
      </ns0:c>
      <ns0:c r="AA19" s="107" t="str">
        <ns0:v>已找到完整可行路线</ns0:v>
      </ns0:c>
      <ns0:c r="AB19" s="107"/>
      <ns0:c r="AC19" s="107"/>
      <ns0:c r="AD19" s="106"/>
      <ns0:c r="AE19" s="108" t="n">
        <ns0:v>6</ns0:v>
      </ns0:c>
      <ns0:c r="AF19" s="109"/>
      <ns0:c r="AG19" s="109"/>
      <ns0:c r="AH19" s="110"/>
      <ns0:c r="AI19" s="129" t="str">
        <ns0:v>层序已制作；真人难度待测</ns0:v>
      </ns0:c>
      <ns0:c r="AJ19" s="123" t="str">
        <ns0:v>用户确认温和波动方案；可行解非最短；真实验收见R2实施记录</ns0:v>
      </ns0:c>
      <ns0:c r="AK19" s="123" t="str">
        <ns0:v>按盒数连续紧凑分排</ns0:v>
      </ns0:c>
      <ns0:c r="AL19" s="105" t="n">
        <ns0:v>0</ns0:v>
      </ns0:c>
      <ns0:c r="AM19" s="106"/>
      <ns0:c r="AN19" s="107"/>
      <ns0:c r="AO19" s="110"/>
      <ns0:c r="AP19" s="123" t="str">
        <ns0:v>四种周转条件完整回放见实施记录</ns0:v>
      </ns0:c>
      <ns0:c r="AQ19" s="107"/>
      <ns0:c r="AR19" s="121" t="n">
        <ns0:f>SUMIFS('装量配置'!$I$6:$I$718,'装量配置'!$A$6:$A$718,A19,'装量配置'!$B$6:$B$718,"开局")</ns0:f>
        <ns0:v>68</ns0:v>
      </ns0:c>
      <ns0:c r="AS19" s="133" t="n">
        <ns0:f>SUMIFS('装量配置'!$I$6:$I$718,'装量配置'!$A$6:$A$718,A19,'装量配置'!$B$6:$B$718,"开局",'装量配置'!$D$6:$D$718,"普通盒",'装量配置'!$G$6:$G$718,"&gt;0")/(4*SUMIFS('装量配置'!$E$6:$E$718,'装量配置'!$A$6:$A$718,A19,'装量配置'!$B$6:$B$718,"开局",'装量配置'!$D$6:$D$718,"普通盒",'装量配置'!$G$6:$G$718,"&gt;0"))</ns0:f>
        <ns0:v>0.8888888888888888</ns0:v>
      </ns0:c>
      <ns0:c r="AT19" s="121" t="n">
        <ns0:f>SUMIFS('装量配置'!$L$6:$L$718,'装量配置'!$A$6:$A$718,A19)</ns0:f>
        <ns0:v>8</ns0:v>
      </ns0:c>
      <ns0:c r="AU19" s="121" t="n">
        <ns0:f>SUMIFS('装量配置'!$M$6:$M$718,'装量配置'!$A$6:$A$718,A19)</ns0:f>
        <ns0:v>0</ns0:v>
      </ns0:c>
      <ns0:c r="AV19" s="121" t="n">
        <ns0:f>SUMIFS('装量配置'!$N$6:$N$718,'装量配置'!$A$6:$A$718,A19)</ns0:f>
        <ns0:v>0</ns0:v>
      </ns0:c>
      <ns0:c r="AW19" s="133" t="n">
        <ns0:v>0.18</ns0:v>
      </ns0:c>
      <ns0:c r="AX19" s="121" t="n">
        <ns0:v>5</ns0:v>
      </ns0:c>
      <ns0:c r="AY19" s="121" t="n">
        <ns0:f>IF(AX19=1,1,0)</ns0:f>
        <ns0:v>0</ns0:v>
      </ns0:c>
      <ns0:c r="AZ19" s="121" t="n">
        <ns0:f>SUMIFS('装量配置'!$E$6:$E$718,'装量配置'!$A$6:$A$718,A19,'装量配置'!$B$6:$B$718,"开局",'装量配置'!$D$6:$D$718,"&lt;&gt;普通盒",'装量配置'!$D$6:$D$718,"&lt;&gt;广告锁定周转盒")</ns0:f>
        <ns0:v>1</ns0:v>
      </ns0:c>
      <ns0:c r="BA19" s="150" t="n">
        <ns0:f>IF(COUNTIFS('装量配置'!$A$6:$A$718,A19,'装量配置'!$B$6:$B$718,"开局",'装量配置'!$D$6:$D$718,"数字盖盒",'装量配置'!$E$6:$E$718,"&gt;0")&gt;0,1,0)+IF(COUNTIFS('装量配置'!$A$6:$A$718,A19,'装量配置'!$B$6:$B$718,"开局",'装量配置'!$D$6:$D$718,"普通冰冻盒",'装量配置'!$E$6:$E$718,"&gt;0")&gt;0,1,0)+IF(COUNTIFS('装量配置'!$A$6:$A$718,A19,'装量配置'!$B$6:$B$718,"开局",'装量配置'!$D$6:$D$718,"单颗暂存盒",'装量配置'!$E$6:$E$718,"&gt;0")&gt;0,1,0)+IF(COUNTIFS('装量配置'!$A$6:$A$718,A19,'装量配置'!$B$6:$B$718,"开局",'装量配置'!$D$6:$D$718,"数字冰冻盒",'装量配置'!$E$6:$E$718,"&gt;0")&gt;0,1,0)+IF(COUNTIFS('装量配置'!$A$6:$A$718,A19,'装量配置'!$B$6:$B$718,"开局",'装量配置'!$D$6:$D$718,"固定颜色盒",'装量配置'!$E$6:$E$718,"&gt;0")&gt;0,1,0)+IF(COUNTIFS('装量配置'!$A$6:$A$718,A19,'装量配置'!$B$6:$B$718,"开局",'装量配置'!$D$6:$D$718,"单向收纳盒",'装量配置'!$E$6:$E$718,"&gt;0")&gt;0,1,0)+IF(COUNTIFS('装量配置'!$A$6:$A$718,A19,'装量配置'!$B$6:$B$718,"开局",'装量配置'!$D$6:$D$718,"底部置顶盒",'装量配置'!$E$6:$E$718,"&gt;0")&gt;0,1,0)+IF(COUNTIFS('装量配置'!$A$6:$A$718,A19,'装量配置'!$B$6:$B$718,"开局",'装量配置'!$D$6:$D$718,"炸弹盒",'装量配置'!$E$6:$E$718,"&gt;0")&gt;0,1,0)</ns0:f>
        <ns0:v>1</ns0:v>
      </ns0:c>
      <ns0:c r="BB19" s="150" t="n">
        <ns0:f>SUMIFS('装量配置'!$E$6:$E$718,'装量配置'!$A$6:$A$718,A19,'装量配置'!$B$6:$B$718,"开局",'装量配置'!$D$6:$D$718,"数字盖盒")+SUMIFS('装量配置'!$E$6:$E$718,'装量配置'!$A$6:$A$718,A19,'装量配置'!$B$6:$B$718,"开局",'装量配置'!$D$6:$D$718,"普通冰冻盒")+SUMIFS('装量配置'!$E$6:$E$718,'装量配置'!$A$6:$A$718,A19,'装量配置'!$B$6:$B$718,"开局",'装量配置'!$D$6:$D$718,"数字冰冻盒")</ns0:f>
        <ns0:v>1</ns0:v>
      </ns0:c>
      <ns0:c r="BC19" s="150" t="n">
        <ns0:f>SUMIFS('装量配置'!$R$6:$R$718,'装量配置'!$A$6:$A$718,A19,'装量配置'!$B$6:$B$718,"开局")</ns0:f>
        <ns0:v>1</ns0:v>
      </ns0:c>
      <ns0:c r="BD19" s="148" t="str">
        <ns0:v>首组推动机关；普通冰冻由真实回收触发</ns0:v>
      </ns0:c>
      <ns0:c r="BE19" s="150" t="n">
        <ns0:v>2</ns0:v>
      </ns0:c>
      <ns0:c r="BF19" s="148" t="str">
        <ns0:v>基线路线验证；非所有路线下限</ns0:v>
      </ns0:c>
    </ns0:row>
    <ns0:row r="20" ht="33" customHeight="1">
      <ns0:c r="A20" s="112" t="n">
        <ns0:v>15</ns0:v>
      </ns0:c>
      <ns0:c r="B20" s="112" t="str">
        <ns0:v>数字冰冻盒</ns0:v>
      </ns0:c>
      <ns0:c r="C20" s="124" t="str">
        <ns0:v>熟悉机制缓和</ns0:v>
      </ns0:c>
      <ns0:c r="D20" s="114" t="n">
        <ns0:v>4.3</ns0:v>
      </ns0:c>
      <ns0:c r="E20" s="124" t="str">
        <ns0:v>颜色层序与接收空间</ns0:v>
      </ns0:c>
      <ns0:c r="F20" s="124" t="str">
        <ns0:v>机关释放与订单顺序</ns0:v>
      </ns0:c>
      <ns0:c r="G20" s="112" t="str">
        <ns0:v>整齐</ns0:v>
      </ns0:c>
      <ns0:c r="H20" s="112" t="n">
        <ns0:v>8</ns0:v>
      </ns0:c>
      <ns0:c r="I20" s="112" t="n">
        <ns0:f>SUMIFS('装量配置'!$E$6:$E$718,'装量配置'!$A$6:$A$718,A20,'装量配置'!$B$6:$B$718,"开局",'装量配置'!$F$6:$F$718,4,'装量配置'!$G$6:$G$718,"&gt;0")</ns0:f>
        <ns0:v>17</ns0:v>
      </ns0:c>
      <ns0:c r="J20" s="112" t="n">
        <ns0:f>SUMIFS('装量配置'!$E$6:$E$718,'装量配置'!$A$6:$A$718,A20,'装量配置'!$B$6:$B$718,"备货")</ns0:f>
        <ns0:v>1</ns0:v>
      </ns0:c>
      <ns0:c r="K20" s="112" t="n">
        <ns0:v>17</ns0:v>
      </ns0:c>
      <ns0:c r="L20" s="112" t="n">
        <ns0:f>SUMIFS('装量配置'!$E$6:$E$718,'装量配置'!$A$6:$A$718,A20,'装量配置'!$B$6:$B$718,"开局",'装量配置'!$F$6:$F$718,4,'装量配置'!$G$6:$G$718,0,'装量配置'!$D$6:$D$718,"&lt;&gt;广告锁定周转盒")</ns0:f>
        <ns0:v>1</ns0:v>
      </ns0:c>
      <ns0:c r="M20" s="112" t="n">
        <ns0:f>SUMIFS('装量配置'!$E$6:$E$718,'装量配置'!$A$6:$A$718,A20,'装量配置'!$B$6:$B$718,"开局",'装量配置'!$F$6:$F$718,1)</ns0:f>
        <ns0:v>0</ns0:v>
      </ns0:c>
      <ns0:c r="N20" s="112" t="n">
        <ns0:f>SUMIFS('装量配置'!$E$6:$E$718,'装量配置'!$A$6:$A$718,A20,'装量配置'!$B$6:$B$718,"开局",'装量配置'!$D$6:$D$718,"广告锁定周转盒")</ns0:f>
        <ns0:v>2</ns0:v>
      </ns0:c>
      <ns0:c r="O20" s="112" t="n">
        <ns0:f>SUMIFS('装量配置'!$E$6:$E$718,'装量配置'!$A$6:$A$718,A20,'装量配置'!$B$6:$B$718,"开局")</ns0:f>
        <ns0:v>20</ns0:v>
      </ns0:c>
      <ns0:c r="P20" s="112" t="n">
        <ns0:f>SUMIFS('装量配置'!$K$6:$K$718,'装量配置'!$A$6:$A$718,A20)</ns0:f>
        <ns0:v>4</ns0:v>
      </ns0:c>
      <ns0:c r="Q20" s="112" t="n">
        <ns0:v>4</ns0:v>
      </ns0:c>
      <ns0:c r="R20" s="113" t="n">
        <ns0:v>0</ns0:v>
      </ns0:c>
      <ns0:c r="S20" s="113" t="n">
        <ns0:v>0</ns0:v>
      </ns0:c>
      <ns0:c r="T20" s="112" t="n">
        <ns0:v>4</ns0:v>
      </ns0:c>
      <ns0:c r="U20" s="112" t="n">
        <ns0:v>3</ns0:v>
      </ns0:c>
      <ns0:c r="V20" s="124" t="str">
        <ns0:v>数字冰冻盒</ns0:v>
      </ns0:c>
      <ns0:c r="W20" s="124"/>
      <ns0:c r="X20" s="124" t="str">
        <ns0:v>数字冰冻盒1×1</ns0:v>
      </ns0:c>
      <ns0:c r="Y20" s="112" t="n">
        <ns0:f>SUMIFS('装量配置'!$I$6:$I$718,'装量配置'!$A$6:$A$718,A20)</ns0:f>
        <ns0:v>68</ns0:v>
      </ns0:c>
      <ns0:c r="Z20" s="112" t="str">
        <ns0:f>IF(AND(O20&lt;=25,N20=2,Y20=K20*4,H20&lt;=K20,P20+AT20&gt;=4,COUNTIFS('装量配置'!$A$6:$A$718,A20,'装量配置'!$O$6:$O$718,"需调整")=0),"装量通过；待逐味","需调整")</ns0:f>
        <ns0:v>装量通过；待逐味</ns0:v>
      </ns0:c>
      <ns0:c r="AA20" s="107" t="str">
        <ns0:v>已找到完整可行路线</ns0:v>
      </ns0:c>
      <ns0:c r="AB20" s="107"/>
      <ns0:c r="AC20" s="107"/>
      <ns0:c r="AD20" s="113"/>
      <ns0:c r="AE20" s="114" t="n">
        <ns0:v>6</ns0:v>
      </ns0:c>
      <ns0:c r="AF20" s="109"/>
      <ns0:c r="AG20" s="109"/>
      <ns0:c r="AH20" s="110"/>
      <ns0:c r="AI20" s="129" t="str">
        <ns0:v>层序已制作；真人难度待测</ns0:v>
      </ns0:c>
      <ns0:c r="AJ20" s="124" t="str">
        <ns0:v>用户确认温和波动方案；可行解非最短；真实验收见R2实施记录</ns0:v>
      </ns0:c>
      <ns0:c r="AK20" s="124" t="str">
        <ns0:v>按盒数连续紧凑分排</ns0:v>
      </ns0:c>
      <ns0:c r="AL20" s="112" t="n">
        <ns0:v>0</ns0:v>
      </ns0:c>
      <ns0:c r="AM20" s="113"/>
      <ns0:c r="AN20" s="112"/>
      <ns0:c r="AO20" s="113"/>
      <ns0:c r="AP20" s="124" t="str">
        <ns0:v>四种周转条件完整回放见实施记录</ns0:v>
      </ns0:c>
      <ns0:c r="AQ20" s="107"/>
      <ns0:c r="AR20" s="120" t="n">
        <ns0:f>SUMIFS('装量配置'!$I$6:$I$718,'装量配置'!$A$6:$A$718,A20,'装量配置'!$B$6:$B$718,"开局")</ns0:f>
        <ns0:v>64</ns0:v>
      </ns0:c>
      <ns0:c r="AS20" s="132" t="n">
        <ns0:f>SUMIFS('装量配置'!$I$6:$I$718,'装量配置'!$A$6:$A$718,A20,'装量配置'!$B$6:$B$718,"开局",'装量配置'!$D$6:$D$718,"普通盒",'装量配置'!$G$6:$G$718,"&gt;0")/(4*SUMIFS('装量配置'!$E$6:$E$718,'装量配置'!$A$6:$A$718,A20,'装量配置'!$B$6:$B$718,"开局",'装量配置'!$D$6:$D$718,"普通盒",'装量配置'!$G$6:$G$718,"&gt;0"))</ns0:f>
        <ns0:v>0.9375</ns0:v>
      </ns0:c>
      <ns0:c r="AT20" s="120" t="n">
        <ns0:f>SUMIFS('装量配置'!$L$6:$L$718,'装量配置'!$A$6:$A$718,A20)</ns0:f>
        <ns0:v>4</ns0:v>
      </ns0:c>
      <ns0:c r="AU20" s="120" t="n">
        <ns0:f>SUMIFS('装量配置'!$M$6:$M$718,'装量配置'!$A$6:$A$718,A20)</ns0:f>
        <ns0:v>0</ns0:v>
      </ns0:c>
      <ns0:c r="AV20" s="120" t="n">
        <ns0:f>SUMIFS('装量配置'!$N$6:$N$718,'装量配置'!$A$6:$A$718,A20)</ns0:f>
        <ns0:v>0</ns0:v>
      </ns0:c>
      <ns0:c r="AW20" s="132" t="n">
        <ns0:v>0.18</ns0:v>
      </ns0:c>
      <ns0:c r="AX20" s="120" t="n">
        <ns0:v>4</ns0:v>
      </ns0:c>
      <ns0:c r="AY20" s="120" t="n">
        <ns0:f>IF(AX20=1,1,0)</ns0:f>
        <ns0:v>0</ns0:v>
      </ns0:c>
      <ns0:c r="AZ20" s="120" t="n">
        <ns0:f>SUMIFS('装量配置'!$E$6:$E$718,'装量配置'!$A$6:$A$718,A20,'装量配置'!$B$6:$B$718,"开局",'装量配置'!$D$6:$D$718,"&lt;&gt;普通盒",'装量配置'!$D$6:$D$718,"&lt;&gt;广告锁定周转盒")</ns0:f>
        <ns0:v>1</ns0:v>
      </ns0:c>
      <ns0:c r="BA20" s="149" t="n">
        <ns0:f>IF(COUNTIFS('装量配置'!$A$6:$A$718,A20,'装量配置'!$B$6:$B$718,"开局",'装量配置'!$D$6:$D$718,"数字盖盒",'装量配置'!$E$6:$E$718,"&gt;0")&gt;0,1,0)+IF(COUNTIFS('装量配置'!$A$6:$A$718,A20,'装量配置'!$B$6:$B$718,"开局",'装量配置'!$D$6:$D$718,"普通冰冻盒",'装量配置'!$E$6:$E$718,"&gt;0")&gt;0,1,0)+IF(COUNTIFS('装量配置'!$A$6:$A$718,A20,'装量配置'!$B$6:$B$718,"开局",'装量配置'!$D$6:$D$718,"单颗暂存盒",'装量配置'!$E$6:$E$718,"&gt;0")&gt;0,1,0)+IF(COUNTIFS('装量配置'!$A$6:$A$718,A20,'装量配置'!$B$6:$B$718,"开局",'装量配置'!$D$6:$D$718,"数字冰冻盒",'装量配置'!$E$6:$E$718,"&gt;0")&gt;0,1,0)+IF(COUNTIFS('装量配置'!$A$6:$A$718,A20,'装量配置'!$B$6:$B$718,"开局",'装量配置'!$D$6:$D$718,"固定颜色盒",'装量配置'!$E$6:$E$718,"&gt;0")&gt;0,1,0)+IF(COUNTIFS('装量配置'!$A$6:$A$718,A20,'装量配置'!$B$6:$B$718,"开局",'装量配置'!$D$6:$D$718,"单向收纳盒",'装量配置'!$E$6:$E$718,"&gt;0")&gt;0,1,0)+IF(COUNTIFS('装量配置'!$A$6:$A$718,A20,'装量配置'!$B$6:$B$718,"开局",'装量配置'!$D$6:$D$718,"底部置顶盒",'装量配置'!$E$6:$E$718,"&gt;0")&gt;0,1,0)+IF(COUNTIFS('装量配置'!$A$6:$A$718,A20,'装量配置'!$B$6:$B$718,"开局",'装量配置'!$D$6:$D$718,"炸弹盒",'装量配置'!$E$6:$E$718,"&gt;0")&gt;0,1,0)</ns0:f>
        <ns0:v>1</ns0:v>
      </ns0:c>
      <ns0:c r="BB20" s="149" t="n">
        <ns0:f>SUMIFS('装量配置'!$E$6:$E$718,'装量配置'!$A$6:$A$718,A20,'装量配置'!$B$6:$B$718,"开局",'装量配置'!$D$6:$D$718,"数字盖盒")+SUMIFS('装量配置'!$E$6:$E$718,'装量配置'!$A$6:$A$718,A20,'装量配置'!$B$6:$B$718,"开局",'装量配置'!$D$6:$D$718,"普通冰冻盒")+SUMIFS('装量配置'!$E$6:$E$718,'装量配置'!$A$6:$A$718,A20,'装量配置'!$B$6:$B$718,"开局",'装量配置'!$D$6:$D$718,"数字冰冻盒")</ns0:f>
        <ns0:v>1</ns0:v>
      </ns0:c>
      <ns0:c r="BC20" s="149" t="n">
        <ns0:f>SUMIFS('装量配置'!$R$6:$R$718,'装量配置'!$A$6:$A$718,A20,'装量配置'!$B$6:$B$718,"开局")</ns0:f>
        <ns0:v>1</ns0:v>
      </ns0:c>
      <ns0:c r="BD20" s="146" t="str">
        <ns0:v>首组推动机关；普通冰冻由真实回收触发</ns0:v>
      </ns0:c>
      <ns0:c r="BE20" s="149" t="n">
        <ns0:v>2</ns0:v>
      </ns0:c>
      <ns0:c r="BF20" s="146" t="str">
        <ns0:v>基线路线验证；非所有路线下限</ns0:v>
      </ns0:c>
    </ns0:row>
    <ns0:row r="21" ht="33" customHeight="1">
      <ns0:c r="A21" s="105" t="n">
        <ns0:v>16</ns0:v>
      </ns0:c>
      <ns0:c r="B21" s="105" t="str">
        <ns0:v>数字盖盒</ns0:v>
      </ns0:c>
      <ns0:c r="C21" s="123" t="str">
        <ns0:v>分批补货练习</ns0:v>
      </ns0:c>
      <ns0:c r="D21" s="108" t="n">
        <ns0:v>4.5</ns0:v>
      </ns0:c>
      <ns0:c r="E21" s="123" t="str">
        <ns0:v>颜色层序与接收空间</ns0:v>
      </ns0:c>
      <ns0:c r="F21" s="123" t="str">
        <ns0:v>机关释放与订单顺序</ns0:v>
      </ns0:c>
      <ns0:c r="G21" s="105" t="str">
        <ns0:v>整齐</ns0:v>
      </ns0:c>
      <ns0:c r="H21" s="105" t="n">
        <ns0:v>8</ns0:v>
      </ns0:c>
      <ns0:c r="I21" s="105" t="n">
        <ns0:f>SUMIFS('装量配置'!$E$6:$E$718,'装量配置'!$A$6:$A$718,A21,'装量配置'!$B$6:$B$718,"开局",'装量配置'!$F$6:$F$718,4,'装量配置'!$G$6:$G$718,"&gt;0")</ns0:f>
        <ns0:v>17</ns0:v>
      </ns0:c>
      <ns0:c r="J21" s="105" t="n">
        <ns0:f>SUMIFS('装量配置'!$E$6:$E$718,'装量配置'!$A$6:$A$718,A21,'装量配置'!$B$6:$B$718,"备货")</ns0:f>
        <ns0:v>2</ns0:v>
      </ns0:c>
      <ns0:c r="K21" s="105" t="n">
        <ns0:v>18</ns0:v>
      </ns0:c>
      <ns0:c r="L21" s="105" t="n">
        <ns0:f>SUMIFS('装量配置'!$E$6:$E$718,'装量配置'!$A$6:$A$718,A21,'装量配置'!$B$6:$B$718,"开局",'装量配置'!$F$6:$F$718,4,'装量配置'!$G$6:$G$718,0,'装量配置'!$D$6:$D$718,"&lt;&gt;广告锁定周转盒")</ns0:f>
        <ns0:v>1</ns0:v>
      </ns0:c>
      <ns0:c r="M21" s="105" t="n">
        <ns0:f>SUMIFS('装量配置'!$E$6:$E$718,'装量配置'!$A$6:$A$718,A21,'装量配置'!$B$6:$B$718,"开局",'装量配置'!$F$6:$F$718,1)</ns0:f>
        <ns0:v>0</ns0:v>
      </ns0:c>
      <ns0:c r="N21" s="105" t="n">
        <ns0:f>SUMIFS('装量配置'!$E$6:$E$718,'装量配置'!$A$6:$A$718,A21,'装量配置'!$B$6:$B$718,"开局",'装量配置'!$D$6:$D$718,"广告锁定周转盒")</ns0:f>
        <ns0:v>2</ns0:v>
      </ns0:c>
      <ns0:c r="O21" s="105" t="n">
        <ns0:f>SUMIFS('装量配置'!$E$6:$E$718,'装量配置'!$A$6:$A$718,A21,'装量配置'!$B$6:$B$718,"开局")</ns0:f>
        <ns0:v>20</ns0:v>
      </ns0:c>
      <ns0:c r="P21" s="105" t="n">
        <ns0:f>SUMIFS('装量配置'!$K$6:$K$718,'装量配置'!$A$6:$A$718,A21)</ns0:f>
        <ns0:v>4</ns0:v>
      </ns0:c>
      <ns0:c r="Q21" s="105" t="n">
        <ns0:v>5</ns0:v>
      </ns0:c>
      <ns0:c r="R21" s="106" t="n">
        <ns0:v>0</ns0:v>
      </ns0:c>
      <ns0:c r="S21" s="106" t="n">
        <ns0:v>0</ns0:v>
      </ns0:c>
      <ns0:c r="T21" s="105" t="n">
        <ns0:v>4</ns0:v>
      </ns0:c>
      <ns0:c r="U21" s="105" t="n">
        <ns0:v>3</ns0:v>
      </ns0:c>
      <ns0:c r="V21" s="123" t="str">
        <ns0:v>数字盖盒</ns0:v>
      </ns0:c>
      <ns0:c r="W21" s="123"/>
      <ns0:c r="X21" s="123" t="str">
        <ns0:v>数字盖盒1×1；数字盖盒1×1</ns0:v>
      </ns0:c>
      <ns0:c r="Y21" s="105" t="n">
        <ns0:f>SUMIFS('装量配置'!$I$6:$I$718,'装量配置'!$A$6:$A$718,A21)</ns0:f>
        <ns0:v>72</ns0:v>
      </ns0:c>
      <ns0:c r="Z21" s="105" t="str">
        <ns0:f>IF(AND(O21&lt;=25,N21=2,Y21=K21*4,H21&lt;=K21,P21+AT21&gt;=4,COUNTIFS('装量配置'!$A$6:$A$718,A21,'装量配置'!$O$6:$O$718,"需调整")=0),"装量通过；待逐味","需调整")</ns0:f>
        <ns0:v>装量通过；待逐味</ns0:v>
      </ns0:c>
      <ns0:c r="AA21" s="107" t="str">
        <ns0:v>已找到完整可行路线</ns0:v>
      </ns0:c>
      <ns0:c r="AB21" s="107"/>
      <ns0:c r="AC21" s="107"/>
      <ns0:c r="AD21" s="106"/>
      <ns0:c r="AE21" s="108" t="n">
        <ns0:v>6</ns0:v>
      </ns0:c>
      <ns0:c r="AF21" s="109"/>
      <ns0:c r="AG21" s="109"/>
      <ns0:c r="AH21" s="110"/>
      <ns0:c r="AI21" s="129" t="str">
        <ns0:v>层序已制作；真人难度待测</ns0:v>
      </ns0:c>
      <ns0:c r="AJ21" s="123" t="str">
        <ns0:v>用户确认温和波动方案；可行解非最短；真实验收见R2实施记录</ns0:v>
      </ns0:c>
      <ns0:c r="AK21" s="123" t="str">
        <ns0:v>按盒数连续紧凑分排</ns0:v>
      </ns0:c>
      <ns0:c r="AL21" s="105" t="n">
        <ns0:v>0</ns0:v>
      </ns0:c>
      <ns0:c r="AM21" s="106"/>
      <ns0:c r="AN21" s="107"/>
      <ns0:c r="AO21" s="110"/>
      <ns0:c r="AP21" s="123" t="str">
        <ns0:v>四种周转条件完整回放见实施记录</ns0:v>
      </ns0:c>
      <ns0:c r="AQ21" s="107"/>
      <ns0:c r="AR21" s="121" t="n">
        <ns0:f>SUMIFS('装量配置'!$I$6:$I$718,'装量配置'!$A$6:$A$718,A21,'装量配置'!$B$6:$B$718,"开局")</ns0:f>
        <ns0:v>64</ns0:v>
      </ns0:c>
      <ns0:c r="AS21" s="133" t="n">
        <ns0:f>SUMIFS('装量配置'!$I$6:$I$718,'装量配置'!$A$6:$A$718,A21,'装量配置'!$B$6:$B$718,"开局",'装量配置'!$D$6:$D$718,"普通盒",'装量配置'!$G$6:$G$718,"&gt;0")/(4*SUMIFS('装量配置'!$E$6:$E$718,'装量配置'!$A$6:$A$718,A21,'装量配置'!$B$6:$B$718,"开局",'装量配置'!$D$6:$D$718,"普通盒",'装量配置'!$G$6:$G$718,"&gt;0"))</ns0:f>
        <ns0:v>0.9333333333333333</ns0:v>
      </ns0:c>
      <ns0:c r="AT21" s="121" t="n">
        <ns0:f>SUMIFS('装量配置'!$L$6:$L$718,'装量配置'!$A$6:$A$718,A21)</ns0:f>
        <ns0:v>4</ns0:v>
      </ns0:c>
      <ns0:c r="AU21" s="121" t="n">
        <ns0:f>SUMIFS('装量配置'!$M$6:$M$718,'装量配置'!$A$6:$A$718,A21)</ns0:f>
        <ns0:v>0</ns0:v>
      </ns0:c>
      <ns0:c r="AV21" s="121" t="n">
        <ns0:f>SUMIFS('装量配置'!$N$6:$N$718,'装量配置'!$A$6:$A$718,A21)</ns0:f>
        <ns0:v>0</ns0:v>
      </ns0:c>
      <ns0:c r="AW21" s="133" t="n">
        <ns0:v>0.18</ns0:v>
      </ns0:c>
      <ns0:c r="AX21" s="121" t="n">
        <ns0:v>5</ns0:v>
      </ns0:c>
      <ns0:c r="AY21" s="121" t="n">
        <ns0:f>IF(AX21=1,1,0)</ns0:f>
        <ns0:v>0</ns0:v>
      </ns0:c>
      <ns0:c r="AZ21" s="121" t="n">
        <ns0:f>SUMIFS('装量配置'!$E$6:$E$718,'装量配置'!$A$6:$A$718,A21,'装量配置'!$B$6:$B$718,"开局",'装量配置'!$D$6:$D$718,"&lt;&gt;普通盒",'装量配置'!$D$6:$D$718,"&lt;&gt;广告锁定周转盒")</ns0:f>
        <ns0:v>2</ns0:v>
      </ns0:c>
      <ns0:c r="BA21" s="150" t="n">
        <ns0:f>IF(COUNTIFS('装量配置'!$A$6:$A$718,A21,'装量配置'!$B$6:$B$718,"开局",'装量配置'!$D$6:$D$718,"数字盖盒",'装量配置'!$E$6:$E$718,"&gt;0")&gt;0,1,0)+IF(COUNTIFS('装量配置'!$A$6:$A$718,A21,'装量配置'!$B$6:$B$718,"开局",'装量配置'!$D$6:$D$718,"普通冰冻盒",'装量配置'!$E$6:$E$718,"&gt;0")&gt;0,1,0)+IF(COUNTIFS('装量配置'!$A$6:$A$718,A21,'装量配置'!$B$6:$B$718,"开局",'装量配置'!$D$6:$D$718,"单颗暂存盒",'装量配置'!$E$6:$E$718,"&gt;0")&gt;0,1,0)+IF(COUNTIFS('装量配置'!$A$6:$A$718,A21,'装量配置'!$B$6:$B$718,"开局",'装量配置'!$D$6:$D$718,"数字冰冻盒",'装量配置'!$E$6:$E$718,"&gt;0")&gt;0,1,0)+IF(COUNTIFS('装量配置'!$A$6:$A$718,A21,'装量配置'!$B$6:$B$718,"开局",'装量配置'!$D$6:$D$718,"固定颜色盒",'装量配置'!$E$6:$E$718,"&gt;0")&gt;0,1,0)+IF(COUNTIFS('装量配置'!$A$6:$A$718,A21,'装量配置'!$B$6:$B$718,"开局",'装量配置'!$D$6:$D$718,"单向收纳盒",'装量配置'!$E$6:$E$718,"&gt;0")&gt;0,1,0)+IF(COUNTIFS('装量配置'!$A$6:$A$718,A21,'装量配置'!$B$6:$B$718,"开局",'装量配置'!$D$6:$D$718,"底部置顶盒",'装量配置'!$E$6:$E$718,"&gt;0")&gt;0,1,0)+IF(COUNTIFS('装量配置'!$A$6:$A$718,A21,'装量配置'!$B$6:$B$718,"开局",'装量配置'!$D$6:$D$718,"炸弹盒",'装量配置'!$E$6:$E$718,"&gt;0")&gt;0,1,0)</ns0:f>
        <ns0:v>1</ns0:v>
      </ns0:c>
      <ns0:c r="BB21" s="150" t="n">
        <ns0:f>SUMIFS('装量配置'!$E$6:$E$718,'装量配置'!$A$6:$A$718,A21,'装量配置'!$B$6:$B$718,"开局",'装量配置'!$D$6:$D$718,"数字盖盒")+SUMIFS('装量配置'!$E$6:$E$718,'装量配置'!$A$6:$A$718,A21,'装量配置'!$B$6:$B$718,"开局",'装量配置'!$D$6:$D$718,"普通冰冻盒")+SUMIFS('装量配置'!$E$6:$E$718,'装量配置'!$A$6:$A$718,A21,'装量配置'!$B$6:$B$718,"开局",'装量配置'!$D$6:$D$718,"数字冰冻盒")</ns0:f>
        <ns0:v>2</ns0:v>
      </ns0:c>
      <ns0:c r="BC21" s="150" t="n">
        <ns0:f>SUMIFS('装量配置'!$R$6:$R$718,'装量配置'!$A$6:$A$718,A21,'装量配置'!$B$6:$B$718,"开局")</ns0:f>
        <ns0:v>2</ns0:v>
      </ns0:c>
      <ns0:c r="BD21" s="148" t="str">
        <ns0:v>首组推动机关；普通冰冻由真实回收触发</ns0:v>
      </ns0:c>
      <ns0:c r="BE21" s="150" t="n">
        <ns0:v>3</ns0:v>
      </ns0:c>
      <ns0:c r="BF21" s="148" t="str">
        <ns0:v>基线路线验证；非所有路线下限</ns0:v>
      </ns0:c>
    </ns0:row>
    <ns0:row r="22" ht="33" customHeight="1">
      <ns0:c r="A22" s="112" t="n">
        <ns0:v>17</ns0:v>
      </ns0:c>
      <ns0:c r="B22" s="112" t="str">
        <ns0:v>数字盖盒</ns0:v>
      </ns0:c>
      <ns0:c r="C22" s="124" t="str">
        <ns0:v>连续开盖挑战</ns0:v>
      </ns0:c>
      <ns0:c r="D22" s="114" t="n">
        <ns0:v>4.6</ns0:v>
      </ns0:c>
      <ns0:c r="E22" s="124" t="str">
        <ns0:v>颜色层序与接收空间</ns0:v>
      </ns0:c>
      <ns0:c r="F22" s="124" t="str">
        <ns0:v>机关释放与订单顺序</ns0:v>
      </ns0:c>
      <ns0:c r="G22" s="112" t="str">
        <ns0:v>整齐</ns0:v>
      </ns0:c>
      <ns0:c r="H22" s="112" t="n">
        <ns0:v>8</ns0:v>
      </ns0:c>
      <ns0:c r="I22" s="112" t="n">
        <ns0:f>SUMIFS('装量配置'!$E$6:$E$718,'装量配置'!$A$6:$A$718,A22,'装量配置'!$B$6:$B$718,"开局",'装量配置'!$F$6:$F$718,4,'装量配置'!$G$6:$G$718,"&gt;0")</ns0:f>
        <ns0:v>18</ns0:v>
      </ns0:c>
      <ns0:c r="J22" s="112" t="n">
        <ns0:f>SUMIFS('装量配置'!$E$6:$E$718,'装量配置'!$A$6:$A$718,A22,'装量配置'!$B$6:$B$718,"备货")</ns0:f>
        <ns0:v>2</ns0:v>
      </ns0:c>
      <ns0:c r="K22" s="112" t="n">
        <ns0:v>18</ns0:v>
      </ns0:c>
      <ns0:c r="L22" s="112" t="n">
        <ns0:f>SUMIFS('装量配置'!$E$6:$E$718,'装量配置'!$A$6:$A$718,A22,'装量配置'!$B$6:$B$718,"开局",'装量配置'!$F$6:$F$718,4,'装量配置'!$G$6:$G$718,0,'装量配置'!$D$6:$D$718,"&lt;&gt;广告锁定周转盒")</ns0:f>
        <ns0:v>0</ns0:v>
      </ns0:c>
      <ns0:c r="M22" s="112" t="n">
        <ns0:f>SUMIFS('装量配置'!$E$6:$E$718,'装量配置'!$A$6:$A$718,A22,'装量配置'!$B$6:$B$718,"开局",'装量配置'!$F$6:$F$718,1)</ns0:f>
        <ns0:v>0</ns0:v>
      </ns0:c>
      <ns0:c r="N22" s="112" t="n">
        <ns0:f>SUMIFS('装量配置'!$E$6:$E$718,'装量配置'!$A$6:$A$718,A22,'装量配置'!$B$6:$B$718,"开局",'装量配置'!$D$6:$D$718,"广告锁定周转盒")</ns0:f>
        <ns0:v>2</ns0:v>
      </ns0:c>
      <ns0:c r="O22" s="112" t="n">
        <ns0:f>SUMIFS('装量配置'!$E$6:$E$718,'装量配置'!$A$6:$A$718,A22,'装量配置'!$B$6:$B$718,"开局")</ns0:f>
        <ns0:v>20</ns0:v>
      </ns0:c>
      <ns0:c r="P22" s="112" t="n">
        <ns0:f>SUMIFS('装量配置'!$K$6:$K$718,'装量配置'!$A$6:$A$718,A22)</ns0:f>
        <ns0:v>0</ns0:v>
      </ns0:c>
      <ns0:c r="Q22" s="112" t="n">
        <ns0:v>5</ns0:v>
      </ns0:c>
      <ns0:c r="R22" s="113" t="n">
        <ns0:v>0</ns0:v>
      </ns0:c>
      <ns0:c r="S22" s="113" t="n">
        <ns0:v>0</ns0:v>
      </ns0:c>
      <ns0:c r="T22" s="112" t="n">
        <ns0:v>4</ns0:v>
      </ns0:c>
      <ns0:c r="U22" s="112" t="n">
        <ns0:v>3</ns0:v>
      </ns0:c>
      <ns0:c r="V22" s="124" t="str">
        <ns0:v>数字盖盒</ns0:v>
      </ns0:c>
      <ns0:c r="W22" s="124"/>
      <ns0:c r="X22" s="124" t="str">
        <ns0:v>数字盖盒1×1；数字盖盒2×1</ns0:v>
      </ns0:c>
      <ns0:c r="Y22" s="112" t="n">
        <ns0:f>SUMIFS('装量配置'!$I$6:$I$718,'装量配置'!$A$6:$A$718,A22)</ns0:f>
        <ns0:v>72</ns0:v>
      </ns0:c>
      <ns0:c r="Z22" s="112" t="str">
        <ns0:f>IF(AND(O22&lt;=25,N22=2,Y22=K22*4,H22&lt;=K22,P22+AT22&gt;=4,COUNTIFS('装量配置'!$A$6:$A$718,A22,'装量配置'!$O$6:$O$718,"需调整")=0),"装量通过；待逐味","需调整")</ns0:f>
        <ns0:v>装量通过；待逐味</ns0:v>
      </ns0:c>
      <ns0:c r="AA22" s="107" t="str">
        <ns0:v>已找到完整可行路线</ns0:v>
      </ns0:c>
      <ns0:c r="AB22" s="107"/>
      <ns0:c r="AC22" s="107"/>
      <ns0:c r="AD22" s="113"/>
      <ns0:c r="AE22" s="114" t="n">
        <ns0:v>6</ns0:v>
      </ns0:c>
      <ns0:c r="AF22" s="109"/>
      <ns0:c r="AG22" s="109"/>
      <ns0:c r="AH22" s="110"/>
      <ns0:c r="AI22" s="129" t="str">
        <ns0:v>层序已制作；真人难度待测</ns0:v>
      </ns0:c>
      <ns0:c r="AJ22" s="124" t="str">
        <ns0:v>用户确认温和波动方案；可行解非最短；真实验收见R2实施记录</ns0:v>
      </ns0:c>
      <ns0:c r="AK22" s="124" t="str">
        <ns0:v>按盒数连续紧凑分排</ns0:v>
      </ns0:c>
      <ns0:c r="AL22" s="112" t="n">
        <ns0:v>0</ns0:v>
      </ns0:c>
      <ns0:c r="AM22" s="113"/>
      <ns0:c r="AN22" s="112"/>
      <ns0:c r="AO22" s="113"/>
      <ns0:c r="AP22" s="124" t="str">
        <ns0:v>四种周转条件完整回放见实施记录</ns0:v>
      </ns0:c>
      <ns0:c r="AQ22" s="107"/>
      <ns0:c r="AR22" s="120" t="n">
        <ns0:f>SUMIFS('装量配置'!$I$6:$I$718,'装量配置'!$A$6:$A$718,A22,'装量配置'!$B$6:$B$718,"开局")</ns0:f>
        <ns0:v>64</ns0:v>
      </ns0:c>
      <ns0:c r="AS22" s="132" t="n">
        <ns0:f>SUMIFS('装量配置'!$I$6:$I$718,'装量配置'!$A$6:$A$718,A22,'装量配置'!$B$6:$B$718,"开局",'装量配置'!$D$6:$D$718,"普通盒",'装量配置'!$G$6:$G$718,"&gt;0")/(4*SUMIFS('装量配置'!$E$6:$E$718,'装量配置'!$A$6:$A$718,A22,'装量配置'!$B$6:$B$718,"开局",'装量配置'!$D$6:$D$718,"普通盒",'装量配置'!$G$6:$G$718,"&gt;0"))</ns0:f>
        <ns0:v>0.875</ns0:v>
      </ns0:c>
      <ns0:c r="AT22" s="120" t="n">
        <ns0:f>SUMIFS('装量配置'!$L$6:$L$718,'装量配置'!$A$6:$A$718,A22)</ns0:f>
        <ns0:v>8</ns0:v>
      </ns0:c>
      <ns0:c r="AU22" s="120" t="n">
        <ns0:f>SUMIFS('装量配置'!$M$6:$M$718,'装量配置'!$A$6:$A$718,A22)</ns0:f>
        <ns0:v>0</ns0:v>
      </ns0:c>
      <ns0:c r="AV22" s="120" t="n">
        <ns0:f>SUMIFS('装量配置'!$N$6:$N$718,'装量配置'!$A$6:$A$718,A22)</ns0:f>
        <ns0:v>0</ns0:v>
      </ns0:c>
      <ns0:c r="AW22" s="132" t="n">
        <ns0:v>0.18</ns0:v>
      </ns0:c>
      <ns0:c r="AX22" s="120" t="n">
        <ns0:v>5</ns0:v>
      </ns0:c>
      <ns0:c r="AY22" s="120" t="n">
        <ns0:f>IF(AX22=1,1,0)</ns0:f>
        <ns0:v>0</ns0:v>
      </ns0:c>
      <ns0:c r="AZ22" s="120" t="n">
        <ns0:f>SUMIFS('装量配置'!$E$6:$E$718,'装量配置'!$A$6:$A$718,A22,'装量配置'!$B$6:$B$718,"开局",'装量配置'!$D$6:$D$718,"&lt;&gt;普通盒",'装量配置'!$D$6:$D$718,"&lt;&gt;广告锁定周转盒")</ns0:f>
        <ns0:v>2</ns0:v>
      </ns0:c>
      <ns0:c r="BA22" s="149" t="n">
        <ns0:f>IF(COUNTIFS('装量配置'!$A$6:$A$718,A22,'装量配置'!$B$6:$B$718,"开局",'装量配置'!$D$6:$D$718,"数字盖盒",'装量配置'!$E$6:$E$718,"&gt;0")&gt;0,1,0)+IF(COUNTIFS('装量配置'!$A$6:$A$718,A22,'装量配置'!$B$6:$B$718,"开局",'装量配置'!$D$6:$D$718,"普通冰冻盒",'装量配置'!$E$6:$E$718,"&gt;0")&gt;0,1,0)+IF(COUNTIFS('装量配置'!$A$6:$A$718,A22,'装量配置'!$B$6:$B$718,"开局",'装量配置'!$D$6:$D$718,"单颗暂存盒",'装量配置'!$E$6:$E$718,"&gt;0")&gt;0,1,0)+IF(COUNTIFS('装量配置'!$A$6:$A$718,A22,'装量配置'!$B$6:$B$718,"开局",'装量配置'!$D$6:$D$718,"数字冰冻盒",'装量配置'!$E$6:$E$718,"&gt;0")&gt;0,1,0)+IF(COUNTIFS('装量配置'!$A$6:$A$718,A22,'装量配置'!$B$6:$B$718,"开局",'装量配置'!$D$6:$D$718,"固定颜色盒",'装量配置'!$E$6:$E$718,"&gt;0")&gt;0,1,0)+IF(COUNTIFS('装量配置'!$A$6:$A$718,A22,'装量配置'!$B$6:$B$718,"开局",'装量配置'!$D$6:$D$718,"单向收纳盒",'装量配置'!$E$6:$E$718,"&gt;0")&gt;0,1,0)+IF(COUNTIFS('装量配置'!$A$6:$A$718,A22,'装量配置'!$B$6:$B$718,"开局",'装量配置'!$D$6:$D$718,"底部置顶盒",'装量配置'!$E$6:$E$718,"&gt;0")&gt;0,1,0)+IF(COUNTIFS('装量配置'!$A$6:$A$718,A22,'装量配置'!$B$6:$B$718,"开局",'装量配置'!$D$6:$D$718,"炸弹盒",'装量配置'!$E$6:$E$718,"&gt;0")&gt;0,1,0)</ns0:f>
        <ns0:v>1</ns0:v>
      </ns0:c>
      <ns0:c r="BB22" s="149" t="n">
        <ns0:f>SUMIFS('装量配置'!$E$6:$E$718,'装量配置'!$A$6:$A$718,A22,'装量配置'!$B$6:$B$718,"开局",'装量配置'!$D$6:$D$718,"数字盖盒")+SUMIFS('装量配置'!$E$6:$E$718,'装量配置'!$A$6:$A$718,A22,'装量配置'!$B$6:$B$718,"开局",'装量配置'!$D$6:$D$718,"普通冰冻盒")+SUMIFS('装量配置'!$E$6:$E$718,'装量配置'!$A$6:$A$718,A22,'装量配置'!$B$6:$B$718,"开局",'装量配置'!$D$6:$D$718,"数字冰冻盒")</ns0:f>
        <ns0:v>2</ns0:v>
      </ns0:c>
      <ns0:c r="BC22" s="149" t="n">
        <ns0:f>SUMIFS('装量配置'!$R$6:$R$718,'装量配置'!$A$6:$A$718,A22,'装量配置'!$B$6:$B$718,"开局")</ns0:f>
        <ns0:v>3</ns0:v>
      </ns0:c>
      <ns0:c r="BD22" s="146" t="str">
        <ns0:v>首组推动机关；普通冰冻由真实回收触发</ns0:v>
      </ns0:c>
      <ns0:c r="BE22" s="149" t="n">
        <ns0:v>3</ns0:v>
      </ns0:c>
      <ns0:c r="BF22" s="146" t="str">
        <ns0:v>基线路线验证；非所有路线下限</ns0:v>
      </ns0:c>
    </ns0:row>
    <ns0:row r="23" ht="33" customHeight="1">
      <ns0:c r="A23" s="105" t="n">
        <ns0:v>18</ns0:v>
      </ns0:c>
      <ns0:c r="B23" s="105" t="str">
        <ns0:v>普通冰冻盒</ns0:v>
      </ns0:c>
      <ns0:c r="C23" s="123" t="str">
        <ns0:v>普通冰冻盒教学</ns0:v>
      </ns0:c>
      <ns0:c r="D23" s="108" t="n">
        <ns0:v>4.3</ns0:v>
      </ns0:c>
      <ns0:c r="E23" s="123" t="str">
        <ns0:v>颜色层序与接收空间</ns0:v>
      </ns0:c>
      <ns0:c r="F23" s="123" t="str">
        <ns0:v>机关释放与订单顺序</ns0:v>
      </ns0:c>
      <ns0:c r="G23" s="105" t="str">
        <ns0:v>整齐</ns0:v>
      </ns0:c>
      <ns0:c r="H23" s="105" t="n">
        <ns0:v>7</ns0:v>
      </ns0:c>
      <ns0:c r="I23" s="105" t="n">
        <ns0:f>SUMIFS('装量配置'!$E$6:$E$718,'装量配置'!$A$6:$A$718,A23,'装量配置'!$B$6:$B$718,"开局",'装量配置'!$F$6:$F$718,4,'装量配置'!$G$6:$G$718,"&gt;0")</ns0:f>
        <ns0:v>18</ns0:v>
      </ns0:c>
      <ns0:c r="J23" s="105" t="n">
        <ns0:f>SUMIFS('装量配置'!$E$6:$E$718,'装量配置'!$A$6:$A$718,A23,'装量配置'!$B$6:$B$718,"备货")</ns0:f>
        <ns0:v>0</ns0:v>
      </ns0:c>
      <ns0:c r="K23" s="105" t="n">
        <ns0:v>17</ns0:v>
      </ns0:c>
      <ns0:c r="L23" s="105" t="n">
        <ns0:f>SUMIFS('装量配置'!$E$6:$E$718,'装量配置'!$A$6:$A$718,A23,'装量配置'!$B$6:$B$718,"开局",'装量配置'!$F$6:$F$718,4,'装量配置'!$G$6:$G$718,0,'装量配置'!$D$6:$D$718,"&lt;&gt;广告锁定周转盒")</ns0:f>
        <ns0:v>1</ns0:v>
      </ns0:c>
      <ns0:c r="M23" s="105" t="n">
        <ns0:f>SUMIFS('装量配置'!$E$6:$E$718,'装量配置'!$A$6:$A$718,A23,'装量配置'!$B$6:$B$718,"开局",'装量配置'!$F$6:$F$718,1)</ns0:f>
        <ns0:v>0</ns0:v>
      </ns0:c>
      <ns0:c r="N23" s="105" t="n">
        <ns0:f>SUMIFS('装量配置'!$E$6:$E$718,'装量配置'!$A$6:$A$718,A23,'装量配置'!$B$6:$B$718,"开局",'装量配置'!$D$6:$D$718,"广告锁定周转盒")</ns0:f>
        <ns0:v>2</ns0:v>
      </ns0:c>
      <ns0:c r="O23" s="105" t="n">
        <ns0:f>SUMIFS('装量配置'!$E$6:$E$718,'装量配置'!$A$6:$A$718,A23,'装量配置'!$B$6:$B$718,"开局")</ns0:f>
        <ns0:v>21</ns0:v>
      </ns0:c>
      <ns0:c r="P23" s="105" t="n">
        <ns0:f>SUMIFS('装量配置'!$K$6:$K$718,'装量配置'!$A$6:$A$718,A23)</ns0:f>
        <ns0:v>4</ns0:v>
      </ns0:c>
      <ns0:c r="Q23" s="105" t="n">
        <ns0:v>4</ns0:v>
      </ns0:c>
      <ns0:c r="R23" s="106" t="n">
        <ns0:v>0</ns0:v>
      </ns0:c>
      <ns0:c r="S23" s="106" t="n">
        <ns0:v>0</ns0:v>
      </ns0:c>
      <ns0:c r="T23" s="105" t="n">
        <ns0:v>3</ns0:v>
      </ns0:c>
      <ns0:c r="U23" s="105" t="n">
        <ns0:v>0</ns0:v>
      </ns0:c>
      <ns0:c r="V23" s="123" t="str">
        <ns0:v>普通冰冻盒</ns0:v>
      </ns0:c>
      <ns0:c r="W23" s="123"/>
      <ns0:c r="X23" s="123" t="str">
        <ns0:v>普通冰冻盒0×1</ns0:v>
      </ns0:c>
      <ns0:c r="Y23" s="105" t="n">
        <ns0:f>SUMIFS('装量配置'!$I$6:$I$718,'装量配置'!$A$6:$A$718,A23)</ns0:f>
        <ns0:v>68</ns0:v>
      </ns0:c>
      <ns0:c r="Z23" s="105" t="str">
        <ns0:f>IF(AND(O23&lt;=25,N23=2,Y23=K23*4,H23&lt;=K23,P23+AT23&gt;=4,COUNTIFS('装量配置'!$A$6:$A$718,A23,'装量配置'!$O$6:$O$718,"需调整")=0),"装量通过；待逐味","需调整")</ns0:f>
        <ns0:v>装量通过；待逐味</ns0:v>
      </ns0:c>
      <ns0:c r="AA23" s="107" t="str">
        <ns0:v>已找到完整可行路线</ns0:v>
      </ns0:c>
      <ns0:c r="AB23" s="107"/>
      <ns0:c r="AC23" s="107"/>
      <ns0:c r="AD23" s="106"/>
      <ns0:c r="AE23" s="108" t="n">
        <ns0:v>6</ns0:v>
      </ns0:c>
      <ns0:c r="AF23" s="109"/>
      <ns0:c r="AG23" s="109"/>
      <ns0:c r="AH23" s="110"/>
      <ns0:c r="AI23" s="129" t="str">
        <ns0:v>层序已制作；真人难度待测</ns0:v>
      </ns0:c>
      <ns0:c r="AJ23" s="123" t="str">
        <ns0:v>用户确认温和波动方案；可行解非最短；真实验收见R2实施记录</ns0:v>
      </ns0:c>
      <ns0:c r="AK23" s="123" t="str">
        <ns0:v>按盒数连续紧凑分排</ns0:v>
      </ns0:c>
      <ns0:c r="AL23" s="105" t="n">
        <ns0:v>0</ns0:v>
      </ns0:c>
      <ns0:c r="AM23" s="106"/>
      <ns0:c r="AN23" s="107"/>
      <ns0:c r="AO23" s="110"/>
      <ns0:c r="AP23" s="123" t="str">
        <ns0:v>四种周转条件完整回放见实施记录</ns0:v>
      </ns0:c>
      <ns0:c r="AQ23" s="107"/>
      <ns0:c r="AR23" s="121" t="n">
        <ns0:f>SUMIFS('装量配置'!$I$6:$I$718,'装量配置'!$A$6:$A$718,A23,'装量配置'!$B$6:$B$718,"开局")</ns0:f>
        <ns0:v>68</ns0:v>
      </ns0:c>
      <ns0:c r="AS23" s="133" t="n">
        <ns0:f>SUMIFS('装量配置'!$I$6:$I$718,'装量配置'!$A$6:$A$718,A23,'装量配置'!$B$6:$B$718,"开局",'装量配置'!$D$6:$D$718,"普通盒",'装量配置'!$G$6:$G$718,"&gt;0")/(4*SUMIFS('装量配置'!$E$6:$E$718,'装量配置'!$A$6:$A$718,A23,'装量配置'!$B$6:$B$718,"开局",'装量配置'!$D$6:$D$718,"普通盒",'装量配置'!$G$6:$G$718,"&gt;0"))</ns0:f>
        <ns0:v>0.9411764705882353</ns0:v>
      </ns0:c>
      <ns0:c r="AT23" s="121" t="n">
        <ns0:f>SUMIFS('装量配置'!$L$6:$L$718,'装量配置'!$A$6:$A$718,A23)</ns0:f>
        <ns0:v>4</ns0:v>
      </ns0:c>
      <ns0:c r="AU23" s="121" t="n">
        <ns0:f>SUMIFS('装量配置'!$M$6:$M$718,'装量配置'!$A$6:$A$718,A23)</ns0:f>
        <ns0:v>0</ns0:v>
      </ns0:c>
      <ns0:c r="AV23" s="121" t="n">
        <ns0:f>SUMIFS('装量配置'!$N$6:$N$718,'装量配置'!$A$6:$A$718,A23)</ns0:f>
        <ns0:v>0</ns0:v>
      </ns0:c>
      <ns0:c r="AW23" s="133" t="n">
        <ns0:v>0.18</ns0:v>
      </ns0:c>
      <ns0:c r="AX23" s="121" t="n">
        <ns0:v>3</ns0:v>
      </ns0:c>
      <ns0:c r="AY23" s="121" t="n">
        <ns0:f>IF(AX23=1,1,0)</ns0:f>
        <ns0:v>1</ns0:v>
      </ns0:c>
      <ns0:c r="AZ23" s="121" t="n">
        <ns0:f>SUMIFS('装量配置'!$E$6:$E$718,'装量配置'!$A$6:$A$718,A23,'装量配置'!$B$6:$B$718,"开局",'装量配置'!$D$6:$D$718,"&lt;&gt;普通盒",'装量配置'!$D$6:$D$718,"&lt;&gt;广告锁定周转盒")</ns0:f>
        <ns0:v>1</ns0:v>
      </ns0:c>
      <ns0:c r="BA23" s="150" t="n">
        <ns0:f>IF(COUNTIFS('装量配置'!$A$6:$A$718,A23,'装量配置'!$B$6:$B$718,"开局",'装量配置'!$D$6:$D$718,"数字盖盒",'装量配置'!$E$6:$E$718,"&gt;0")&gt;0,1,0)+IF(COUNTIFS('装量配置'!$A$6:$A$718,A23,'装量配置'!$B$6:$B$718,"开局",'装量配置'!$D$6:$D$718,"普通冰冻盒",'装量配置'!$E$6:$E$718,"&gt;0")&gt;0,1,0)+IF(COUNTIFS('装量配置'!$A$6:$A$718,A23,'装量配置'!$B$6:$B$718,"开局",'装量配置'!$D$6:$D$718,"单颗暂存盒",'装量配置'!$E$6:$E$718,"&gt;0")&gt;0,1,0)+IF(COUNTIFS('装量配置'!$A$6:$A$718,A23,'装量配置'!$B$6:$B$718,"开局",'装量配置'!$D$6:$D$718,"数字冰冻盒",'装量配置'!$E$6:$E$718,"&gt;0")&gt;0,1,0)+IF(COUNTIFS('装量配置'!$A$6:$A$718,A23,'装量配置'!$B$6:$B$718,"开局",'装量配置'!$D$6:$D$718,"固定颜色盒",'装量配置'!$E$6:$E$718,"&gt;0")&gt;0,1,0)+IF(COUNTIFS('装量配置'!$A$6:$A$718,A23,'装量配置'!$B$6:$B$718,"开局",'装量配置'!$D$6:$D$718,"单向收纳盒",'装量配置'!$E$6:$E$718,"&gt;0")&gt;0,1,0)+IF(COUNTIFS('装量配置'!$A$6:$A$718,A23,'装量配置'!$B$6:$B$718,"开局",'装量配置'!$D$6:$D$718,"底部置顶盒",'装量配置'!$E$6:$E$718,"&gt;0")&gt;0,1,0)+IF(COUNTIFS('装量配置'!$A$6:$A$718,A23,'装量配置'!$B$6:$B$718,"开局",'装量配置'!$D$6:$D$718,"炸弹盒",'装量配置'!$E$6:$E$718,"&gt;0")&gt;0,1,0)</ns0:f>
        <ns0:v>1</ns0:v>
      </ns0:c>
      <ns0:c r="BB23" s="150" t="n">
        <ns0:f>SUMIFS('装量配置'!$E$6:$E$718,'装量配置'!$A$6:$A$718,A23,'装量配置'!$B$6:$B$718,"开局",'装量配置'!$D$6:$D$718,"数字盖盒")+SUMIFS('装量配置'!$E$6:$E$718,'装量配置'!$A$6:$A$718,A23,'装量配置'!$B$6:$B$718,"开局",'装量配置'!$D$6:$D$718,"普通冰冻盒")+SUMIFS('装量配置'!$E$6:$E$718,'装量配置'!$A$6:$A$718,A23,'装量配置'!$B$6:$B$718,"开局",'装量配置'!$D$6:$D$718,"数字冰冻盒")</ns0:f>
        <ns0:v>1</ns0:v>
      </ns0:c>
      <ns0:c r="BC23" s="150" t="n">
        <ns0:f>SUMIFS('装量配置'!$R$6:$R$718,'装量配置'!$A$6:$A$718,A23,'装量配置'!$B$6:$B$718,"开局")</ns0:f>
        <ns0:v>0</ns0:v>
      </ns0:c>
      <ns0:c r="BD23" s="148" t="str">
        <ns0:v>首组推动机关；普通冰冻由真实回收触发</ns0:v>
      </ns0:c>
      <ns0:c r="BE23" s="150" t="n">
        <ns0:v>1</ns0:v>
      </ns0:c>
      <ns0:c r="BF23" s="148" t="str">
        <ns0:v>基线路线验证；非所有路线下限</ns0:v>
      </ns0:c>
    </ns0:row>
    <ns0:row r="24" ht="33" customHeight="1">
      <ns0:c r="A24" s="112" t="n">
        <ns0:v>19</ns0:v>
      </ns0:c>
      <ns0:c r="B24" s="112" t="str">
        <ns0:v>普通冰冻盒</ns0:v>
      </ns0:c>
      <ns0:c r="C24" s="124" t="str">
        <ns0:v>普通冰冻盒练习</ns0:v>
      </ns0:c>
      <ns0:c r="D24" s="114" t="n">
        <ns0:v>4.5</ns0:v>
      </ns0:c>
      <ns0:c r="E24" s="124" t="str">
        <ns0:v>颜色层序与接收空间</ns0:v>
      </ns0:c>
      <ns0:c r="F24" s="124" t="str">
        <ns0:v>机关释放与订单顺序</ns0:v>
      </ns0:c>
      <ns0:c r="G24" s="112" t="str">
        <ns0:v>整齐</ns0:v>
      </ns0:c>
      <ns0:c r="H24" s="112" t="n">
        <ns0:v>8</ns0:v>
      </ns0:c>
      <ns0:c r="I24" s="112" t="n">
        <ns0:f>SUMIFS('装量配置'!$E$6:$E$718,'装量配置'!$A$6:$A$718,A24,'装量配置'!$B$6:$B$718,"开局",'装量配置'!$F$6:$F$718,4,'装量配置'!$G$6:$G$718,"&gt;0")</ns0:f>
        <ns0:v>17</ns0:v>
      </ns0:c>
      <ns0:c r="J24" s="112" t="n">
        <ns0:f>SUMIFS('装量配置'!$E$6:$E$718,'装量配置'!$A$6:$A$718,A24,'装量配置'!$B$6:$B$718,"备货")</ns0:f>
        <ns0:v>0</ns0:v>
      </ns0:c>
      <ns0:c r="K24" s="112" t="n">
        <ns0:v>16</ns0:v>
      </ns0:c>
      <ns0:c r="L24" s="112" t="n">
        <ns0:f>SUMIFS('装量配置'!$E$6:$E$718,'装量配置'!$A$6:$A$718,A24,'装量配置'!$B$6:$B$718,"开局",'装量配置'!$F$6:$F$718,4,'装量配置'!$G$6:$G$718,0,'装量配置'!$D$6:$D$718,"&lt;&gt;广告锁定周转盒")</ns0:f>
        <ns0:v>1</ns0:v>
      </ns0:c>
      <ns0:c r="M24" s="112" t="n">
        <ns0:f>SUMIFS('装量配置'!$E$6:$E$718,'装量配置'!$A$6:$A$718,A24,'装量配置'!$B$6:$B$718,"开局",'装量配置'!$F$6:$F$718,1)</ns0:f>
        <ns0:v>0</ns0:v>
      </ns0:c>
      <ns0:c r="N24" s="112" t="n">
        <ns0:f>SUMIFS('装量配置'!$E$6:$E$718,'装量配置'!$A$6:$A$718,A24,'装量配置'!$B$6:$B$718,"开局",'装量配置'!$D$6:$D$718,"广告锁定周转盒")</ns0:f>
        <ns0:v>2</ns0:v>
      </ns0:c>
      <ns0:c r="O24" s="112" t="n">
        <ns0:f>SUMIFS('装量配置'!$E$6:$E$718,'装量配置'!$A$6:$A$718,A24,'装量配置'!$B$6:$B$718,"开局")</ns0:f>
        <ns0:v>20</ns0:v>
      </ns0:c>
      <ns0:c r="P24" s="112" t="n">
        <ns0:f>SUMIFS('装量配置'!$K$6:$K$718,'装量配置'!$A$6:$A$718,A24)</ns0:f>
        <ns0:v>4</ns0:v>
      </ns0:c>
      <ns0:c r="Q24" s="112" t="n">
        <ns0:v>4</ns0:v>
      </ns0:c>
      <ns0:c r="R24" s="113" t="n">
        <ns0:v>0</ns0:v>
      </ns0:c>
      <ns0:c r="S24" s="113" t="n">
        <ns0:v>0</ns0:v>
      </ns0:c>
      <ns0:c r="T24" s="112" t="n">
        <ns0:v>4</ns0:v>
      </ns0:c>
      <ns0:c r="U24" s="112" t="n">
        <ns0:v>0</ns0:v>
      </ns0:c>
      <ns0:c r="V24" s="124" t="str">
        <ns0:v>普通冰冻盒</ns0:v>
      </ns0:c>
      <ns0:c r="W24" s="124"/>
      <ns0:c r="X24" s="124" t="str">
        <ns0:v>普通冰冻盒0×1；普通冰冻盒0×1</ns0:v>
      </ns0:c>
      <ns0:c r="Y24" s="112" t="n">
        <ns0:f>SUMIFS('装量配置'!$I$6:$I$718,'装量配置'!$A$6:$A$718,A24)</ns0:f>
        <ns0:v>64</ns0:v>
      </ns0:c>
      <ns0:c r="Z24" s="112" t="str">
        <ns0:f>IF(AND(O24&lt;=25,N24=2,Y24=K24*4,H24&lt;=K24,P24+AT24&gt;=4,COUNTIFS('装量配置'!$A$6:$A$718,A24,'装量配置'!$O$6:$O$718,"需调整")=0),"装量通过；待逐味","需调整")</ns0:f>
        <ns0:v>装量通过；待逐味</ns0:v>
      </ns0:c>
      <ns0:c r="AA24" s="107" t="str">
        <ns0:v>已找到完整可行路线</ns0:v>
      </ns0:c>
      <ns0:c r="AB24" s="107"/>
      <ns0:c r="AC24" s="107"/>
      <ns0:c r="AD24" s="113"/>
      <ns0:c r="AE24" s="114" t="n">
        <ns0:v>6</ns0:v>
      </ns0:c>
      <ns0:c r="AF24" s="109"/>
      <ns0:c r="AG24" s="109"/>
      <ns0:c r="AH24" s="110"/>
      <ns0:c r="AI24" s="129" t="str">
        <ns0:v>层序已制作；真人难度待测</ns0:v>
      </ns0:c>
      <ns0:c r="AJ24" s="124" t="str">
        <ns0:v>用户确认温和波动方案；可行解非最短；真实验收见R2实施记录</ns0:v>
      </ns0:c>
      <ns0:c r="AK24" s="124" t="str">
        <ns0:v>按盒数连续紧凑分排</ns0:v>
      </ns0:c>
      <ns0:c r="AL24" s="112" t="n">
        <ns0:v>0</ns0:v>
      </ns0:c>
      <ns0:c r="AM24" s="113"/>
      <ns0:c r="AN24" s="112"/>
      <ns0:c r="AO24" s="113"/>
      <ns0:c r="AP24" s="124" t="str">
        <ns0:v>四种周转条件完整回放见实施记录</ns0:v>
      </ns0:c>
      <ns0:c r="AQ24" s="107"/>
      <ns0:c r="AR24" s="120" t="n">
        <ns0:f>SUMIFS('装量配置'!$I$6:$I$718,'装量配置'!$A$6:$A$718,A24,'装量配置'!$B$6:$B$718,"开局")</ns0:f>
        <ns0:v>64</ns0:v>
      </ns0:c>
      <ns0:c r="AS24" s="132" t="n">
        <ns0:f>SUMIFS('装量配置'!$I$6:$I$718,'装量配置'!$A$6:$A$718,A24,'装量配置'!$B$6:$B$718,"开局",'装量配置'!$D$6:$D$718,"普通盒",'装量配置'!$G$6:$G$718,"&gt;0")/(4*SUMIFS('装量配置'!$E$6:$E$718,'装量配置'!$A$6:$A$718,A24,'装量配置'!$B$6:$B$718,"开局",'装量配置'!$D$6:$D$718,"普通盒",'装量配置'!$G$6:$G$718,"&gt;0"))</ns0:f>
        <ns0:v>0.9333333333333333</ns0:v>
      </ns0:c>
      <ns0:c r="AT24" s="120" t="n">
        <ns0:f>SUMIFS('装量配置'!$L$6:$L$718,'装量配置'!$A$6:$A$718,A24)</ns0:f>
        <ns0:v>4</ns0:v>
      </ns0:c>
      <ns0:c r="AU24" s="120" t="n">
        <ns0:f>SUMIFS('装量配置'!$M$6:$M$718,'装量配置'!$A$6:$A$718,A24)</ns0:f>
        <ns0:v>0</ns0:v>
      </ns0:c>
      <ns0:c r="AV24" s="120" t="n">
        <ns0:f>SUMIFS('装量配置'!$N$6:$N$718,'装量配置'!$A$6:$A$718,A24)</ns0:f>
        <ns0:v>0</ns0:v>
      </ns0:c>
      <ns0:c r="AW24" s="132" t="n">
        <ns0:v>0.18</ns0:v>
      </ns0:c>
      <ns0:c r="AX24" s="120" t="n">
        <ns0:v>4</ns0:v>
      </ns0:c>
      <ns0:c r="AY24" s="120" t="n">
        <ns0:f>IF(AX24=1,1,0)</ns0:f>
        <ns0:v>0</ns0:v>
      </ns0:c>
      <ns0:c r="AZ24" s="120" t="n">
        <ns0:f>SUMIFS('装量配置'!$E$6:$E$718,'装量配置'!$A$6:$A$718,A24,'装量配置'!$B$6:$B$718,"开局",'装量配置'!$D$6:$D$718,"&lt;&gt;普通盒",'装量配置'!$D$6:$D$718,"&lt;&gt;广告锁定周转盒")</ns0:f>
        <ns0:v>2</ns0:v>
      </ns0:c>
      <ns0:c r="BA24" s="149" t="n">
        <ns0:f>IF(COUNTIFS('装量配置'!$A$6:$A$718,A24,'装量配置'!$B$6:$B$718,"开局",'装量配置'!$D$6:$D$718,"数字盖盒",'装量配置'!$E$6:$E$718,"&gt;0")&gt;0,1,0)+IF(COUNTIFS('装量配置'!$A$6:$A$718,A24,'装量配置'!$B$6:$B$718,"开局",'装量配置'!$D$6:$D$718,"普通冰冻盒",'装量配置'!$E$6:$E$718,"&gt;0")&gt;0,1,0)+IF(COUNTIFS('装量配置'!$A$6:$A$718,A24,'装量配置'!$B$6:$B$718,"开局",'装量配置'!$D$6:$D$718,"单颗暂存盒",'装量配置'!$E$6:$E$718,"&gt;0")&gt;0,1,0)+IF(COUNTIFS('装量配置'!$A$6:$A$718,A24,'装量配置'!$B$6:$B$718,"开局",'装量配置'!$D$6:$D$718,"数字冰冻盒",'装量配置'!$E$6:$E$718,"&gt;0")&gt;0,1,0)+IF(COUNTIFS('装量配置'!$A$6:$A$718,A24,'装量配置'!$B$6:$B$718,"开局",'装量配置'!$D$6:$D$718,"固定颜色盒",'装量配置'!$E$6:$E$718,"&gt;0")&gt;0,1,0)+IF(COUNTIFS('装量配置'!$A$6:$A$718,A24,'装量配置'!$B$6:$B$718,"开局",'装量配置'!$D$6:$D$718,"单向收纳盒",'装量配置'!$E$6:$E$718,"&gt;0")&gt;0,1,0)+IF(COUNTIFS('装量配置'!$A$6:$A$718,A24,'装量配置'!$B$6:$B$718,"开局",'装量配置'!$D$6:$D$718,"底部置顶盒",'装量配置'!$E$6:$E$718,"&gt;0")&gt;0,1,0)+IF(COUNTIFS('装量配置'!$A$6:$A$718,A24,'装量配置'!$B$6:$B$718,"开局",'装量配置'!$D$6:$D$718,"炸弹盒",'装量配置'!$E$6:$E$718,"&gt;0")&gt;0,1,0)</ns0:f>
        <ns0:v>1</ns0:v>
      </ns0:c>
      <ns0:c r="BB24" s="149" t="n">
        <ns0:f>SUMIFS('装量配置'!$E$6:$E$718,'装量配置'!$A$6:$A$718,A24,'装量配置'!$B$6:$B$718,"开局",'装量配置'!$D$6:$D$718,"数字盖盒")+SUMIFS('装量配置'!$E$6:$E$718,'装量配置'!$A$6:$A$718,A24,'装量配置'!$B$6:$B$718,"开局",'装量配置'!$D$6:$D$718,"普通冰冻盒")+SUMIFS('装量配置'!$E$6:$E$718,'装量配置'!$A$6:$A$718,A24,'装量配置'!$B$6:$B$718,"开局",'装量配置'!$D$6:$D$718,"数字冰冻盒")</ns0:f>
        <ns0:v>2</ns0:v>
      </ns0:c>
      <ns0:c r="BC24" s="149" t="n">
        <ns0:f>SUMIFS('装量配置'!$R$6:$R$718,'装量配置'!$A$6:$A$718,A24,'装量配置'!$B$6:$B$718,"开局")</ns0:f>
        <ns0:v>0</ns0:v>
      </ns0:c>
      <ns0:c r="BD24" s="146" t="str">
        <ns0:v>首组推动机关；普通冰冻由真实回收触发</ns0:v>
      </ns0:c>
      <ns0:c r="BE24" s="149" t="n">
        <ns0:v>2</ns0:v>
      </ns0:c>
      <ns0:c r="BF24" s="146" t="str">
        <ns0:v>基线路线验证；非所有路线下限</ns0:v>
      </ns0:c>
    </ns0:row>
    <ns0:row r="25" ht="33" customHeight="1">
      <ns0:c r="A25" s="105" t="n">
        <ns0:v>20</ns0:v>
      </ns0:c>
      <ns0:c r="B25" s="105" t="str">
        <ns0:v>普通冰冻盒</ns0:v>
      </ns0:c>
      <ns0:c r="C25" s="123" t="str">
        <ns0:v>开盖与回收综合</ns0:v>
      </ns0:c>
      <ns0:c r="D25" s="108" t="n">
        <ns0:v>4.7</ns0:v>
      </ns0:c>
      <ns0:c r="E25" s="123" t="str">
        <ns0:v>颜色层序与接收空间</ns0:v>
      </ns0:c>
      <ns0:c r="F25" s="123" t="str">
        <ns0:v>机关释放与订单顺序</ns0:v>
      </ns0:c>
      <ns0:c r="G25" s="105" t="str">
        <ns0:v>整齐</ns0:v>
      </ns0:c>
      <ns0:c r="H25" s="105" t="n">
        <ns0:v>8</ns0:v>
      </ns0:c>
      <ns0:c r="I25" s="105" t="n">
        <ns0:f>SUMIFS('装量配置'!$E$6:$E$718,'装量配置'!$A$6:$A$718,A25,'装量配置'!$B$6:$B$718,"开局",'装量配置'!$F$6:$F$718,4,'装量配置'!$G$6:$G$718,"&gt;0")</ns0:f>
        <ns0:v>20</ns0:v>
      </ns0:c>
      <ns0:c r="J25" s="105" t="n">
        <ns0:f>SUMIFS('装量配置'!$E$6:$E$718,'装量配置'!$A$6:$A$718,A25,'装量配置'!$B$6:$B$718,"备货")</ns0:f>
        <ns0:v>0</ns0:v>
      </ns0:c>
      <ns0:c r="K25" s="105" t="n">
        <ns0:v>18</ns0:v>
      </ns0:c>
      <ns0:c r="L25" s="105" t="n">
        <ns0:f>SUMIFS('装量配置'!$E$6:$E$718,'装量配置'!$A$6:$A$718,A25,'装量配置'!$B$6:$B$718,"开局",'装量配置'!$F$6:$F$718,4,'装量配置'!$G$6:$G$718,0,'装量配置'!$D$6:$D$718,"&lt;&gt;广告锁定周转盒")</ns0:f>
        <ns0:v>0</ns0:v>
      </ns0:c>
      <ns0:c r="M25" s="105" t="n">
        <ns0:f>SUMIFS('装量配置'!$E$6:$E$718,'装量配置'!$A$6:$A$718,A25,'装量配置'!$B$6:$B$718,"开局",'装量配置'!$F$6:$F$718,1)</ns0:f>
        <ns0:v>0</ns0:v>
      </ns0:c>
      <ns0:c r="N25" s="105" t="n">
        <ns0:f>SUMIFS('装量配置'!$E$6:$E$718,'装量配置'!$A$6:$A$718,A25,'装量配置'!$B$6:$B$718,"开局",'装量配置'!$D$6:$D$718,"广告锁定周转盒")</ns0:f>
        <ns0:v>2</ns0:v>
      </ns0:c>
      <ns0:c r="O25" s="105" t="n">
        <ns0:f>SUMIFS('装量配置'!$E$6:$E$718,'装量配置'!$A$6:$A$718,A25,'装量配置'!$B$6:$B$718,"开局")</ns0:f>
        <ns0:v>22</ns0:v>
      </ns0:c>
      <ns0:c r="P25" s="105" t="n">
        <ns0:f>SUMIFS('装量配置'!$K$6:$K$718,'装量配置'!$A$6:$A$718,A25)</ns0:f>
        <ns0:v>0</ns0:v>
      </ns0:c>
      <ns0:c r="Q25" s="105" t="n">
        <ns0:v>5</ns0:v>
      </ns0:c>
      <ns0:c r="R25" s="106" t="n">
        <ns0:v>0</ns0:v>
      </ns0:c>
      <ns0:c r="S25" s="106" t="n">
        <ns0:v>0</ns0:v>
      </ns0:c>
      <ns0:c r="T25" s="105" t="n">
        <ns0:v>4</ns0:v>
      </ns0:c>
      <ns0:c r="U25" s="105" t="n">
        <ns0:v>0</ns0:v>
      </ns0:c>
      <ns0:c r="V25" s="123" t="str">
        <ns0:v>普通冰冻盒</ns0:v>
      </ns0:c>
      <ns0:c r="W25" s="123" t="str">
        <ns0:v>数字盖盒</ns0:v>
      </ns0:c>
      <ns0:c r="X25" s="123" t="str">
        <ns0:v>普通冰冻盒0×1；普通冰冻盒0×1；数字盖盒1×1</ns0:v>
      </ns0:c>
      <ns0:c r="Y25" s="105" t="n">
        <ns0:f>SUMIFS('装量配置'!$I$6:$I$718,'装量配置'!$A$6:$A$718,A25)</ns0:f>
        <ns0:v>72</ns0:v>
      </ns0:c>
      <ns0:c r="Z25" s="105" t="str">
        <ns0:f>IF(AND(O25&lt;=25,N25=2,Y25=K25*4,H25&lt;=K25,P25+AT25&gt;=4,COUNTIFS('装量配置'!$A$6:$A$718,A25,'装量配置'!$O$6:$O$718,"需调整")=0),"装量通过；待逐味","需调整")</ns0:f>
        <ns0:v>装量通过；待逐味</ns0:v>
      </ns0:c>
      <ns0:c r="AA25" s="107" t="str">
        <ns0:v>已找到完整可行路线</ns0:v>
      </ns0:c>
      <ns0:c r="AB25" s="107"/>
      <ns0:c r="AC25" s="107"/>
      <ns0:c r="AD25" s="106"/>
      <ns0:c r="AE25" s="108" t="n">
        <ns0:v>6</ns0:v>
      </ns0:c>
      <ns0:c r="AF25" s="109"/>
      <ns0:c r="AG25" s="109"/>
      <ns0:c r="AH25" s="110"/>
      <ns0:c r="AI25" s="129" t="str">
        <ns0:v>层序已制作；真人难度待测</ns0:v>
      </ns0:c>
      <ns0:c r="AJ25" s="123" t="str">
        <ns0:v>用户确认温和波动方案；可行解非最短；真实验收见R2实施记录</ns0:v>
      </ns0:c>
      <ns0:c r="AK25" s="123" t="str">
        <ns0:v>按盒数连续紧凑分排</ns0:v>
      </ns0:c>
      <ns0:c r="AL25" s="105" t="n">
        <ns0:v>0</ns0:v>
      </ns0:c>
      <ns0:c r="AM25" s="106"/>
      <ns0:c r="AN25" s="107"/>
      <ns0:c r="AO25" s="110"/>
      <ns0:c r="AP25" s="123" t="str">
        <ns0:v>四种周转条件完整回放见实施记录</ns0:v>
      </ns0:c>
      <ns0:c r="AQ25" s="107"/>
      <ns0:c r="AR25" s="121" t="n">
        <ns0:f>SUMIFS('装量配置'!$I$6:$I$718,'装量配置'!$A$6:$A$718,A25,'装量配置'!$B$6:$B$718,"开局")</ns0:f>
        <ns0:v>72</ns0:v>
      </ns0:c>
      <ns0:c r="AS25" s="133" t="n">
        <ns0:f>SUMIFS('装量配置'!$I$6:$I$718,'装量配置'!$A$6:$A$718,A25,'装量配置'!$B$6:$B$718,"开局",'装量配置'!$D$6:$D$718,"普通盒",'装量配置'!$G$6:$G$718,"&gt;0")/(4*SUMIFS('装量配置'!$E$6:$E$718,'装量配置'!$A$6:$A$718,A25,'装量配置'!$B$6:$B$718,"开局",'装量配置'!$D$6:$D$718,"普通盒",'装量配置'!$G$6:$G$718,"&gt;0"))</ns0:f>
        <ns0:v>0.8823529411764706</ns0:v>
      </ns0:c>
      <ns0:c r="AT25" s="121" t="n">
        <ns0:f>SUMIFS('装量配置'!$L$6:$L$718,'装量配置'!$A$6:$A$718,A25)</ns0:f>
        <ns0:v>8</ns0:v>
      </ns0:c>
      <ns0:c r="AU25" s="121" t="n">
        <ns0:f>SUMIFS('装量配置'!$M$6:$M$718,'装量配置'!$A$6:$A$718,A25)</ns0:f>
        <ns0:v>0</ns0:v>
      </ns0:c>
      <ns0:c r="AV25" s="121" t="n">
        <ns0:f>SUMIFS('装量配置'!$N$6:$N$718,'装量配置'!$A$6:$A$718,A25)</ns0:f>
        <ns0:v>0</ns0:v>
      </ns0:c>
      <ns0:c r="AW25" s="133" t="n">
        <ns0:v>0.18</ns0:v>
      </ns0:c>
      <ns0:c r="AX25" s="121" t="n">
        <ns0:v>5</ns0:v>
      </ns0:c>
      <ns0:c r="AY25" s="121" t="n">
        <ns0:f>IF(AX25=1,1,0)</ns0:f>
        <ns0:v>0</ns0:v>
      </ns0:c>
      <ns0:c r="AZ25" s="121" t="n">
        <ns0:f>SUMIFS('装量配置'!$E$6:$E$718,'装量配置'!$A$6:$A$718,A25,'装量配置'!$B$6:$B$718,"开局",'装量配置'!$D$6:$D$718,"&lt;&gt;普通盒",'装量配置'!$D$6:$D$718,"&lt;&gt;广告锁定周转盒")</ns0:f>
        <ns0:v>3</ns0:v>
      </ns0:c>
      <ns0:c r="BA25" s="150" t="n">
        <ns0:f>IF(COUNTIFS('装量配置'!$A$6:$A$718,A25,'装量配置'!$B$6:$B$718,"开局",'装量配置'!$D$6:$D$718,"数字盖盒",'装量配置'!$E$6:$E$718,"&gt;0")&gt;0,1,0)+IF(COUNTIFS('装量配置'!$A$6:$A$718,A25,'装量配置'!$B$6:$B$718,"开局",'装量配置'!$D$6:$D$718,"普通冰冻盒",'装量配置'!$E$6:$E$718,"&gt;0")&gt;0,1,0)+IF(COUNTIFS('装量配置'!$A$6:$A$718,A25,'装量配置'!$B$6:$B$718,"开局",'装量配置'!$D$6:$D$718,"单颗暂存盒",'装量配置'!$E$6:$E$718,"&gt;0")&gt;0,1,0)+IF(COUNTIFS('装量配置'!$A$6:$A$718,A25,'装量配置'!$B$6:$B$718,"开局",'装量配置'!$D$6:$D$718,"数字冰冻盒",'装量配置'!$E$6:$E$718,"&gt;0")&gt;0,1,0)+IF(COUNTIFS('装量配置'!$A$6:$A$718,A25,'装量配置'!$B$6:$B$718,"开局",'装量配置'!$D$6:$D$718,"固定颜色盒",'装量配置'!$E$6:$E$718,"&gt;0")&gt;0,1,0)+IF(COUNTIFS('装量配置'!$A$6:$A$718,A25,'装量配置'!$B$6:$B$718,"开局",'装量配置'!$D$6:$D$718,"单向收纳盒",'装量配置'!$E$6:$E$718,"&gt;0")&gt;0,1,0)+IF(COUNTIFS('装量配置'!$A$6:$A$718,A25,'装量配置'!$B$6:$B$718,"开局",'装量配置'!$D$6:$D$718,"底部置顶盒",'装量配置'!$E$6:$E$718,"&gt;0")&gt;0,1,0)+IF(COUNTIFS('装量配置'!$A$6:$A$718,A25,'装量配置'!$B$6:$B$718,"开局",'装量配置'!$D$6:$D$718,"炸弹盒",'装量配置'!$E$6:$E$718,"&gt;0")&gt;0,1,0)</ns0:f>
        <ns0:v>2</ns0:v>
      </ns0:c>
      <ns0:c r="BB25" s="150" t="n">
        <ns0:f>SUMIFS('装量配置'!$E$6:$E$718,'装量配置'!$A$6:$A$718,A25,'装量配置'!$B$6:$B$718,"开局",'装量配置'!$D$6:$D$718,"数字盖盒")+SUMIFS('装量配置'!$E$6:$E$718,'装量配置'!$A$6:$A$718,A25,'装量配置'!$B$6:$B$718,"开局",'装量配置'!$D$6:$D$718,"普通冰冻盒")+SUMIFS('装量配置'!$E$6:$E$718,'装量配置'!$A$6:$A$718,A25,'装量配置'!$B$6:$B$718,"开局",'装量配置'!$D$6:$D$718,"数字冰冻盒")</ns0:f>
        <ns0:v>3</ns0:v>
      </ns0:c>
      <ns0:c r="BC25" s="150" t="n">
        <ns0:f>SUMIFS('装量配置'!$R$6:$R$718,'装量配置'!$A$6:$A$718,A25,'装量配置'!$B$6:$B$718,"开局")</ns0:f>
        <ns0:v>1</ns0:v>
      </ns0:c>
      <ns0:c r="BD25" s="148" t="str">
        <ns0:v>首组推动机关；普通冰冻由真实回收触发</ns0:v>
      </ns0:c>
      <ns0:c r="BE25" s="150" t="n">
        <ns0:v>3</ns0:v>
      </ns0:c>
      <ns0:c r="BF25" s="148" t="str">
        <ns0:v>基线路线验证；非所有路线下限</ns0:v>
      </ns0:c>
    </ns0:row>
    <ns0:row r="26" ht="33" customHeight="1">
      <ns0:c r="A26" s="97" t="n">
        <ns0:v>21</ns0:v>
      </ns0:c>
      <ns0:c r="B26" s="115" t="str">
        <ns0:v>普通冰冻盒</ns0:v>
      </ns0:c>
      <ns0:c r="C26" s="125" t="str">
        <ns0:v>双冰冻过渡</ns0:v>
      </ns0:c>
      <ns0:c r="D26" s="100" t="n">
        <ns0:v>4.5</ns0:v>
      </ns0:c>
      <ns0:c r="E26" s="122" t="str">
        <ns0:v>颜色层序与接收空间</ns0:v>
      </ns0:c>
      <ns0:c r="F26" s="122" t="str">
        <ns0:v>机关释放与订单顺序</ns0:v>
      </ns0:c>
      <ns0:c r="G26" s="97" t="str">
        <ns0:v>整齐</ns0:v>
      </ns0:c>
      <ns0:c r="H26" s="97" t="n">
        <ns0:v>8</ns0:v>
      </ns0:c>
      <ns0:c r="I26" s="97" t="n">
        <ns0:f>SUMIFS('装量配置'!$E$6:$E$718,'装量配置'!$A$6:$A$718,A26,'装量配置'!$B$6:$B$718,"开局",'装量配置'!$F$6:$F$718,4,'装量配置'!$G$6:$G$718,"&gt;0")</ns0:f>
        <ns0:v>17</ns0:v>
      </ns0:c>
      <ns0:c r="J26" s="97" t="n">
        <ns0:f>SUMIFS('装量配置'!$E$6:$E$718,'装量配置'!$A$6:$A$718,A26,'装量配置'!$B$6:$B$718,"备货")</ns0:f>
        <ns0:v>0</ns0:v>
      </ns0:c>
      <ns0:c r="K26" s="97" t="n">
        <ns0:v>16</ns0:v>
      </ns0:c>
      <ns0:c r="L26" s="97" t="n">
        <ns0:f>SUMIFS('装量配置'!$E$6:$E$718,'装量配置'!$A$6:$A$718,A26,'装量配置'!$B$6:$B$718,"开局",'装量配置'!$F$6:$F$718,4,'装量配置'!$G$6:$G$718,0,'装量配置'!$D$6:$D$718,"&lt;&gt;广告锁定周转盒")</ns0:f>
        <ns0:v>1</ns0:v>
      </ns0:c>
      <ns0:c r="M26" s="97" t="n">
        <ns0:f>SUMIFS('装量配置'!$E$6:$E$718,'装量配置'!$A$6:$A$718,A26,'装量配置'!$B$6:$B$718,"开局",'装量配置'!$F$6:$F$718,1)</ns0:f>
        <ns0:v>0</ns0:v>
      </ns0:c>
      <ns0:c r="N26" s="97" t="n">
        <ns0:f>SUMIFS('装量配置'!$E$6:$E$718,'装量配置'!$A$6:$A$718,A26,'装量配置'!$B$6:$B$718,"开局",'装量配置'!$D$6:$D$718,"广告锁定周转盒")</ns0:f>
        <ns0:v>2</ns0:v>
      </ns0:c>
      <ns0:c r="O26" s="97" t="n">
        <ns0:f>SUMIFS('装量配置'!$E$6:$E$718,'装量配置'!$A$6:$A$718,A26,'装量配置'!$B$6:$B$718,"开局")</ns0:f>
        <ns0:v>20</ns0:v>
      </ns0:c>
      <ns0:c r="P26" s="97" t="n">
        <ns0:f>SUMIFS('装量配置'!$K$6:$K$718,'装量配置'!$A$6:$A$718,A26)</ns0:f>
        <ns0:v>4</ns0:v>
      </ns0:c>
      <ns0:c r="Q26" s="97" t="n">
        <ns0:v>4</ns0:v>
      </ns0:c>
      <ns0:c r="R26" s="98" t="n">
        <ns0:v>0</ns0:v>
      </ns0:c>
      <ns0:c r="S26" s="98" t="n">
        <ns0:v>0</ns0:v>
      </ns0:c>
      <ns0:c r="T26" s="97" t="n">
        <ns0:v>4</ns0:v>
      </ns0:c>
      <ns0:c r="U26" s="97" t="n">
        <ns0:v>0</ns0:v>
      </ns0:c>
      <ns0:c r="V26" s="122" t="str">
        <ns0:v>普通冰冻盒</ns0:v>
      </ns0:c>
      <ns0:c r="W26" s="122"/>
      <ns0:c r="X26" s="122" t="str">
        <ns0:v>普通冰冻盒0×1；普通冰冻盒0×1</ns0:v>
      </ns0:c>
      <ns0:c r="Y26" s="97" t="n">
        <ns0:f>SUMIFS('装量配置'!$I$6:$I$718,'装量配置'!$A$6:$A$718,A26)</ns0:f>
        <ns0:v>64</ns0:v>
      </ns0:c>
      <ns0:c r="Z26" s="97" t="str">
        <ns0:f>IF(AND(O26&lt;=25,N26=2,Y26=K26*4,H26&lt;=K26,P26+AT26&gt;=4,COUNTIFS('装量配置'!$A$6:$A$718,A26,'装量配置'!$O$6:$O$718,"需调整")=0),"装量通过；待逐味","需调整")</ns0:f>
        <ns0:v>装量通过；待逐味</ns0:v>
      </ns0:c>
      <ns0:c r="AA26" s="99" t="str">
        <ns0:v>已找到完整可行路线</ns0:v>
      </ns0:c>
      <ns0:c r="AB26" s="99"/>
      <ns0:c r="AC26" s="99"/>
      <ns0:c r="AD26" s="98"/>
      <ns0:c r="AE26" s="100" t="n">
        <ns0:v>6</ns0:v>
      </ns0:c>
      <ns0:c r="AF26" s="101"/>
      <ns0:c r="AG26" s="101"/>
      <ns0:c r="AH26" s="102"/>
      <ns0:c r="AI26" s="130" t="str">
        <ns0:v>层序已制作；真人难度待测</ns0:v>
      </ns0:c>
      <ns0:c r="AJ26" s="122" t="str">
        <ns0:v>用户确认温和波动方案；可行解非最短；真实验收见R2实施记录</ns0:v>
      </ns0:c>
      <ns0:c r="AK26" s="122" t="str">
        <ns0:v>按盒数连续紧凑分排</ns0:v>
      </ns0:c>
      <ns0:c r="AL26" s="97" t="n">
        <ns0:v>0</ns0:v>
      </ns0:c>
      <ns0:c r="AM26" s="98"/>
      <ns0:c r="AN26" s="97"/>
      <ns0:c r="AO26" s="98"/>
      <ns0:c r="AP26" s="122" t="str">
        <ns0:v>四种周转条件完整回放见实施记录</ns0:v>
      </ns0:c>
      <ns0:c r="AQ26" s="99"/>
      <ns0:c r="AR26" s="120" t="n">
        <ns0:f>SUMIFS('装量配置'!$I$6:$I$718,'装量配置'!$A$6:$A$718,A26,'装量配置'!$B$6:$B$718,"开局")</ns0:f>
        <ns0:v>64</ns0:v>
      </ns0:c>
      <ns0:c r="AS26" s="132" t="n">
        <ns0:f>SUMIFS('装量配置'!$I$6:$I$718,'装量配置'!$A$6:$A$718,A26,'装量配置'!$B$6:$B$718,"开局",'装量配置'!$D$6:$D$718,"普通盒",'装量配置'!$G$6:$G$718,"&gt;0")/(4*SUMIFS('装量配置'!$E$6:$E$718,'装量配置'!$A$6:$A$718,A26,'装量配置'!$B$6:$B$718,"开局",'装量配置'!$D$6:$D$718,"普通盒",'装量配置'!$G$6:$G$718,"&gt;0"))</ns0:f>
        <ns0:v>0.9333333333333333</ns0:v>
      </ns0:c>
      <ns0:c r="AT26" s="120" t="n">
        <ns0:f>SUMIFS('装量配置'!$L$6:$L$718,'装量配置'!$A$6:$A$718,A26)</ns0:f>
        <ns0:v>4</ns0:v>
      </ns0:c>
      <ns0:c r="AU26" s="120" t="n">
        <ns0:f>SUMIFS('装量配置'!$M$6:$M$718,'装量配置'!$A$6:$A$718,A26)</ns0:f>
        <ns0:v>0</ns0:v>
      </ns0:c>
      <ns0:c r="AV26" s="120" t="n">
        <ns0:f>SUMIFS('装量配置'!$N$6:$N$718,'装量配置'!$A$6:$A$718,A26)</ns0:f>
        <ns0:v>0</ns0:v>
      </ns0:c>
      <ns0:c r="AW26" s="132" t="n">
        <ns0:v>0.18</ns0:v>
      </ns0:c>
      <ns0:c r="AX26" s="120" t="n">
        <ns0:v>4</ns0:v>
      </ns0:c>
      <ns0:c r="AY26" s="120" t="n">
        <ns0:v>0</ns0:v>
      </ns0:c>
      <ns0:c r="AZ26" s="120" t="n">
        <ns0:f>SUMIFS('装量配置'!$E$6:$E$718,'装量配置'!$A$6:$A$718,A26,'装量配置'!$B$6:$B$718,"开局",'装量配置'!$D$6:$D$718,"&lt;&gt;普通盒",'装量配置'!$D$6:$D$718,"&lt;&gt;广告锁定周转盒")</ns0:f>
        <ns0:v>2</ns0:v>
      </ns0:c>
      <ns0:c r="BA26" s="149" t="n">
        <ns0:f>IF(COUNTIFS('装量配置'!$A$6:$A$718,A26,'装量配置'!$B$6:$B$718,"开局",'装量配置'!$D$6:$D$718,"数字盖盒",'装量配置'!$E$6:$E$718,"&gt;0")&gt;0,1,0)+IF(COUNTIFS('装量配置'!$A$6:$A$718,A26,'装量配置'!$B$6:$B$718,"开局",'装量配置'!$D$6:$D$718,"普通冰冻盒",'装量配置'!$E$6:$E$718,"&gt;0")&gt;0,1,0)+IF(COUNTIFS('装量配置'!$A$6:$A$718,A26,'装量配置'!$B$6:$B$718,"开局",'装量配置'!$D$6:$D$718,"单颗暂存盒",'装量配置'!$E$6:$E$718,"&gt;0")&gt;0,1,0)+IF(COUNTIFS('装量配置'!$A$6:$A$718,A26,'装量配置'!$B$6:$B$718,"开局",'装量配置'!$D$6:$D$718,"数字冰冻盒",'装量配置'!$E$6:$E$718,"&gt;0")&gt;0,1,0)+IF(COUNTIFS('装量配置'!$A$6:$A$718,A26,'装量配置'!$B$6:$B$718,"开局",'装量配置'!$D$6:$D$718,"固定颜色盒",'装量配置'!$E$6:$E$718,"&gt;0")&gt;0,1,0)+IF(COUNTIFS('装量配置'!$A$6:$A$718,A26,'装量配置'!$B$6:$B$718,"开局",'装量配置'!$D$6:$D$718,"单向收纳盒",'装量配置'!$E$6:$E$718,"&gt;0")&gt;0,1,0)+IF(COUNTIFS('装量配置'!$A$6:$A$718,A26,'装量配置'!$B$6:$B$718,"开局",'装量配置'!$D$6:$D$718,"底部置顶盒",'装量配置'!$E$6:$E$718,"&gt;0")&gt;0,1,0)+IF(COUNTIFS('装量配置'!$A$6:$A$718,A26,'装量配置'!$B$6:$B$718,"开局",'装量配置'!$D$6:$D$718,"炸弹盒",'装量配置'!$E$6:$E$718,"&gt;0")&gt;0,1,0)</ns0:f>
        <ns0:v>1</ns0:v>
      </ns0:c>
      <ns0:c r="BB26" s="149" t="n">
        <ns0:f>SUMIFS('装量配置'!$E$6:$E$718,'装量配置'!$A$6:$A$718,A26,'装量配置'!$B$6:$B$718,"开局",'装量配置'!$D$6:$D$718,"数字盖盒")+SUMIFS('装量配置'!$E$6:$E$718,'装量配置'!$A$6:$A$718,A26,'装量配置'!$B$6:$B$718,"开局",'装量配置'!$D$6:$D$718,"普通冰冻盒")+SUMIFS('装量配置'!$E$6:$E$718,'装量配置'!$A$6:$A$718,A26,'装量配置'!$B$6:$B$718,"开局",'装量配置'!$D$6:$D$718,"数字冰冻盒")</ns0:f>
        <ns0:v>2</ns0:v>
      </ns0:c>
      <ns0:c r="BC26" s="149" t="n">
        <ns0:f>SUMIFS('装量配置'!$R$6:$R$718,'装量配置'!$A$6:$A$718,A26,'装量配置'!$B$6:$B$718,"开局")</ns0:f>
        <ns0:v>0</ns0:v>
      </ns0:c>
      <ns0:c r="BD26" s="146" t="str">
        <ns0:v>按订单回收，逐个解冻两盒</ns0:v>
      </ns0:c>
      <ns0:c r="BE26" s="149" t="n">
        <ns0:v>2</ns0:v>
      </ns0:c>
      <ns0:c r="BF26" s="146" t="str">
        <ns0:v>基线路线验证；非所有路线下限</ns0:v>
      </ns0:c>
    </ns0:row>
    <ns0:row r="27" ht="33" customHeight="1">
      <ns0:c r="A27" s="105" t="n">
        <ns0:v>22</ns0:v>
      </ns0:c>
      <ns0:c r="B27" s="117" t="str">
        <ns0:v>普通冰冻盒</ns0:v>
      </ns0:c>
      <ns0:c r="C27" s="126" t="str">
        <ns0:v>分散余量与两类触发</ns0:v>
      </ns0:c>
      <ns0:c r="D27" s="108" t="n">
        <ns0:v>4.6</ns0:v>
      </ns0:c>
      <ns0:c r="E27" s="123" t="str">
        <ns0:v>颜色层序与接收空间</ns0:v>
      </ns0:c>
      <ns0:c r="F27" s="123" t="str">
        <ns0:v>机关释放与订单顺序</ns0:v>
      </ns0:c>
      <ns0:c r="G27" s="105" t="str">
        <ns0:v>整齐</ns0:v>
      </ns0:c>
      <ns0:c r="H27" s="105" t="n">
        <ns0:v>8</ns0:v>
      </ns0:c>
      <ns0:c r="I27" s="105" t="n">
        <ns0:f>SUMIFS('装量配置'!$E$6:$E$718,'装量配置'!$A$6:$A$718,A27,'装量配置'!$B$6:$B$718,"开局",'装量配置'!$F$6:$F$718,4,'装量配置'!$G$6:$G$718,"&gt;0")</ns0:f>
        <ns0:v>19</ns0:v>
      </ns0:c>
      <ns0:c r="J27" s="105" t="n">
        <ns0:f>SUMIFS('装量配置'!$E$6:$E$718,'装量配置'!$A$6:$A$718,A27,'装量配置'!$B$6:$B$718,"备货")</ns0:f>
        <ns0:v>0</ns0:v>
      </ns0:c>
      <ns0:c r="K27" s="105" t="n">
        <ns0:v>17</ns0:v>
      </ns0:c>
      <ns0:c r="L27" s="105" t="n">
        <ns0:f>SUMIFS('装量配置'!$E$6:$E$718,'装量配置'!$A$6:$A$718,A27,'装量配置'!$B$6:$B$718,"开局",'装量配置'!$F$6:$F$718,4,'装量配置'!$G$6:$G$718,0,'装量配置'!$D$6:$D$718,"&lt;&gt;广告锁定周转盒")</ns0:f>
        <ns0:v>0</ns0:v>
      </ns0:c>
      <ns0:c r="M27" s="105" t="n">
        <ns0:f>SUMIFS('装量配置'!$E$6:$E$718,'装量配置'!$A$6:$A$718,A27,'装量配置'!$B$6:$B$718,"开局",'装量配置'!$F$6:$F$718,1)</ns0:f>
        <ns0:v>0</ns0:v>
      </ns0:c>
      <ns0:c r="N27" s="105" t="n">
        <ns0:f>SUMIFS('装量配置'!$E$6:$E$718,'装量配置'!$A$6:$A$718,A27,'装量配置'!$B$6:$B$718,"开局",'装量配置'!$D$6:$D$718,"广告锁定周转盒")</ns0:f>
        <ns0:v>2</ns0:v>
      </ns0:c>
      <ns0:c r="O27" s="105" t="n">
        <ns0:f>SUMIFS('装量配置'!$E$6:$E$718,'装量配置'!$A$6:$A$718,A27,'装量配置'!$B$6:$B$718,"开局")</ns0:f>
        <ns0:v>21</ns0:v>
      </ns0:c>
      <ns0:c r="P27" s="105" t="n">
        <ns0:f>SUMIFS('装量配置'!$K$6:$K$718,'装量配置'!$A$6:$A$718,A27)</ns0:f>
        <ns0:v>0</ns0:v>
      </ns0:c>
      <ns0:c r="Q27" s="105" t="n">
        <ns0:v>5</ns0:v>
      </ns0:c>
      <ns0:c r="R27" s="106" t="n">
        <ns0:v>0</ns0:v>
      </ns0:c>
      <ns0:c r="S27" s="106" t="n">
        <ns0:v>0</ns0:v>
      </ns0:c>
      <ns0:c r="T27" s="105" t="n">
        <ns0:v>4</ns0:v>
      </ns0:c>
      <ns0:c r="U27" s="105" t="n">
        <ns0:v>0</ns0:v>
      </ns0:c>
      <ns0:c r="V27" s="123" t="str">
        <ns0:v>普通冰冻盒</ns0:v>
      </ns0:c>
      <ns0:c r="W27" s="123" t="str">
        <ns0:v>数字盖盒</ns0:v>
      </ns0:c>
      <ns0:c r="X27" s="123" t="str">
        <ns0:v>普通冰冻盒0×1；数字盖盒1×1</ns0:v>
      </ns0:c>
      <ns0:c r="Y27" s="105" t="n">
        <ns0:f>SUMIFS('装量配置'!$I$6:$I$718,'装量配置'!$A$6:$A$718,A27)</ns0:f>
        <ns0:v>68</ns0:v>
      </ns0:c>
      <ns0:c r="Z27" s="105" t="str">
        <ns0:f>IF(AND(O27&lt;=25,N27=2,Y27=K27*4,H27&lt;=K27,P27+AT27&gt;=4,COUNTIFS('装量配置'!$A$6:$A$718,A27,'装量配置'!$O$6:$O$718,"需调整")=0),"装量通过；待逐味","需调整")</ns0:f>
        <ns0:v>装量通过；待逐味</ns0:v>
      </ns0:c>
      <ns0:c r="AA27" s="107" t="str">
        <ns0:v>已找到完整可行路线</ns0:v>
      </ns0:c>
      <ns0:c r="AB27" s="107"/>
      <ns0:c r="AC27" s="107"/>
      <ns0:c r="AD27" s="106"/>
      <ns0:c r="AE27" s="108" t="n">
        <ns0:v>6</ns0:v>
      </ns0:c>
      <ns0:c r="AF27" s="109"/>
      <ns0:c r="AG27" s="109"/>
      <ns0:c r="AH27" s="110"/>
      <ns0:c r="AI27" s="131" t="str">
        <ns0:v>层序已制作；真人难度待测</ns0:v>
      </ns0:c>
      <ns0:c r="AJ27" s="123" t="str">
        <ns0:v>用户确认温和波动方案；可行解非最短；真实验收见R2实施记录</ns0:v>
      </ns0:c>
      <ns0:c r="AK27" s="123" t="str">
        <ns0:v>按盒数连续紧凑分排</ns0:v>
      </ns0:c>
      <ns0:c r="AL27" s="105" t="n">
        <ns0:v>0</ns0:v>
      </ns0:c>
      <ns0:c r="AM27" s="106"/>
      <ns0:c r="AN27" s="107"/>
      <ns0:c r="AO27" s="110"/>
      <ns0:c r="AP27" s="123" t="str">
        <ns0:v>四种周转条件完整回放见实施记录</ns0:v>
      </ns0:c>
      <ns0:c r="AQ27" s="107"/>
      <ns0:c r="AR27" s="121" t="n">
        <ns0:f>SUMIFS('装量配置'!$I$6:$I$718,'装量配置'!$A$6:$A$718,A27,'装量配置'!$B$6:$B$718,"开局")</ns0:f>
        <ns0:v>68</ns0:v>
      </ns0:c>
      <ns0:c r="AS27" s="133" t="n">
        <ns0:f>SUMIFS('装量配置'!$I$6:$I$718,'装量配置'!$A$6:$A$718,A27,'装量配置'!$B$6:$B$718,"开局",'装量配置'!$D$6:$D$718,"普通盒",'装量配置'!$G$6:$G$718,"&gt;0")/(4*SUMIFS('装量配置'!$E$6:$E$718,'装量配置'!$A$6:$A$718,A27,'装量配置'!$B$6:$B$718,"开局",'装量配置'!$D$6:$D$718,"普通盒",'装量配置'!$G$6:$G$718,"&gt;0"))</ns0:f>
        <ns0:v>0.8823529411764706</ns0:v>
      </ns0:c>
      <ns0:c r="AT27" s="121" t="n">
        <ns0:f>SUMIFS('装量配置'!$L$6:$L$718,'装量配置'!$A$6:$A$718,A27)</ns0:f>
        <ns0:v>8</ns0:v>
      </ns0:c>
      <ns0:c r="AU27" s="121" t="n">
        <ns0:f>SUMIFS('装量配置'!$M$6:$M$718,'装量配置'!$A$6:$A$718,A27)</ns0:f>
        <ns0:v>0</ns0:v>
      </ns0:c>
      <ns0:c r="AV27" s="121" t="n">
        <ns0:f>SUMIFS('装量配置'!$N$6:$N$718,'装量配置'!$A$6:$A$718,A27)</ns0:f>
        <ns0:v>0</ns0:v>
      </ns0:c>
      <ns0:c r="AW27" s="133" t="n">
        <ns0:v>0.18</ns0:v>
      </ns0:c>
      <ns0:c r="AX27" s="121" t="n">
        <ns0:v>5</ns0:v>
      </ns0:c>
      <ns0:c r="AY27" s="121" t="n">
        <ns0:v>0</ns0:v>
      </ns0:c>
      <ns0:c r="AZ27" s="121" t="n">
        <ns0:f>SUMIFS('装量配置'!$E$6:$E$718,'装量配置'!$A$6:$A$718,A27,'装量配置'!$B$6:$B$718,"开局",'装量配置'!$D$6:$D$718,"&lt;&gt;普通盒",'装量配置'!$D$6:$D$718,"&lt;&gt;广告锁定周转盒")</ns0:f>
        <ns0:v>2</ns0:v>
      </ns0:c>
      <ns0:c r="BA27" s="150" t="n">
        <ns0:f>IF(COUNTIFS('装量配置'!$A$6:$A$718,A27,'装量配置'!$B$6:$B$718,"开局",'装量配置'!$D$6:$D$718,"数字盖盒",'装量配置'!$E$6:$E$718,"&gt;0")&gt;0,1,0)+IF(COUNTIFS('装量配置'!$A$6:$A$718,A27,'装量配置'!$B$6:$B$718,"开局",'装量配置'!$D$6:$D$718,"普通冰冻盒",'装量配置'!$E$6:$E$718,"&gt;0")&gt;0,1,0)+IF(COUNTIFS('装量配置'!$A$6:$A$718,A27,'装量配置'!$B$6:$B$718,"开局",'装量配置'!$D$6:$D$718,"单颗暂存盒",'装量配置'!$E$6:$E$718,"&gt;0")&gt;0,1,0)+IF(COUNTIFS('装量配置'!$A$6:$A$718,A27,'装量配置'!$B$6:$B$718,"开局",'装量配置'!$D$6:$D$718,"数字冰冻盒",'装量配置'!$E$6:$E$718,"&gt;0")&gt;0,1,0)+IF(COUNTIFS('装量配置'!$A$6:$A$718,A27,'装量配置'!$B$6:$B$718,"开局",'装量配置'!$D$6:$D$718,"固定颜色盒",'装量配置'!$E$6:$E$718,"&gt;0")&gt;0,1,0)+IF(COUNTIFS('装量配置'!$A$6:$A$718,A27,'装量配置'!$B$6:$B$718,"开局",'装量配置'!$D$6:$D$718,"单向收纳盒",'装量配置'!$E$6:$E$718,"&gt;0")&gt;0,1,0)+IF(COUNTIFS('装量配置'!$A$6:$A$718,A27,'装量配置'!$B$6:$B$718,"开局",'装量配置'!$D$6:$D$718,"底部置顶盒",'装量配置'!$E$6:$E$718,"&gt;0")&gt;0,1,0)+IF(COUNTIFS('装量配置'!$A$6:$A$718,A27,'装量配置'!$B$6:$B$718,"开局",'装量配置'!$D$6:$D$718,"炸弹盒",'装量配置'!$E$6:$E$718,"&gt;0")&gt;0,1,0)</ns0:f>
        <ns0:v>2</ns0:v>
      </ns0:c>
      <ns0:c r="BB27" s="150" t="n">
        <ns0:f>SUMIFS('装量配置'!$E$6:$E$718,'装量配置'!$A$6:$A$718,A27,'装量配置'!$B$6:$B$718,"开局",'装量配置'!$D$6:$D$718,"数字盖盒")+SUMIFS('装量配置'!$E$6:$E$718,'装量配置'!$A$6:$A$718,A27,'装量配置'!$B$6:$B$718,"开局",'装量配置'!$D$6:$D$718,"普通冰冻盒")+SUMIFS('装量配置'!$E$6:$E$718,'装量配置'!$A$6:$A$718,A27,'装量配置'!$B$6:$B$718,"开局",'装量配置'!$D$6:$D$718,"数字冰冻盒")</ns0:f>
        <ns0:v>2</ns0:v>
      </ns0:c>
      <ns0:c r="BC27" s="150" t="n">
        <ns0:f>SUMIFS('装量配置'!$R$6:$R$718,'装量配置'!$A$6:$A$718,A27,'装量配置'!$B$6:$B$718,"开局")</ns0:f>
        <ns0:v>1</ns0:v>
      </ns0:c>
      <ns0:c r="BD27" s="148" t="str">
        <ns0:v>区分归纳开盖与真实回收解冻</ns0:v>
      </ns0:c>
      <ns0:c r="BE27" s="150" t="n">
        <ns0:v>3</ns0:v>
      </ns0:c>
      <ns0:c r="BF27" s="148" t="str">
        <ns0:v>基线路线验证；非所有路线下限</ns0:v>
      </ns0:c>
    </ns0:row>
    <ns0:row r="28" ht="33" customHeight="1">
      <ns0:c r="A28" s="112" t="n">
        <ns0:v>23</ns0:v>
      </ns0:c>
      <ns0:c r="B28" s="119" t="str">
        <ns0:v>普通冰冻盒</ns0:v>
      </ns0:c>
      <ns0:c r="C28" s="127" t="str">
        <ns0:v>连续归纳与交付</ns0:v>
      </ns0:c>
      <ns0:c r="D28" s="114" t="n">
        <ns0:v>4.8</ns0:v>
      </ns0:c>
      <ns0:c r="E28" s="124" t="str">
        <ns0:v>颜色层序与接收空间</ns0:v>
      </ns0:c>
      <ns0:c r="F28" s="124" t="str">
        <ns0:v>机关释放与订单顺序</ns0:v>
      </ns0:c>
      <ns0:c r="G28" s="112" t="str">
        <ns0:v>整齐</ns0:v>
      </ns0:c>
      <ns0:c r="H28" s="112" t="n">
        <ns0:v>8</ns0:v>
      </ns0:c>
      <ns0:c r="I28" s="112" t="n">
        <ns0:f>SUMIFS('装量配置'!$E$6:$E$718,'装量配置'!$A$6:$A$718,A28,'装量配置'!$B$6:$B$718,"开局",'装量配置'!$F$6:$F$718,4,'装量配置'!$G$6:$G$718,"&gt;0")</ns0:f>
        <ns0:v>19</ns0:v>
      </ns0:c>
      <ns0:c r="J28" s="112" t="n">
        <ns0:f>SUMIFS('装量配置'!$E$6:$E$718,'装量配置'!$A$6:$A$718,A28,'装量配置'!$B$6:$B$718,"备货")</ns0:f>
        <ns0:v>0</ns0:v>
      </ns0:c>
      <ns0:c r="K28" s="112" t="n">
        <ns0:v>18</ns0:v>
      </ns0:c>
      <ns0:c r="L28" s="112" t="n">
        <ns0:f>SUMIFS('装量配置'!$E$6:$E$718,'装量配置'!$A$6:$A$718,A28,'装量配置'!$B$6:$B$718,"开局",'装量配置'!$F$6:$F$718,4,'装量配置'!$G$6:$G$718,0,'装量配置'!$D$6:$D$718,"&lt;&gt;广告锁定周转盒")</ns0:f>
        <ns0:v>1</ns0:v>
      </ns0:c>
      <ns0:c r="M28" s="112" t="n">
        <ns0:f>SUMIFS('装量配置'!$E$6:$E$718,'装量配置'!$A$6:$A$718,A28,'装量配置'!$B$6:$B$718,"开局",'装量配置'!$F$6:$F$718,1)</ns0:f>
        <ns0:v>0</ns0:v>
      </ns0:c>
      <ns0:c r="N28" s="112" t="n">
        <ns0:f>SUMIFS('装量配置'!$E$6:$E$718,'装量配置'!$A$6:$A$718,A28,'装量配置'!$B$6:$B$718,"开局",'装量配置'!$D$6:$D$718,"广告锁定周转盒")</ns0:f>
        <ns0:v>2</ns0:v>
      </ns0:c>
      <ns0:c r="O28" s="112" t="n">
        <ns0:f>SUMIFS('装量配置'!$E$6:$E$718,'装量配置'!$A$6:$A$718,A28,'装量配置'!$B$6:$B$718,"开局")</ns0:f>
        <ns0:v>22</ns0:v>
      </ns0:c>
      <ns0:c r="P28" s="112" t="n">
        <ns0:f>SUMIFS('装量配置'!$K$6:$K$718,'装量配置'!$A$6:$A$718,A28)</ns0:f>
        <ns0:v>4</ns0:v>
      </ns0:c>
      <ns0:c r="Q28" s="112" t="n">
        <ns0:v>5</ns0:v>
      </ns0:c>
      <ns0:c r="R28" s="113" t="n">
        <ns0:v>0</ns0:v>
      </ns0:c>
      <ns0:c r="S28" s="113" t="n">
        <ns0:v>0</ns0:v>
      </ns0:c>
      <ns0:c r="T28" s="112" t="n">
        <ns0:v>4</ns0:v>
      </ns0:c>
      <ns0:c r="U28" s="112" t="n">
        <ns0:v>0</ns0:v>
      </ns0:c>
      <ns0:c r="V28" s="124" t="str">
        <ns0:v>普通冰冻盒</ns0:v>
      </ns0:c>
      <ns0:c r="W28" s="124" t="str">
        <ns0:v>数字盖盒</ns0:v>
      </ns0:c>
      <ns0:c r="X28" s="124" t="str">
        <ns0:v>普通冰冻盒0×1；普通冰冻盒0×1；数字盖盒2×1</ns0:v>
      </ns0:c>
      <ns0:c r="Y28" s="112" t="n">
        <ns0:f>SUMIFS('装量配置'!$I$6:$I$718,'装量配置'!$A$6:$A$718,A28)</ns0:f>
        <ns0:v>72</ns0:v>
      </ns0:c>
      <ns0:c r="Z28" s="112" t="str">
        <ns0:f>IF(AND(O28&lt;=25,N28=2,Y28=K28*4,H28&lt;=K28,P28+AT28&gt;=4,COUNTIFS('装量配置'!$A$6:$A$718,A28,'装量配置'!$O$6:$O$718,"需调整")=0),"装量通过；待逐味","需调整")</ns0:f>
        <ns0:v>装量通过；待逐味</ns0:v>
      </ns0:c>
      <ns0:c r="AA28" s="107" t="str">
        <ns0:v>已找到完整可行路线</ns0:v>
      </ns0:c>
      <ns0:c r="AB28" s="107"/>
      <ns0:c r="AC28" s="107"/>
      <ns0:c r="AD28" s="113"/>
      <ns0:c r="AE28" s="114" t="n">
        <ns0:v>6</ns0:v>
      </ns0:c>
      <ns0:c r="AF28" s="109"/>
      <ns0:c r="AG28" s="109"/>
      <ns0:c r="AH28" s="110"/>
      <ns0:c r="AI28" s="131" t="str">
        <ns0:v>层序已制作；真人难度待测</ns0:v>
      </ns0:c>
      <ns0:c r="AJ28" s="124" t="str">
        <ns0:v>用户确认温和波动方案；可行解非最短；真实验收见R2实施记录</ns0:v>
      </ns0:c>
      <ns0:c r="AK28" s="124" t="str">
        <ns0:v>按盒数连续紧凑分排</ns0:v>
      </ns0:c>
      <ns0:c r="AL28" s="112" t="n">
        <ns0:v>0</ns0:v>
      </ns0:c>
      <ns0:c r="AM28" s="113"/>
      <ns0:c r="AN28" s="112"/>
      <ns0:c r="AO28" s="113"/>
      <ns0:c r="AP28" s="124" t="str">
        <ns0:v>四种周转条件完整回放见实施记录</ns0:v>
      </ns0:c>
      <ns0:c r="AQ28" s="107"/>
      <ns0:c r="AR28" s="120" t="n">
        <ns0:f>SUMIFS('装量配置'!$I$6:$I$718,'装量配置'!$A$6:$A$718,A28,'装量配置'!$B$6:$B$718,"开局")</ns0:f>
        <ns0:v>72</ns0:v>
      </ns0:c>
      <ns0:c r="AS28" s="132" t="n">
        <ns0:f>SUMIFS('装量配置'!$I$6:$I$718,'装量配置'!$A$6:$A$718,A28,'装量配置'!$B$6:$B$718,"开局",'装量配置'!$D$6:$D$718,"普通盒",'装量配置'!$G$6:$G$718,"&gt;0")/(4*SUMIFS('装量配置'!$E$6:$E$718,'装量配置'!$A$6:$A$718,A28,'装量配置'!$B$6:$B$718,"开局",'装量配置'!$D$6:$D$718,"普通盒",'装量配置'!$G$6:$G$718,"&gt;0"))</ns0:f>
        <ns0:v>0.9375</ns0:v>
      </ns0:c>
      <ns0:c r="AT28" s="120" t="n">
        <ns0:f>SUMIFS('装量配置'!$L$6:$L$718,'装量配置'!$A$6:$A$718,A28)</ns0:f>
        <ns0:v>4</ns0:v>
      </ns0:c>
      <ns0:c r="AU28" s="120" t="n">
        <ns0:f>SUMIFS('装量配置'!$M$6:$M$718,'装量配置'!$A$6:$A$718,A28)</ns0:f>
        <ns0:v>0</ns0:v>
      </ns0:c>
      <ns0:c r="AV28" s="120" t="n">
        <ns0:f>SUMIFS('装量配置'!$N$6:$N$718,'装量配置'!$A$6:$A$718,A28)</ns0:f>
        <ns0:v>0</ns0:v>
      </ns0:c>
      <ns0:c r="AW28" s="132" t="n">
        <ns0:v>0.18</ns0:v>
      </ns0:c>
      <ns0:c r="AX28" s="120" t="n">
        <ns0:v>5</ns0:v>
      </ns0:c>
      <ns0:c r="AY28" s="120" t="n">
        <ns0:v>0</ns0:v>
      </ns0:c>
      <ns0:c r="AZ28" s="120" t="n">
        <ns0:f>SUMIFS('装量配置'!$E$6:$E$718,'装量配置'!$A$6:$A$718,A28,'装量配置'!$B$6:$B$718,"开局",'装量配置'!$D$6:$D$718,"&lt;&gt;普通盒",'装量配置'!$D$6:$D$718,"&lt;&gt;广告锁定周转盒")</ns0:f>
        <ns0:v>3</ns0:v>
      </ns0:c>
      <ns0:c r="BA28" s="149" t="n">
        <ns0:f>IF(COUNTIFS('装量配置'!$A$6:$A$718,A28,'装量配置'!$B$6:$B$718,"开局",'装量配置'!$D$6:$D$718,"数字盖盒",'装量配置'!$E$6:$E$718,"&gt;0")&gt;0,1,0)+IF(COUNTIFS('装量配置'!$A$6:$A$718,A28,'装量配置'!$B$6:$B$718,"开局",'装量配置'!$D$6:$D$718,"普通冰冻盒",'装量配置'!$E$6:$E$718,"&gt;0")&gt;0,1,0)+IF(COUNTIFS('装量配置'!$A$6:$A$718,A28,'装量配置'!$B$6:$B$718,"开局",'装量配置'!$D$6:$D$718,"单颗暂存盒",'装量配置'!$E$6:$E$718,"&gt;0")&gt;0,1,0)+IF(COUNTIFS('装量配置'!$A$6:$A$718,A28,'装量配置'!$B$6:$B$718,"开局",'装量配置'!$D$6:$D$718,"数字冰冻盒",'装量配置'!$E$6:$E$718,"&gt;0")&gt;0,1,0)+IF(COUNTIFS('装量配置'!$A$6:$A$718,A28,'装量配置'!$B$6:$B$718,"开局",'装量配置'!$D$6:$D$718,"固定颜色盒",'装量配置'!$E$6:$E$718,"&gt;0")&gt;0,1,0)+IF(COUNTIFS('装量配置'!$A$6:$A$718,A28,'装量配置'!$B$6:$B$718,"开局",'装量配置'!$D$6:$D$718,"单向收纳盒",'装量配置'!$E$6:$E$718,"&gt;0")&gt;0,1,0)+IF(COUNTIFS('装量配置'!$A$6:$A$718,A28,'装量配置'!$B$6:$B$718,"开局",'装量配置'!$D$6:$D$718,"底部置顶盒",'装量配置'!$E$6:$E$718,"&gt;0")&gt;0,1,0)+IF(COUNTIFS('装量配置'!$A$6:$A$718,A28,'装量配置'!$B$6:$B$718,"开局",'装量配置'!$D$6:$D$718,"炸弹盒",'装量配置'!$E$6:$E$718,"&gt;0")&gt;0,1,0)</ns0:f>
        <ns0:v>2</ns0:v>
      </ns0:c>
      <ns0:c r="BB28" s="149" t="n">
        <ns0:f>SUMIFS('装量配置'!$E$6:$E$718,'装量配置'!$A$6:$A$718,A28,'装量配置'!$B$6:$B$718,"开局",'装量配置'!$D$6:$D$718,"数字盖盒")+SUMIFS('装量配置'!$E$6:$E$718,'装量配置'!$A$6:$A$718,A28,'装量配置'!$B$6:$B$718,"开局",'装量配置'!$D$6:$D$718,"普通冰冻盒")+SUMIFS('装量配置'!$E$6:$E$718,'装量配置'!$A$6:$A$718,A28,'装量配置'!$B$6:$B$718,"开局",'装量配置'!$D$6:$D$718,"数字冰冻盒")</ns0:f>
        <ns0:v>3</ns0:v>
      </ns0:c>
      <ns0:c r="BC28" s="149" t="n">
        <ns0:f>SUMIFS('装量配置'!$R$6:$R$718,'装量配置'!$A$6:$A$718,A28,'装量配置'!$B$6:$B$718,"开局")</ns0:f>
        <ns0:v>2</ns0:v>
      </ns0:c>
      <ns0:c r="BD28" s="146" t="str">
        <ns0:v>两次新归纳开数字2盖，回收推动冰冻</ns0:v>
      </ns0:c>
      <ns0:c r="BE28" s="149" t="n">
        <ns0:v>3</ns0:v>
      </ns0:c>
      <ns0:c r="BF28" s="146" t="str">
        <ns0:v>基线路线验证；非所有路线下限</ns0:v>
      </ns0:c>
    </ns0:row>
    <ns0:row r="29" ht="33" customHeight="1">
      <ns0:c r="A29" s="105" t="n">
        <ns0:v>24</ns0:v>
      </ns0:c>
      <ns0:c r="B29" s="117" t="str">
        <ns0:v>单颗暂存盒</ns0:v>
      </ns0:c>
      <ns0:c r="C29" s="126" t="str">
        <ns0:v>单颗暂存盒教学</ns0:v>
      </ns0:c>
      <ns0:c r="D29" s="108" t="n">
        <ns0:v>4.4</ns0:v>
      </ns0:c>
      <ns0:c r="E29" s="123" t="str">
        <ns0:v>颜色层序与接收空间</ns0:v>
      </ns0:c>
      <ns0:c r="F29" s="123" t="str">
        <ns0:v>机关释放与订单顺序</ns0:v>
      </ns0:c>
      <ns0:c r="G29" s="105" t="str">
        <ns0:v>整齐</ns0:v>
      </ns0:c>
      <ns0:c r="H29" s="105" t="n">
        <ns0:v>7</ns0:v>
      </ns0:c>
      <ns0:c r="I29" s="105" t="n">
        <ns0:f>SUMIFS('装量配置'!$E$6:$E$718,'装量配置'!$A$6:$A$718,A29,'装量配置'!$B$6:$B$718,"开局",'装量配置'!$F$6:$F$718,4,'装量配置'!$G$6:$G$718,"&gt;0")</ns0:f>
        <ns0:v>16</ns0:v>
      </ns0:c>
      <ns0:c r="J29" s="105" t="n">
        <ns0:f>SUMIFS('装量配置'!$E$6:$E$718,'装量配置'!$A$6:$A$718,A29,'装量配置'!$B$6:$B$718,"备货")</ns0:f>
        <ns0:v>0</ns0:v>
      </ns0:c>
      <ns0:c r="K29" s="105" t="n">
        <ns0:v>15</ns0:v>
      </ns0:c>
      <ns0:c r="L29" s="105" t="n">
        <ns0:f>SUMIFS('装量配置'!$E$6:$E$718,'装量配置'!$A$6:$A$718,A29,'装量配置'!$B$6:$B$718,"开局",'装量配置'!$F$6:$F$718,4,'装量配置'!$G$6:$G$718,0,'装量配置'!$D$6:$D$718,"&lt;&gt;广告锁定周转盒")</ns0:f>
        <ns0:v>1</ns0:v>
      </ns0:c>
      <ns0:c r="M29" s="105" t="n">
        <ns0:f>SUMIFS('装量配置'!$E$6:$E$718,'装量配置'!$A$6:$A$718,A29,'装量配置'!$B$6:$B$718,"开局",'装量配置'!$F$6:$F$718,1)</ns0:f>
        <ns0:v>1</ns0:v>
      </ns0:c>
      <ns0:c r="N29" s="105" t="n">
        <ns0:f>SUMIFS('装量配置'!$E$6:$E$718,'装量配置'!$A$6:$A$718,A29,'装量配置'!$B$6:$B$718,"开局",'装量配置'!$D$6:$D$718,"广告锁定周转盒")</ns0:f>
        <ns0:v>2</ns0:v>
      </ns0:c>
      <ns0:c r="O29" s="105" t="n">
        <ns0:f>SUMIFS('装量配置'!$E$6:$E$718,'装量配置'!$A$6:$A$718,A29,'装量配置'!$B$6:$B$718,"开局")</ns0:f>
        <ns0:v>20</ns0:v>
      </ns0:c>
      <ns0:c r="P29" s="105" t="n">
        <ns0:f>SUMIFS('装量配置'!$K$6:$K$718,'装量配置'!$A$6:$A$718,A29)</ns0:f>
        <ns0:v>5</ns0:v>
      </ns0:c>
      <ns0:c r="Q29" s="105" t="n">
        <ns0:v>4</ns0:v>
      </ns0:c>
      <ns0:c r="R29" s="106" t="n">
        <ns0:v>0</ns0:v>
      </ns0:c>
      <ns0:c r="S29" s="106" t="n">
        <ns0:v>0</ns0:v>
      </ns0:c>
      <ns0:c r="T29" s="105" t="n">
        <ns0:v>3</ns0:v>
      </ns0:c>
      <ns0:c r="U29" s="105" t="n">
        <ns0:v>0</ns0:v>
      </ns0:c>
      <ns0:c r="V29" s="123" t="str">
        <ns0:v>单颗暂存盒</ns0:v>
      </ns0:c>
      <ns0:c r="W29" s="123"/>
      <ns0:c r="X29" s="123" t="str">
        <ns0:v>单颗暂存盒×1（装0颗）</ns0:v>
      </ns0:c>
      <ns0:c r="Y29" s="105" t="n">
        <ns0:f>SUMIFS('装量配置'!$I$6:$I$718,'装量配置'!$A$6:$A$718,A29)</ns0:f>
        <ns0:v>60</ns0:v>
      </ns0:c>
      <ns0:c r="Z29" s="105" t="str">
        <ns0:f>IF(AND(O29&lt;=25,N29=2,Y29=K29*4,H29&lt;=K29,P29+AT29&gt;=4,COUNTIFS('装量配置'!$A$6:$A$718,A29,'装量配置'!$O$6:$O$718,"需调整")=0),"装量通过；待逐味","需调整")</ns0:f>
        <ns0:v>装量通过；待逐味</ns0:v>
      </ns0:c>
      <ns0:c r="AA29" s="107" t="str">
        <ns0:v>已找到完整可行路线</ns0:v>
      </ns0:c>
      <ns0:c r="AB29" s="107"/>
      <ns0:c r="AC29" s="107"/>
      <ns0:c r="AD29" s="106"/>
      <ns0:c r="AE29" s="108" t="n">
        <ns0:v>6</ns0:v>
      </ns0:c>
      <ns0:c r="AF29" s="109"/>
      <ns0:c r="AG29" s="109"/>
      <ns0:c r="AH29" s="110"/>
      <ns0:c r="AI29" s="131" t="str">
        <ns0:v>层序已制作；真人难度待测</ns0:v>
      </ns0:c>
      <ns0:c r="AJ29" s="123" t="str">
        <ns0:v>用户确认温和波动方案；可行解非最短；真实验收见R2实施记录</ns0:v>
      </ns0:c>
      <ns0:c r="AK29" s="123" t="str">
        <ns0:v>按盒数连续紧凑分排</ns0:v>
      </ns0:c>
      <ns0:c r="AL29" s="105" t="n">
        <ns0:v>0</ns0:v>
      </ns0:c>
      <ns0:c r="AM29" s="106"/>
      <ns0:c r="AN29" s="107"/>
      <ns0:c r="AO29" s="110"/>
      <ns0:c r="AP29" s="123" t="str">
        <ns0:v>四种周转条件完整回放见实施记录</ns0:v>
      </ns0:c>
      <ns0:c r="AQ29" s="107"/>
      <ns0:c r="AR29" s="121" t="n">
        <ns0:f>SUMIFS('装量配置'!$I$6:$I$718,'装量配置'!$A$6:$A$718,A29,'装量配置'!$B$6:$B$718,"开局")</ns0:f>
        <ns0:v>60</ns0:v>
      </ns0:c>
      <ns0:c r="AS29" s="133" t="n">
        <ns0:f>SUMIFS('装量配置'!$I$6:$I$718,'装量配置'!$A$6:$A$718,A29,'装量配置'!$B$6:$B$718,"开局",'装量配置'!$D$6:$D$718,"普通盒",'装量配置'!$G$6:$G$718,"&gt;0")/(4*SUMIFS('装量配置'!$E$6:$E$718,'装量配置'!$A$6:$A$718,A29,'装量配置'!$B$6:$B$718,"开局",'装量配置'!$D$6:$D$718,"普通盒",'装量配置'!$G$6:$G$718,"&gt;0"))</ns0:f>
        <ns0:v>0.9375</ns0:v>
      </ns0:c>
      <ns0:c r="AT29" s="121" t="n">
        <ns0:f>SUMIFS('装量配置'!$L$6:$L$718,'装量配置'!$A$6:$A$718,A29)</ns0:f>
        <ns0:v>4</ns0:v>
      </ns0:c>
      <ns0:c r="AU29" s="121" t="n">
        <ns0:f>SUMIFS('装量配置'!$M$6:$M$718,'装量配置'!$A$6:$A$718,A29)</ns0:f>
        <ns0:v>0</ns0:v>
      </ns0:c>
      <ns0:c r="AV29" s="121" t="n">
        <ns0:f>SUMIFS('装量配置'!$N$6:$N$718,'装量配置'!$A$6:$A$718,A29)</ns0:f>
        <ns0:v>0</ns0:v>
      </ns0:c>
      <ns0:c r="AW29" s="133" t="n">
        <ns0:v>0.18</ns0:v>
      </ns0:c>
      <ns0:c r="AX29" s="121" t="n">
        <ns0:v>3</ns0:v>
      </ns0:c>
      <ns0:c r="AY29" s="121" t="n">
        <ns0:v>0</ns0:v>
      </ns0:c>
      <ns0:c r="AZ29" s="121" t="n">
        <ns0:f>SUMIFS('装量配置'!$E$6:$E$718,'装量配置'!$A$6:$A$718,A29,'装量配置'!$B$6:$B$718,"开局",'装量配置'!$D$6:$D$718,"&lt;&gt;普通盒",'装量配置'!$D$6:$D$718,"&lt;&gt;广告锁定周转盒")</ns0:f>
        <ns0:v>1</ns0:v>
      </ns0:c>
      <ns0:c r="BA29" s="150" t="n">
        <ns0:f>IF(COUNTIFS('装量配置'!$A$6:$A$718,A29,'装量配置'!$B$6:$B$718,"开局",'装量配置'!$D$6:$D$718,"数字盖盒",'装量配置'!$E$6:$E$718,"&gt;0")&gt;0,1,0)+IF(COUNTIFS('装量配置'!$A$6:$A$718,A29,'装量配置'!$B$6:$B$718,"开局",'装量配置'!$D$6:$D$718,"普通冰冻盒",'装量配置'!$E$6:$E$718,"&gt;0")&gt;0,1,0)+IF(COUNTIFS('装量配置'!$A$6:$A$718,A29,'装量配置'!$B$6:$B$718,"开局",'装量配置'!$D$6:$D$718,"单颗暂存盒",'装量配置'!$E$6:$E$718,"&gt;0")&gt;0,1,0)+IF(COUNTIFS('装量配置'!$A$6:$A$718,A29,'装量配置'!$B$6:$B$718,"开局",'装量配置'!$D$6:$D$718,"数字冰冻盒",'装量配置'!$E$6:$E$718,"&gt;0")&gt;0,1,0)+IF(COUNTIFS('装量配置'!$A$6:$A$718,A29,'装量配置'!$B$6:$B$718,"开局",'装量配置'!$D$6:$D$718,"固定颜色盒",'装量配置'!$E$6:$E$718,"&gt;0")&gt;0,1,0)+IF(COUNTIFS('装量配置'!$A$6:$A$718,A29,'装量配置'!$B$6:$B$718,"开局",'装量配置'!$D$6:$D$718,"单向收纳盒",'装量配置'!$E$6:$E$718,"&gt;0")&gt;0,1,0)+IF(COUNTIFS('装量配置'!$A$6:$A$718,A29,'装量配置'!$B$6:$B$718,"开局",'装量配置'!$D$6:$D$718,"底部置顶盒",'装量配置'!$E$6:$E$718,"&gt;0")&gt;0,1,0)+IF(COUNTIFS('装量配置'!$A$6:$A$718,A29,'装量配置'!$B$6:$B$718,"开局",'装量配置'!$D$6:$D$718,"炸弹盒",'装量配置'!$E$6:$E$718,"&gt;0")&gt;0,1,0)</ns0:f>
        <ns0:v>1</ns0:v>
      </ns0:c>
      <ns0:c r="BB29" s="150" t="n">
        <ns0:f>SUMIFS('装量配置'!$E$6:$E$718,'装量配置'!$A$6:$A$718,A29,'装量配置'!$B$6:$B$718,"开局",'装量配置'!$D$6:$D$718,"数字盖盒")+SUMIFS('装量配置'!$E$6:$E$718,'装量配置'!$A$6:$A$718,A29,'装量配置'!$B$6:$B$718,"开局",'装量配置'!$D$6:$D$718,"普通冰冻盒")+SUMIFS('装量配置'!$E$6:$E$718,'装量配置'!$A$6:$A$718,A29,'装量配置'!$B$6:$B$718,"开局",'装量配置'!$D$6:$D$718,"数字冰冻盒")</ns0:f>
        <ns0:v>0</ns0:v>
      </ns0:c>
      <ns0:c r="BC29" s="150" t="n">
        <ns0:f>SUMIFS('装量配置'!$R$6:$R$718,'装量配置'!$A$6:$A$718,A29,'装量配置'!$B$6:$B$718,"开局")</ns0:f>
        <ns0:v>0</ns0:v>
      </ns0:c>
      <ns0:c r="BD29" s="148" t="str">
        <ns0:v>首组前使用单颗暂存，并尽早搬出</ns0:v>
      </ns0:c>
      <ns0:c r="BE29" s="150" t="n">
        <ns0:v>1</ns0:v>
      </ns0:c>
      <ns0:c r="BF29" s="148" t="str">
        <ns0:v>基线路线验证；非所有路线下限</ns0:v>
      </ns0:c>
    </ns0:row>
    <ns0:row r="30" ht="33" customHeight="1">
      <ns0:c r="A30" s="112" t="n">
        <ns0:v>25</ns0:v>
      </ns0:c>
      <ns0:c r="B30" s="119" t="str">
        <ns0:v>单颗暂存盒</ns0:v>
      </ns0:c>
      <ns0:c r="C30" s="127" t="str">
        <ns0:v>单颗暂存盒练习</ns0:v>
      </ns0:c>
      <ns0:c r="D30" s="114" t="n">
        <ns0:v>4.5</ns0:v>
      </ns0:c>
      <ns0:c r="E30" s="124" t="str">
        <ns0:v>颜色层序与接收空间</ns0:v>
      </ns0:c>
      <ns0:c r="F30" s="124" t="str">
        <ns0:v>机关释放与订单顺序</ns0:v>
      </ns0:c>
      <ns0:c r="G30" s="112" t="str">
        <ns0:v>整齐</ns0:v>
      </ns0:c>
      <ns0:c r="H30" s="112" t="n">
        <ns0:v>7</ns0:v>
      </ns0:c>
      <ns0:c r="I30" s="112" t="n">
        <ns0:f>SUMIFS('装量配置'!$E$6:$E$718,'装量配置'!$A$6:$A$718,A30,'装量配置'!$B$6:$B$718,"开局",'装量配置'!$F$6:$F$718,4,'装量配置'!$G$6:$G$718,"&gt;0")</ns0:f>
        <ns0:v>17</ns0:v>
      </ns0:c>
      <ns0:c r="J30" s="112" t="n">
        <ns0:f>SUMIFS('装量配置'!$E$6:$E$718,'装量配置'!$A$6:$A$718,A30,'装量配置'!$B$6:$B$718,"备货")</ns0:f>
        <ns0:v>0</ns0:v>
      </ns0:c>
      <ns0:c r="K30" s="112" t="n">
        <ns0:v>15</ns0:v>
      </ns0:c>
      <ns0:c r="L30" s="112" t="n">
        <ns0:f>SUMIFS('装量配置'!$E$6:$E$718,'装量配置'!$A$6:$A$718,A30,'装量配置'!$B$6:$B$718,"开局",'装量配置'!$F$6:$F$718,4,'装量配置'!$G$6:$G$718,0,'装量配置'!$D$6:$D$718,"&lt;&gt;广告锁定周转盒")</ns0:f>
        <ns0:v>0</ns0:v>
      </ns0:c>
      <ns0:c r="M30" s="112" t="n">
        <ns0:f>SUMIFS('装量配置'!$E$6:$E$718,'装量配置'!$A$6:$A$718,A30,'装量配置'!$B$6:$B$718,"开局",'装量配置'!$F$6:$F$718,1)</ns0:f>
        <ns0:v>1</ns0:v>
      </ns0:c>
      <ns0:c r="N30" s="112" t="n">
        <ns0:f>SUMIFS('装量配置'!$E$6:$E$718,'装量配置'!$A$6:$A$718,A30,'装量配置'!$B$6:$B$718,"开局",'装量配置'!$D$6:$D$718,"广告锁定周转盒")</ns0:f>
        <ns0:v>2</ns0:v>
      </ns0:c>
      <ns0:c r="O30" s="112" t="n">
        <ns0:f>SUMIFS('装量配置'!$E$6:$E$718,'装量配置'!$A$6:$A$718,A30,'装量配置'!$B$6:$B$718,"开局")</ns0:f>
        <ns0:v>20</ns0:v>
      </ns0:c>
      <ns0:c r="P30" s="112" t="n">
        <ns0:f>SUMIFS('装量配置'!$K$6:$K$718,'装量配置'!$A$6:$A$718,A30)</ns0:f>
        <ns0:v>1</ns0:v>
      </ns0:c>
      <ns0:c r="Q30" s="112" t="n">
        <ns0:v>4</ns0:v>
      </ns0:c>
      <ns0:c r="R30" s="113" t="n">
        <ns0:v>0</ns0:v>
      </ns0:c>
      <ns0:c r="S30" s="113" t="n">
        <ns0:v>0</ns0:v>
      </ns0:c>
      <ns0:c r="T30" s="112" t="n">
        <ns0:v>3</ns0:v>
      </ns0:c>
      <ns0:c r="U30" s="112" t="n">
        <ns0:v>0</ns0:v>
      </ns0:c>
      <ns0:c r="V30" s="124" t="str">
        <ns0:v>单颗暂存盒</ns0:v>
      </ns0:c>
      <ns0:c r="W30" s="124"/>
      <ns0:c r="X30" s="124" t="str">
        <ns0:v>单颗暂存盒×1（装0颗）</ns0:v>
      </ns0:c>
      <ns0:c r="Y30" s="112" t="n">
        <ns0:f>SUMIFS('装量配置'!$I$6:$I$718,'装量配置'!$A$6:$A$718,A30)</ns0:f>
        <ns0:v>60</ns0:v>
      </ns0:c>
      <ns0:c r="Z30" s="112" t="str">
        <ns0:f>IF(AND(O30&lt;=25,N30=2,Y30=K30*4,H30&lt;=K30,P30+AT30&gt;=4,COUNTIFS('装量配置'!$A$6:$A$718,A30,'装量配置'!$O$6:$O$718,"需调整")=0),"装量通过；待逐味","需调整")</ns0:f>
        <ns0:v>装量通过；待逐味</ns0:v>
      </ns0:c>
      <ns0:c r="AA30" s="107" t="str">
        <ns0:v>已找到完整可行路线</ns0:v>
      </ns0:c>
      <ns0:c r="AB30" s="107"/>
      <ns0:c r="AC30" s="107"/>
      <ns0:c r="AD30" s="113"/>
      <ns0:c r="AE30" s="114" t="n">
        <ns0:v>6</ns0:v>
      </ns0:c>
      <ns0:c r="AF30" s="109"/>
      <ns0:c r="AG30" s="109"/>
      <ns0:c r="AH30" s="110"/>
      <ns0:c r="AI30" s="131" t="str">
        <ns0:v>层序已制作；真人难度待测</ns0:v>
      </ns0:c>
      <ns0:c r="AJ30" s="124" t="str">
        <ns0:v>用户确认温和波动方案；可行解非最短；真实验收见R2实施记录</ns0:v>
      </ns0:c>
      <ns0:c r="AK30" s="124" t="str">
        <ns0:v>按盒数连续紧凑分排</ns0:v>
      </ns0:c>
      <ns0:c r="AL30" s="112" t="n">
        <ns0:v>0</ns0:v>
      </ns0:c>
      <ns0:c r="AM30" s="113"/>
      <ns0:c r="AN30" s="112"/>
      <ns0:c r="AO30" s="113"/>
      <ns0:c r="AP30" s="124" t="str">
        <ns0:v>四种周转条件完整回放见实施记录</ns0:v>
      </ns0:c>
      <ns0:c r="AQ30" s="107"/>
      <ns0:c r="AR30" s="120" t="n">
        <ns0:f>SUMIFS('装量配置'!$I$6:$I$718,'装量配置'!$A$6:$A$718,A30,'装量配置'!$B$6:$B$718,"开局")</ns0:f>
        <ns0:v>60</ns0:v>
      </ns0:c>
      <ns0:c r="AS30" s="132" t="n">
        <ns0:f>SUMIFS('装量配置'!$I$6:$I$718,'装量配置'!$A$6:$A$718,A30,'装量配置'!$B$6:$B$718,"开局",'装量配置'!$D$6:$D$718,"普通盒",'装量配置'!$G$6:$G$718,"&gt;0")/(4*SUMIFS('装量配置'!$E$6:$E$718,'装量配置'!$A$6:$A$718,A30,'装量配置'!$B$6:$B$718,"开局",'装量配置'!$D$6:$D$718,"普通盒",'装量配置'!$G$6:$G$718,"&gt;0"))</ns0:f>
        <ns0:v>0.8823529411764706</ns0:v>
      </ns0:c>
      <ns0:c r="AT30" s="120" t="n">
        <ns0:f>SUMIFS('装量配置'!$L$6:$L$718,'装量配置'!$A$6:$A$718,A30)</ns0:f>
        <ns0:v>8</ns0:v>
      </ns0:c>
      <ns0:c r="AU30" s="120" t="n">
        <ns0:f>SUMIFS('装量配置'!$M$6:$M$718,'装量配置'!$A$6:$A$718,A30)</ns0:f>
        <ns0:v>0</ns0:v>
      </ns0:c>
      <ns0:c r="AV30" s="120" t="n">
        <ns0:f>SUMIFS('装量配置'!$N$6:$N$718,'装量配置'!$A$6:$A$718,A30)</ns0:f>
        <ns0:v>0</ns0:v>
      </ns0:c>
      <ns0:c r="AW30" s="132" t="n">
        <ns0:v>0.18</ns0:v>
      </ns0:c>
      <ns0:c r="AX30" s="120" t="n">
        <ns0:v>4</ns0:v>
      </ns0:c>
      <ns0:c r="AY30" s="120" t="n">
        <ns0:v>0</ns0:v>
      </ns0:c>
      <ns0:c r="AZ30" s="120" t="n">
        <ns0:f>SUMIFS('装量配置'!$E$6:$E$718,'装量配置'!$A$6:$A$718,A30,'装量配置'!$B$6:$B$718,"开局",'装量配置'!$D$6:$D$718,"&lt;&gt;普通盒",'装量配置'!$D$6:$D$718,"&lt;&gt;广告锁定周转盒")</ns0:f>
        <ns0:v>1</ns0:v>
      </ns0:c>
      <ns0:c r="BA30" s="149" t="n">
        <ns0:f>IF(COUNTIFS('装量配置'!$A$6:$A$718,A30,'装量配置'!$B$6:$B$718,"开局",'装量配置'!$D$6:$D$718,"数字盖盒",'装量配置'!$E$6:$E$718,"&gt;0")&gt;0,1,0)+IF(COUNTIFS('装量配置'!$A$6:$A$718,A30,'装量配置'!$B$6:$B$718,"开局",'装量配置'!$D$6:$D$718,"普通冰冻盒",'装量配置'!$E$6:$E$718,"&gt;0")&gt;0,1,0)+IF(COUNTIFS('装量配置'!$A$6:$A$718,A30,'装量配置'!$B$6:$B$718,"开局",'装量配置'!$D$6:$D$718,"单颗暂存盒",'装量配置'!$E$6:$E$718,"&gt;0")&gt;0,1,0)+IF(COUNTIFS('装量配置'!$A$6:$A$718,A30,'装量配置'!$B$6:$B$718,"开局",'装量配置'!$D$6:$D$718,"数字冰冻盒",'装量配置'!$E$6:$E$718,"&gt;0")&gt;0,1,0)+IF(COUNTIFS('装量配置'!$A$6:$A$718,A30,'装量配置'!$B$6:$B$718,"开局",'装量配置'!$D$6:$D$718,"固定颜色盒",'装量配置'!$E$6:$E$718,"&gt;0")&gt;0,1,0)+IF(COUNTIFS('装量配置'!$A$6:$A$718,A30,'装量配置'!$B$6:$B$718,"开局",'装量配置'!$D$6:$D$718,"单向收纳盒",'装量配置'!$E$6:$E$718,"&gt;0")&gt;0,1,0)+IF(COUNTIFS('装量配置'!$A$6:$A$718,A30,'装量配置'!$B$6:$B$718,"开局",'装量配置'!$D$6:$D$718,"底部置顶盒",'装量配置'!$E$6:$E$718,"&gt;0")&gt;0,1,0)+IF(COUNTIFS('装量配置'!$A$6:$A$718,A30,'装量配置'!$B$6:$B$718,"开局",'装量配置'!$D$6:$D$718,"炸弹盒",'装量配置'!$E$6:$E$718,"&gt;0")&gt;0,1,0)</ns0:f>
        <ns0:v>1</ns0:v>
      </ns0:c>
      <ns0:c r="BB30" s="149" t="n">
        <ns0:f>SUMIFS('装量配置'!$E$6:$E$718,'装量配置'!$A$6:$A$718,A30,'装量配置'!$B$6:$B$718,"开局",'装量配置'!$D$6:$D$718,"数字盖盒")+SUMIFS('装量配置'!$E$6:$E$718,'装量配置'!$A$6:$A$718,A30,'装量配置'!$B$6:$B$718,"开局",'装量配置'!$D$6:$D$718,"普通冰冻盒")+SUMIFS('装量配置'!$E$6:$E$718,'装量配置'!$A$6:$A$718,A30,'装量配置'!$B$6:$B$718,"开局",'装量配置'!$D$6:$D$718,"数字冰冻盒")</ns0:f>
        <ns0:v>0</ns0:v>
      </ns0:c>
      <ns0:c r="BC30" s="149" t="n">
        <ns0:f>SUMIFS('装量配置'!$R$6:$R$718,'装量配置'!$A$6:$A$718,A30,'装量配置'!$B$6:$B$718,"开局")</ns0:f>
        <ns0:v>0</ns0:v>
      </ns0:c>
      <ns0:c r="BD30" s="146" t="str">
        <ns0:v>单颗暂存配合无完整空盒的分散余量</ns0:v>
      </ns0:c>
      <ns0:c r="BE30" s="149" t="n">
        <ns0:v>2</ns0:v>
      </ns0:c>
      <ns0:c r="BF30" s="146" t="str">
        <ns0:v>基线路线验证；非所有路线下限</ns0:v>
      </ns0:c>
    </ns0:row>
    <ns0:row r="31" ht="33" customHeight="1">
      <ns0:c r="A31" s="105" t="n">
        <ns0:v>26</ns0:v>
      </ns0:c>
      <ns0:c r="B31" s="117" t="str">
        <ns0:v>普通冰冻盒</ns0:v>
      </ns0:c>
      <ns0:c r="C31" s="126" t="str">
        <ns0:v>移出暂存与补货</ns0:v>
      </ns0:c>
      <ns0:c r="D31" s="108" t="n">
        <ns0:v>4.7</ns0:v>
      </ns0:c>
      <ns0:c r="E31" s="123" t="str">
        <ns0:v>颜色层序与接收空间</ns0:v>
      </ns0:c>
      <ns0:c r="F31" s="123" t="str">
        <ns0:v>机关释放与订单顺序</ns0:v>
      </ns0:c>
      <ns0:c r="G31" s="105" t="str">
        <ns0:v>整齐</ns0:v>
      </ns0:c>
      <ns0:c r="H31" s="105" t="n">
        <ns0:v>8</ns0:v>
      </ns0:c>
      <ns0:c r="I31" s="105" t="n">
        <ns0:f>SUMIFS('装量配置'!$E$6:$E$718,'装量配置'!$A$6:$A$718,A31,'装量配置'!$B$6:$B$718,"开局",'装量配置'!$F$6:$F$718,4,'装量配置'!$G$6:$G$718,"&gt;0")</ns0:f>
        <ns0:v>17</ns0:v>
      </ns0:c>
      <ns0:c r="J31" s="105" t="n">
        <ns0:f>SUMIFS('装量配置'!$E$6:$E$718,'装量配置'!$A$6:$A$718,A31,'装量配置'!$B$6:$B$718,"备货")</ns0:f>
        <ns0:v>1</ns0:v>
      </ns0:c>
      <ns0:c r="K31" s="105" t="n">
        <ns0:v>17</ns0:v>
      </ns0:c>
      <ns0:c r="L31" s="105" t="n">
        <ns0:f>SUMIFS('装量配置'!$E$6:$E$718,'装量配置'!$A$6:$A$718,A31,'装量配置'!$B$6:$B$718,"开局",'装量配置'!$F$6:$F$718,4,'装量配置'!$G$6:$G$718,0,'装量配置'!$D$6:$D$718,"&lt;&gt;广告锁定周转盒")</ns0:f>
        <ns0:v>1</ns0:v>
      </ns0:c>
      <ns0:c r="M31" s="105" t="n">
        <ns0:f>SUMIFS('装量配置'!$E$6:$E$718,'装量配置'!$A$6:$A$718,A31,'装量配置'!$B$6:$B$718,"开局",'装量配置'!$F$6:$F$718,1)</ns0:f>
        <ns0:v>1</ns0:v>
      </ns0:c>
      <ns0:c r="N31" s="105" t="n">
        <ns0:f>SUMIFS('装量配置'!$E$6:$E$718,'装量配置'!$A$6:$A$718,A31,'装量配置'!$B$6:$B$718,"开局",'装量配置'!$D$6:$D$718,"广告锁定周转盒")</ns0:f>
        <ns0:v>2</ns0:v>
      </ns0:c>
      <ns0:c r="O31" s="105" t="n">
        <ns0:f>SUMIFS('装量配置'!$E$6:$E$718,'装量配置'!$A$6:$A$718,A31,'装量配置'!$B$6:$B$718,"开局")</ns0:f>
        <ns0:v>21</ns0:v>
      </ns0:c>
      <ns0:c r="P31" s="105" t="n">
        <ns0:f>SUMIFS('装量配置'!$K$6:$K$718,'装量配置'!$A$6:$A$718,A31)</ns0:f>
        <ns0:v>4</ns0:v>
      </ns0:c>
      <ns0:c r="Q31" s="105" t="n">
        <ns0:v>4</ns0:v>
      </ns0:c>
      <ns0:c r="R31" s="106" t="n">
        <ns0:v>0</ns0:v>
      </ns0:c>
      <ns0:c r="S31" s="106" t="n">
        <ns0:v>0</ns0:v>
      </ns0:c>
      <ns0:c r="T31" s="105" t="n">
        <ns0:v>4</ns0:v>
      </ns0:c>
      <ns0:c r="U31" s="105" t="n">
        <ns0:v>3</ns0:v>
      </ns0:c>
      <ns0:c r="V31" s="123" t="str">
        <ns0:v>普通冰冻盒</ns0:v>
      </ns0:c>
      <ns0:c r="W31" s="123" t="str">
        <ns0:v>单颗暂存盒</ns0:v>
      </ns0:c>
      <ns0:c r="X31" s="123" t="str">
        <ns0:v>普通冰冻盒0×1；单颗暂存盒×1（装1颗）</ns0:v>
      </ns0:c>
      <ns0:c r="Y31" s="105" t="n">
        <ns0:f>SUMIFS('装量配置'!$I$6:$I$718,'装量配置'!$A$6:$A$718,A31)</ns0:f>
        <ns0:v>68</ns0:v>
      </ns0:c>
      <ns0:c r="Z31" s="105" t="str">
        <ns0:f>IF(AND(O31&lt;=25,N31=2,Y31=K31*4,H31&lt;=K31,P31+AT31&gt;=4,COUNTIFS('装量配置'!$A$6:$A$718,A31,'装量配置'!$O$6:$O$718,"需调整")=0),"装量通过；待逐味","需调整")</ns0:f>
        <ns0:v>装量通过；待逐味</ns0:v>
      </ns0:c>
      <ns0:c r="AA31" s="107" t="str">
        <ns0:v>已找到完整可行路线</ns0:v>
      </ns0:c>
      <ns0:c r="AB31" s="107"/>
      <ns0:c r="AC31" s="107"/>
      <ns0:c r="AD31" s="106"/>
      <ns0:c r="AE31" s="108" t="n">
        <ns0:v>6</ns0:v>
      </ns0:c>
      <ns0:c r="AF31" s="109"/>
      <ns0:c r="AG31" s="109"/>
      <ns0:c r="AH31" s="110"/>
      <ns0:c r="AI31" s="131" t="str">
        <ns0:v>层序已制作；真人难度待测</ns0:v>
      </ns0:c>
      <ns0:c r="AJ31" s="123" t="str">
        <ns0:v>用户确认温和波动方案；可行解非最短；真实验收见R2实施记录</ns0:v>
      </ns0:c>
      <ns0:c r="AK31" s="123" t="str">
        <ns0:v>按盒数连续紧凑分排</ns0:v>
      </ns0:c>
      <ns0:c r="AL31" s="105" t="n">
        <ns0:v>0</ns0:v>
      </ns0:c>
      <ns0:c r="AM31" s="106"/>
      <ns0:c r="AN31" s="107"/>
      <ns0:c r="AO31" s="110"/>
      <ns0:c r="AP31" s="123" t="str">
        <ns0:v>四种周转条件完整回放见实施记录</ns0:v>
      </ns0:c>
      <ns0:c r="AQ31" s="107"/>
      <ns0:c r="AR31" s="121" t="n">
        <ns0:f>SUMIFS('装量配置'!$I$6:$I$718,'装量配置'!$A$6:$A$718,A31,'装量配置'!$B$6:$B$718,"开局")</ns0:f>
        <ns0:v>64</ns0:v>
      </ns0:c>
      <ns0:c r="AS31" s="133" t="n">
        <ns0:f>SUMIFS('装量配置'!$I$6:$I$718,'装量配置'!$A$6:$A$718,A31,'装量配置'!$B$6:$B$718,"开局",'装量配置'!$D$6:$D$718,"普通盒",'装量配置'!$G$6:$G$718,"&gt;0")/(4*SUMIFS('装量配置'!$E$6:$E$718,'装量配置'!$A$6:$A$718,A31,'装量配置'!$B$6:$B$718,"开局",'装量配置'!$D$6:$D$718,"普通盒",'装量配置'!$G$6:$G$718,"&gt;0"))</ns0:f>
        <ns0:v>0.921875</ns0:v>
      </ns0:c>
      <ns0:c r="AT31" s="121" t="n">
        <ns0:f>SUMIFS('装量配置'!$L$6:$L$718,'装量配置'!$A$6:$A$718,A31)</ns0:f>
        <ns0:v>5</ns0:v>
      </ns0:c>
      <ns0:c r="AU31" s="121" t="n">
        <ns0:f>SUMIFS('装量配置'!$M$6:$M$718,'装量配置'!$A$6:$A$718,A31)</ns0:f>
        <ns0:v>0</ns0:v>
      </ns0:c>
      <ns0:c r="AV31" s="121" t="n">
        <ns0:f>SUMIFS('装量配置'!$N$6:$N$718,'装量配置'!$A$6:$A$718,A31)</ns0:f>
        <ns0:v>0</ns0:v>
      </ns0:c>
      <ns0:c r="AW31" s="133" t="n">
        <ns0:v>0.18</ns0:v>
      </ns0:c>
      <ns0:c r="AX31" s="121" t="n">
        <ns0:v>4</ns0:v>
      </ns0:c>
      <ns0:c r="AY31" s="121" t="n">
        <ns0:v>0</ns0:v>
      </ns0:c>
      <ns0:c r="AZ31" s="121" t="n">
        <ns0:f>SUMIFS('装量配置'!$E$6:$E$718,'装量配置'!$A$6:$A$718,A31,'装量配置'!$B$6:$B$718,"开局",'装量配置'!$D$6:$D$718,"&lt;&gt;普通盒",'装量配置'!$D$6:$D$718,"&lt;&gt;广告锁定周转盒")</ns0:f>
        <ns0:v>2</ns0:v>
      </ns0:c>
      <ns0:c r="BA31" s="150" t="n">
        <ns0:f>IF(COUNTIFS('装量配置'!$A$6:$A$718,A31,'装量配置'!$B$6:$B$718,"开局",'装量配置'!$D$6:$D$718,"数字盖盒",'装量配置'!$E$6:$E$718,"&gt;0")&gt;0,1,0)+IF(COUNTIFS('装量配置'!$A$6:$A$718,A31,'装量配置'!$B$6:$B$718,"开局",'装量配置'!$D$6:$D$718,"普通冰冻盒",'装量配置'!$E$6:$E$718,"&gt;0")&gt;0,1,0)+IF(COUNTIFS('装量配置'!$A$6:$A$718,A31,'装量配置'!$B$6:$B$718,"开局",'装量配置'!$D$6:$D$718,"单颗暂存盒",'装量配置'!$E$6:$E$718,"&gt;0")&gt;0,1,0)+IF(COUNTIFS('装量配置'!$A$6:$A$718,A31,'装量配置'!$B$6:$B$718,"开局",'装量配置'!$D$6:$D$718,"数字冰冻盒",'装量配置'!$E$6:$E$718,"&gt;0")&gt;0,1,0)+IF(COUNTIFS('装量配置'!$A$6:$A$718,A31,'装量配置'!$B$6:$B$718,"开局",'装量配置'!$D$6:$D$718,"固定颜色盒",'装量配置'!$E$6:$E$718,"&gt;0")&gt;0,1,0)+IF(COUNTIFS('装量配置'!$A$6:$A$718,A31,'装量配置'!$B$6:$B$718,"开局",'装量配置'!$D$6:$D$718,"单向收纳盒",'装量配置'!$E$6:$E$718,"&gt;0")&gt;0,1,0)+IF(COUNTIFS('装量配置'!$A$6:$A$718,A31,'装量配置'!$B$6:$B$718,"开局",'装量配置'!$D$6:$D$718,"底部置顶盒",'装量配置'!$E$6:$E$718,"&gt;0")&gt;0,1,0)+IF(COUNTIFS('装量配置'!$A$6:$A$718,A31,'装量配置'!$B$6:$B$718,"开局",'装量配置'!$D$6:$D$718,"炸弹盒",'装量配置'!$E$6:$E$718,"&gt;0")&gt;0,1,0)</ns0:f>
        <ns0:v>2</ns0:v>
      </ns0:c>
      <ns0:c r="BB31" s="150" t="n">
        <ns0:f>SUMIFS('装量配置'!$E$6:$E$718,'装量配置'!$A$6:$A$718,A31,'装量配置'!$B$6:$B$718,"开局",'装量配置'!$D$6:$D$718,"数字盖盒")+SUMIFS('装量配置'!$E$6:$E$718,'装量配置'!$A$6:$A$718,A31,'装量配置'!$B$6:$B$718,"开局",'装量配置'!$D$6:$D$718,"普通冰冻盒")+SUMIFS('装量配置'!$E$6:$E$718,'装量配置'!$A$6:$A$718,A31,'装量配置'!$B$6:$B$718,"开局",'装量配置'!$D$6:$D$718,"数字冰冻盒")</ns0:f>
        <ns0:v>1</ns0:v>
      </ns0:c>
      <ns0:c r="BC31" s="150" t="n">
        <ns0:f>SUMIFS('装量配置'!$R$6:$R$718,'装量配置'!$A$6:$A$718,A31,'装量配置'!$B$6:$B$718,"开局")</ns0:f>
        <ns0:v>0</ns0:v>
      </ns0:c>
      <ns0:c r="BD31" s="148" t="str">
        <ns0:v>预放暂存先移出再复用，补货前完成暂存周转</ns0:v>
      </ns0:c>
      <ns0:c r="BE31" s="150" t="n">
        <ns0:v>2</ns0:v>
      </ns0:c>
      <ns0:c r="BF31" s="148" t="str">
        <ns0:v>基线路线验证；非所有路线下限</ns0:v>
      </ns0:c>
    </ns0:row>
    <ns0:row r="32" ht="33" customHeight="1">
      <ns0:c r="A32" s="112" t="n">
        <ns0:v>27</ns0:v>
      </ns0:c>
      <ns0:c r="B32" s="119" t="str">
        <ns0:v>普通冰冻盒</ns0:v>
      </ns0:c>
      <ns0:c r="C32" s="127" t="str">
        <ns0:v>暂存机关与分批补货</ns0:v>
      </ns0:c>
      <ns0:c r="D32" s="114" t="n">
        <ns0:v>4.8</ns0:v>
      </ns0:c>
      <ns0:c r="E32" s="124" t="str">
        <ns0:v>颜色层序与接收空间</ns0:v>
      </ns0:c>
      <ns0:c r="F32" s="124" t="str">
        <ns0:v>机关释放与订单顺序</ns0:v>
      </ns0:c>
      <ns0:c r="G32" s="112" t="str">
        <ns0:v>整齐</ns0:v>
      </ns0:c>
      <ns0:c r="H32" s="112" t="n">
        <ns0:v>8</ns0:v>
      </ns0:c>
      <ns0:c r="I32" s="112" t="n">
        <ns0:f>SUMIFS('装量配置'!$E$6:$E$718,'装量配置'!$A$6:$A$718,A32,'装量配置'!$B$6:$B$718,"开局",'装量配置'!$F$6:$F$718,4,'装量配置'!$G$6:$G$718,"&gt;0")</ns0:f>
        <ns0:v>19</ns0:v>
      </ns0:c>
      <ns0:c r="J32" s="112" t="n">
        <ns0:f>SUMIFS('装量配置'!$E$6:$E$718,'装量配置'!$A$6:$A$718,A32,'装量配置'!$B$6:$B$718,"备货")</ns0:f>
        <ns0:v>2</ns0:v>
      </ns0:c>
      <ns0:c r="K32" s="112" t="n">
        <ns0:v>19</ns0:v>
      </ns0:c>
      <ns0:c r="L32" s="112" t="n">
        <ns0:f>SUMIFS('装量配置'!$E$6:$E$718,'装量配置'!$A$6:$A$718,A32,'装量配置'!$B$6:$B$718,"开局",'装量配置'!$F$6:$F$718,4,'装量配置'!$G$6:$G$718,0,'装量配置'!$D$6:$D$718,"&lt;&gt;广告锁定周转盒")</ns0:f>
        <ns0:v>0</ns0:v>
      </ns0:c>
      <ns0:c r="M32" s="112" t="n">
        <ns0:f>SUMIFS('装量配置'!$E$6:$E$718,'装量配置'!$A$6:$A$718,A32,'装量配置'!$B$6:$B$718,"开局",'装量配置'!$F$6:$F$718,1)</ns0:f>
        <ns0:v>1</ns0:v>
      </ns0:c>
      <ns0:c r="N32" s="112" t="n">
        <ns0:f>SUMIFS('装量配置'!$E$6:$E$718,'装量配置'!$A$6:$A$718,A32,'装量配置'!$B$6:$B$718,"开局",'装量配置'!$D$6:$D$718,"广告锁定周转盒")</ns0:f>
        <ns0:v>2</ns0:v>
      </ns0:c>
      <ns0:c r="O32" s="112" t="n">
        <ns0:f>SUMIFS('装量配置'!$E$6:$E$718,'装量配置'!$A$6:$A$718,A32,'装量配置'!$B$6:$B$718,"开局")</ns0:f>
        <ns0:v>22</ns0:v>
      </ns0:c>
      <ns0:c r="P32" s="112" t="n">
        <ns0:f>SUMIFS('装量配置'!$K$6:$K$718,'装量配置'!$A$6:$A$718,A32)</ns0:f>
        <ns0:v>1</ns0:v>
      </ns0:c>
      <ns0:c r="Q32" s="112" t="n">
        <ns0:v>5</ns0:v>
      </ns0:c>
      <ns0:c r="R32" s="113" t="n">
        <ns0:v>0</ns0:v>
      </ns0:c>
      <ns0:c r="S32" s="113" t="n">
        <ns0:v>0</ns0:v>
      </ns0:c>
      <ns0:c r="T32" s="112" t="n">
        <ns0:v>4</ns0:v>
      </ns0:c>
      <ns0:c r="U32" s="112" t="n">
        <ns0:v>3</ns0:v>
      </ns0:c>
      <ns0:c r="V32" s="124" t="str">
        <ns0:v>普通冰冻盒</ns0:v>
      </ns0:c>
      <ns0:c r="W32" s="124" t="str">
        <ns0:v>数字盖盒＋单颗暂存盒</ns0:v>
      </ns0:c>
      <ns0:c r="X32" s="124" t="str">
        <ns0:v>普通冰冻盒0×1；数字盖盒1×1；单颗暂存盒×1（装0颗）</ns0:v>
      </ns0:c>
      <ns0:c r="Y32" s="112" t="n">
        <ns0:f>SUMIFS('装量配置'!$I$6:$I$718,'装量配置'!$A$6:$A$718,A32)</ns0:f>
        <ns0:v>76</ns0:v>
      </ns0:c>
      <ns0:c r="Z32" s="112" t="str">
        <ns0:f>IF(AND(O32&lt;=25,N32=2,Y32=K32*4,H32&lt;=K32,P32+AT32&gt;=4,COUNTIFS('装量配置'!$A$6:$A$718,A32,'装量配置'!$O$6:$O$718,"需调整")=0),"装量通过；待逐味","需调整")</ns0:f>
        <ns0:v>装量通过；待逐味</ns0:v>
      </ns0:c>
      <ns0:c r="AA32" s="107" t="str">
        <ns0:v>已找到完整可行路线</ns0:v>
      </ns0:c>
      <ns0:c r="AB32" s="107"/>
      <ns0:c r="AC32" s="107"/>
      <ns0:c r="AD32" s="113"/>
      <ns0:c r="AE32" s="114" t="n">
        <ns0:v>6</ns0:v>
      </ns0:c>
      <ns0:c r="AF32" s="109"/>
      <ns0:c r="AG32" s="109"/>
      <ns0:c r="AH32" s="110"/>
      <ns0:c r="AI32" s="131" t="str">
        <ns0:v>层序已制作；真人难度待测</ns0:v>
      </ns0:c>
      <ns0:c r="AJ32" s="124" t="str">
        <ns0:v>用户确认温和波动方案；可行解非最短；真实验收见R2实施记录</ns0:v>
      </ns0:c>
      <ns0:c r="AK32" s="124" t="str">
        <ns0:v>按盒数连续紧凑分排</ns0:v>
      </ns0:c>
      <ns0:c r="AL32" s="112" t="n">
        <ns0:v>0</ns0:v>
      </ns0:c>
      <ns0:c r="AM32" s="113"/>
      <ns0:c r="AN32" s="112"/>
      <ns0:c r="AO32" s="113"/>
      <ns0:c r="AP32" s="124" t="str">
        <ns0:v>四种周转条件完整回放见实施记录</ns0:v>
      </ns0:c>
      <ns0:c r="AQ32" s="107"/>
      <ns0:c r="AR32" s="120" t="n">
        <ns0:f>SUMIFS('装量配置'!$I$6:$I$718,'装量配置'!$A$6:$A$718,A32,'装量配置'!$B$6:$B$718,"开局")</ns0:f>
        <ns0:v>68</ns0:v>
      </ns0:c>
      <ns0:c r="AS32" s="132" t="n">
        <ns0:f>SUMIFS('装量配置'!$I$6:$I$718,'装量配置'!$A$6:$A$718,A32,'装量配置'!$B$6:$B$718,"开局",'装量配置'!$D$6:$D$718,"普通盒",'装量配置'!$G$6:$G$718,"&gt;0")/(4*SUMIFS('装量配置'!$E$6:$E$718,'装量配置'!$A$6:$A$718,A32,'装量配置'!$B$6:$B$718,"开局",'装量配置'!$D$6:$D$718,"普通盒",'装量配置'!$G$6:$G$718,"&gt;0"))</ns0:f>
        <ns0:v>0.8823529411764706</ns0:v>
      </ns0:c>
      <ns0:c r="AT32" s="120" t="n">
        <ns0:f>SUMIFS('装量配置'!$L$6:$L$718,'装量配置'!$A$6:$A$718,A32)</ns0:f>
        <ns0:v>8</ns0:v>
      </ns0:c>
      <ns0:c r="AU32" s="120" t="n">
        <ns0:f>SUMIFS('装量配置'!$M$6:$M$718,'装量配置'!$A$6:$A$718,A32)</ns0:f>
        <ns0:v>0</ns0:v>
      </ns0:c>
      <ns0:c r="AV32" s="120" t="n">
        <ns0:f>SUMIFS('装量配置'!$N$6:$N$718,'装量配置'!$A$6:$A$718,A32)</ns0:f>
        <ns0:v>0</ns0:v>
      </ns0:c>
      <ns0:c r="AW32" s="132" t="n">
        <ns0:v>0.18</ns0:v>
      </ns0:c>
      <ns0:c r="AX32" s="120" t="n">
        <ns0:v>5</ns0:v>
      </ns0:c>
      <ns0:c r="AY32" s="120" t="n">
        <ns0:v>0</ns0:v>
      </ns0:c>
      <ns0:c r="AZ32" s="120" t="n">
        <ns0:f>SUMIFS('装量配置'!$E$6:$E$718,'装量配置'!$A$6:$A$718,A32,'装量配置'!$B$6:$B$718,"开局",'装量配置'!$D$6:$D$718,"&lt;&gt;普通盒",'装量配置'!$D$6:$D$718,"&lt;&gt;广告锁定周转盒")</ns0:f>
        <ns0:v>3</ns0:v>
      </ns0:c>
      <ns0:c r="BA32" s="149" t="n">
        <ns0:f>IF(COUNTIFS('装量配置'!$A$6:$A$718,A32,'装量配置'!$B$6:$B$718,"开局",'装量配置'!$D$6:$D$718,"数字盖盒",'装量配置'!$E$6:$E$718,"&gt;0")&gt;0,1,0)+IF(COUNTIFS('装量配置'!$A$6:$A$718,A32,'装量配置'!$B$6:$B$718,"开局",'装量配置'!$D$6:$D$718,"普通冰冻盒",'装量配置'!$E$6:$E$718,"&gt;0")&gt;0,1,0)+IF(COUNTIFS('装量配置'!$A$6:$A$718,A32,'装量配置'!$B$6:$B$718,"开局",'装量配置'!$D$6:$D$718,"单颗暂存盒",'装量配置'!$E$6:$E$718,"&gt;0")&gt;0,1,0)+IF(COUNTIFS('装量配置'!$A$6:$A$718,A32,'装量配置'!$B$6:$B$718,"开局",'装量配置'!$D$6:$D$718,"数字冰冻盒",'装量配置'!$E$6:$E$718,"&gt;0")&gt;0,1,0)+IF(COUNTIFS('装量配置'!$A$6:$A$718,A32,'装量配置'!$B$6:$B$718,"开局",'装量配置'!$D$6:$D$718,"固定颜色盒",'装量配置'!$E$6:$E$718,"&gt;0")&gt;0,1,0)+IF(COUNTIFS('装量配置'!$A$6:$A$718,A32,'装量配置'!$B$6:$B$718,"开局",'装量配置'!$D$6:$D$718,"单向收纳盒",'装量配置'!$E$6:$E$718,"&gt;0")&gt;0,1,0)+IF(COUNTIFS('装量配置'!$A$6:$A$718,A32,'装量配置'!$B$6:$B$718,"开局",'装量配置'!$D$6:$D$718,"底部置顶盒",'装量配置'!$E$6:$E$718,"&gt;0")&gt;0,1,0)+IF(COUNTIFS('装量配置'!$A$6:$A$718,A32,'装量配置'!$B$6:$B$718,"开局",'装量配置'!$D$6:$D$718,"炸弹盒",'装量配置'!$E$6:$E$718,"&gt;0")&gt;0,1,0)</ns0:f>
        <ns0:v>3</ns0:v>
      </ns0:c>
      <ns0:c r="BB32" s="149" t="n">
        <ns0:f>SUMIFS('装量配置'!$E$6:$E$718,'装量配置'!$A$6:$A$718,A32,'装量配置'!$B$6:$B$718,"开局",'装量配置'!$D$6:$D$718,"数字盖盒")+SUMIFS('装量配置'!$E$6:$E$718,'装量配置'!$A$6:$A$718,A32,'装量配置'!$B$6:$B$718,"开局",'装量配置'!$D$6:$D$718,"普通冰冻盒")+SUMIFS('装量配置'!$E$6:$E$718,'装量配置'!$A$6:$A$718,A32,'装量配置'!$B$6:$B$718,"开局",'装量配置'!$D$6:$D$718,"数字冰冻盒")</ns0:f>
        <ns0:v>2</ns0:v>
      </ns0:c>
      <ns0:c r="BC32" s="149" t="n">
        <ns0:f>SUMIFS('装量配置'!$R$6:$R$718,'装量配置'!$A$6:$A$718,A32,'装量配置'!$B$6:$B$718,"开局")</ns0:f>
        <ns0:v>1</ns0:v>
      </ns0:c>
      <ns0:c r="BD32" s="146" t="str">
        <ns0:v>暂存、开盖与回收；两批补货分开处理</ns0:v>
      </ns0:c>
      <ns0:c r="BE32" s="149" t="n">
        <ns0:v>3</ns0:v>
      </ns0:c>
      <ns0:c r="BF32" s="146" t="str">
        <ns0:v>基线路线验证；非所有路线下限</ns0:v>
      </ns0:c>
    </ns0:row>
    <ns0:row r="33" ht="33" customHeight="1">
      <ns0:c r="A33" s="105" t="n">
        <ns0:v>28</ns0:v>
      </ns0:c>
      <ns0:c r="B33" s="117" t="str">
        <ns0:v>普通冰冻盒</ns0:v>
      </ns0:c>
      <ns0:c r="C33" s="126" t="str">
        <ns0:v>双空盒缓和</ns0:v>
      </ns0:c>
      <ns0:c r="D33" s="108" t="n">
        <ns0:v>4.6</ns0:v>
      </ns0:c>
      <ns0:c r="E33" s="123" t="str">
        <ns0:v>颜色层序与接收空间</ns0:v>
      </ns0:c>
      <ns0:c r="F33" s="123" t="str">
        <ns0:v>机关释放与订单顺序</ns0:v>
      </ns0:c>
      <ns0:c r="G33" s="105" t="str">
        <ns0:v>整齐</ns0:v>
      </ns0:c>
      <ns0:c r="H33" s="105" t="n">
        <ns0:v>8</ns0:v>
      </ns0:c>
      <ns0:c r="I33" s="105" t="n">
        <ns0:f>SUMIFS('装量配置'!$E$6:$E$718,'装量配置'!$A$6:$A$718,A33,'装量配置'!$B$6:$B$718,"开局",'装量配置'!$F$6:$F$718,4,'装量配置'!$G$6:$G$718,"&gt;0")</ns0:f>
        <ns0:v>15</ns0:v>
      </ns0:c>
      <ns0:c r="J33" s="105" t="n">
        <ns0:f>SUMIFS('装量配置'!$E$6:$E$718,'装量配置'!$A$6:$A$718,A33,'装量配置'!$B$6:$B$718,"备货")</ns0:f>
        <ns0:v>1</ns0:v>
      </ns0:c>
      <ns0:c r="K33" s="105" t="n">
        <ns0:v>16</ns0:v>
      </ns0:c>
      <ns0:c r="L33" s="105" t="n">
        <ns0:f>SUMIFS('装量配置'!$E$6:$E$718,'装量配置'!$A$6:$A$718,A33,'装量配置'!$B$6:$B$718,"开局",'装量配置'!$F$6:$F$718,4,'装量配置'!$G$6:$G$718,0,'装量配置'!$D$6:$D$718,"&lt;&gt;广告锁定周转盒")</ns0:f>
        <ns0:v>2</ns0:v>
      </ns0:c>
      <ns0:c r="M33" s="105" t="n">
        <ns0:f>SUMIFS('装量配置'!$E$6:$E$718,'装量配置'!$A$6:$A$718,A33,'装量配置'!$B$6:$B$718,"开局",'装量配置'!$F$6:$F$718,1)</ns0:f>
        <ns0:v>1</ns0:v>
      </ns0:c>
      <ns0:c r="N33" s="105" t="n">
        <ns0:f>SUMIFS('装量配置'!$E$6:$E$718,'装量配置'!$A$6:$A$718,A33,'装量配置'!$B$6:$B$718,"开局",'装量配置'!$D$6:$D$718,"广告锁定周转盒")</ns0:f>
        <ns0:v>2</ns0:v>
      </ns0:c>
      <ns0:c r="O33" s="105" t="n">
        <ns0:f>SUMIFS('装量配置'!$E$6:$E$718,'装量配置'!$A$6:$A$718,A33,'装量配置'!$B$6:$B$718,"开局")</ns0:f>
        <ns0:v>20</ns0:v>
      </ns0:c>
      <ns0:c r="P33" s="105" t="n">
        <ns0:f>SUMIFS('装量配置'!$K$6:$K$718,'装量配置'!$A$6:$A$718,A33)</ns0:f>
        <ns0:v>9</ns0:v>
      </ns0:c>
      <ns0:c r="Q33" s="105" t="n">
        <ns0:v>4</ns0:v>
      </ns0:c>
      <ns0:c r="R33" s="106" t="n">
        <ns0:v>0</ns0:v>
      </ns0:c>
      <ns0:c r="S33" s="106" t="n">
        <ns0:v>0</ns0:v>
      </ns0:c>
      <ns0:c r="T33" s="105" t="n">
        <ns0:v>3</ns0:v>
      </ns0:c>
      <ns0:c r="U33" s="105" t="n">
        <ns0:v>3</ns0:v>
      </ns0:c>
      <ns0:c r="V33" s="123" t="str">
        <ns0:v>普通冰冻盒</ns0:v>
      </ns0:c>
      <ns0:c r="W33" s="123" t="str">
        <ns0:v>单颗暂存盒</ns0:v>
      </ns0:c>
      <ns0:c r="X33" s="123" t="str">
        <ns0:v>普通冰冻盒0×1；单颗暂存盒×1（装0颗）</ns0:v>
      </ns0:c>
      <ns0:c r="Y33" s="105" t="n">
        <ns0:f>SUMIFS('装量配置'!$I$6:$I$718,'装量配置'!$A$6:$A$718,A33)</ns0:f>
        <ns0:v>64</ns0:v>
      </ns0:c>
      <ns0:c r="Z33" s="105" t="str">
        <ns0:f>IF(AND(O33&lt;=25,N33=2,Y33=K33*4,H33&lt;=K33,P33+AT33&gt;=4,COUNTIFS('装量配置'!$A$6:$A$718,A33,'装量配置'!$O$6:$O$718,"需调整")=0),"装量通过；待逐味","需调整")</ns0:f>
        <ns0:v>装量通过；待逐味</ns0:v>
      </ns0:c>
      <ns0:c r="AA33" s="107" t="str">
        <ns0:v>已找到完整可行路线</ns0:v>
      </ns0:c>
      <ns0:c r="AB33" s="107"/>
      <ns0:c r="AC33" s="107"/>
      <ns0:c r="AD33" s="106"/>
      <ns0:c r="AE33" s="108" t="n">
        <ns0:v>6</ns0:v>
      </ns0:c>
      <ns0:c r="AF33" s="109"/>
      <ns0:c r="AG33" s="109"/>
      <ns0:c r="AH33" s="110"/>
      <ns0:c r="AI33" s="131" t="str">
        <ns0:v>层序已制作；真人难度待测</ns0:v>
      </ns0:c>
      <ns0:c r="AJ33" s="123" t="str">
        <ns0:v>用户确认温和波动方案；可行解非最短；真实验收见R2实施记录</ns0:v>
      </ns0:c>
      <ns0:c r="AK33" s="123" t="str">
        <ns0:v>按盒数连续紧凑分排</ns0:v>
      </ns0:c>
      <ns0:c r="AL33" s="105" t="n">
        <ns0:v>0</ns0:v>
      </ns0:c>
      <ns0:c r="AM33" s="106"/>
      <ns0:c r="AN33" s="107"/>
      <ns0:c r="AO33" s="110"/>
      <ns0:c r="AP33" s="123" t="str">
        <ns0:v>四种周转条件完整回放见实施记录</ns0:v>
      </ns0:c>
      <ns0:c r="AQ33" s="107"/>
      <ns0:c r="AR33" s="121" t="n">
        <ns0:f>SUMIFS('装量配置'!$I$6:$I$718,'装量配置'!$A$6:$A$718,A33,'装量配置'!$B$6:$B$718,"开局")</ns0:f>
        <ns0:v>60</ns0:v>
      </ns0:c>
      <ns0:c r="AS33" s="133" t="n">
        <ns0:f>SUMIFS('装量配置'!$I$6:$I$718,'装量配置'!$A$6:$A$718,A33,'装量配置'!$B$6:$B$718,"开局",'装量配置'!$D$6:$D$718,"普通盒",'装量配置'!$G$6:$G$718,"&gt;0")/(4*SUMIFS('装量配置'!$E$6:$E$718,'装量配置'!$A$6:$A$718,A33,'装量配置'!$B$6:$B$718,"开局",'装量配置'!$D$6:$D$718,"普通盒",'装量配置'!$G$6:$G$718,"&gt;0"))</ns0:f>
        <ns0:v>1</ns0:v>
      </ns0:c>
      <ns0:c r="AT33" s="121" t="n">
        <ns0:f>SUMIFS('装量配置'!$L$6:$L$718,'装量配置'!$A$6:$A$718,A33)</ns0:f>
        <ns0:v>0</ns0:v>
      </ns0:c>
      <ns0:c r="AU33" s="121" t="n">
        <ns0:f>SUMIFS('装量配置'!$M$6:$M$718,'装量配置'!$A$6:$A$718,A33)</ns0:f>
        <ns0:v>0</ns0:v>
      </ns0:c>
      <ns0:c r="AV33" s="121" t="n">
        <ns0:f>SUMIFS('装量配置'!$N$6:$N$718,'装量配置'!$A$6:$A$718,A33)</ns0:f>
        <ns0:v>0</ns0:v>
      </ns0:c>
      <ns0:c r="AW33" s="133" t="n">
        <ns0:v>0.18</ns0:v>
      </ns0:c>
      <ns0:c r="AX33" s="121" t="n">
        <ns0:v>4</ns0:v>
      </ns0:c>
      <ns0:c r="AY33" s="121" t="n">
        <ns0:v>0</ns0:v>
      </ns0:c>
      <ns0:c r="AZ33" s="121" t="n">
        <ns0:f>SUMIFS('装量配置'!$E$6:$E$718,'装量配置'!$A$6:$A$718,A33,'装量配置'!$B$6:$B$718,"开局",'装量配置'!$D$6:$D$718,"&lt;&gt;普通盒",'装量配置'!$D$6:$D$718,"&lt;&gt;广告锁定周转盒")</ns0:f>
        <ns0:v>2</ns0:v>
      </ns0:c>
      <ns0:c r="BA33" s="150" t="n">
        <ns0:f>IF(COUNTIFS('装量配置'!$A$6:$A$718,A33,'装量配置'!$B$6:$B$718,"开局",'装量配置'!$D$6:$D$718,"数字盖盒",'装量配置'!$E$6:$E$718,"&gt;0")&gt;0,1,0)+IF(COUNTIFS('装量配置'!$A$6:$A$718,A33,'装量配置'!$B$6:$B$718,"开局",'装量配置'!$D$6:$D$718,"普通冰冻盒",'装量配置'!$E$6:$E$718,"&gt;0")&gt;0,1,0)+IF(COUNTIFS('装量配置'!$A$6:$A$718,A33,'装量配置'!$B$6:$B$718,"开局",'装量配置'!$D$6:$D$718,"单颗暂存盒",'装量配置'!$E$6:$E$718,"&gt;0")&gt;0,1,0)+IF(COUNTIFS('装量配置'!$A$6:$A$718,A33,'装量配置'!$B$6:$B$718,"开局",'装量配置'!$D$6:$D$718,"数字冰冻盒",'装量配置'!$E$6:$E$718,"&gt;0")&gt;0,1,0)+IF(COUNTIFS('装量配置'!$A$6:$A$718,A33,'装量配置'!$B$6:$B$718,"开局",'装量配置'!$D$6:$D$718,"固定颜色盒",'装量配置'!$E$6:$E$718,"&gt;0")&gt;0,1,0)+IF(COUNTIFS('装量配置'!$A$6:$A$718,A33,'装量配置'!$B$6:$B$718,"开局",'装量配置'!$D$6:$D$718,"单向收纳盒",'装量配置'!$E$6:$E$718,"&gt;0")&gt;0,1,0)+IF(COUNTIFS('装量配置'!$A$6:$A$718,A33,'装量配置'!$B$6:$B$718,"开局",'装量配置'!$D$6:$D$718,"底部置顶盒",'装量配置'!$E$6:$E$718,"&gt;0")&gt;0,1,0)+IF(COUNTIFS('装量配置'!$A$6:$A$718,A33,'装量配置'!$B$6:$B$718,"开局",'装量配置'!$D$6:$D$718,"炸弹盒",'装量配置'!$E$6:$E$718,"&gt;0")&gt;0,1,0)</ns0:f>
        <ns0:v>2</ns0:v>
      </ns0:c>
      <ns0:c r="BB33" s="150" t="n">
        <ns0:f>SUMIFS('装量配置'!$E$6:$E$718,'装量配置'!$A$6:$A$718,A33,'装量配置'!$B$6:$B$718,"开局",'装量配置'!$D$6:$D$718,"数字盖盒")+SUMIFS('装量配置'!$E$6:$E$718,'装量配置'!$A$6:$A$718,A33,'装量配置'!$B$6:$B$718,"开局",'装量配置'!$D$6:$D$718,"普通冰冻盒")+SUMIFS('装量配置'!$E$6:$E$718,'装量配置'!$A$6:$A$718,A33,'装量配置'!$B$6:$B$718,"开局",'装量配置'!$D$6:$D$718,"数字冰冻盒")</ns0:f>
        <ns0:v>1</ns0:v>
      </ns0:c>
      <ns0:c r="BC33" s="150" t="n">
        <ns0:f>SUMIFS('装量配置'!$R$6:$R$718,'装量配置'!$A$6:$A$718,A33,'装量配置'!$B$6:$B$718,"开局")</ns0:f>
        <ns0:v>0</ns0:v>
      </ns0:c>
      <ns0:c r="BD33" s="148" t="str">
        <ns0:v>双空盒缓和，暂存辅助整理</ns0:v>
      </ns0:c>
      <ns0:c r="BE33" s="150" t="n">
        <ns0:v>2</ns0:v>
      </ns0:c>
      <ns0:c r="BF33" s="148" t="str">
        <ns0:v>基线路线验证；非所有路线下限</ns0:v>
      </ns0:c>
    </ns0:row>
    <ns0:row r="34" ht="33" customHeight="1">
      <ns0:c r="A34" s="112" t="n">
        <ns0:v>29</ns0:v>
      </ns0:c>
      <ns0:c r="B34" s="119" t="str">
        <ns0:v>普通冰冻盒</ns0:v>
      </ns0:c>
      <ns0:c r="C34" s="127" t="str">
        <ns0:v>暂存与机关阶段高点</ns0:v>
      </ns0:c>
      <ns0:c r="D34" s="114" t="n">
        <ns0:v>4.9</ns0:v>
      </ns0:c>
      <ns0:c r="E34" s="124" t="str">
        <ns0:v>颜色层序与接收空间</ns0:v>
      </ns0:c>
      <ns0:c r="F34" s="124" t="str">
        <ns0:v>机关释放与订单顺序</ns0:v>
      </ns0:c>
      <ns0:c r="G34" s="112" t="str">
        <ns0:v>整齐</ns0:v>
      </ns0:c>
      <ns0:c r="H34" s="112" t="n">
        <ns0:v>8</ns0:v>
      </ns0:c>
      <ns0:c r="I34" s="112" t="n">
        <ns0:f>SUMIFS('装量配置'!$E$6:$E$718,'装量配置'!$A$6:$A$718,A34,'装量配置'!$B$6:$B$718,"开局",'装量配置'!$F$6:$F$718,4,'装量配置'!$G$6:$G$718,"&gt;0")</ns0:f>
        <ns0:v>19</ns0:v>
      </ns0:c>
      <ns0:c r="J34" s="112" t="n">
        <ns0:f>SUMIFS('装量配置'!$E$6:$E$718,'装量配置'!$A$6:$A$718,A34,'装量配置'!$B$6:$B$718,"备货")</ns0:f>
        <ns0:v>0</ns0:v>
      </ns0:c>
      <ns0:c r="K34" s="112" t="n">
        <ns0:v>17</ns0:v>
      </ns0:c>
      <ns0:c r="L34" s="112" t="n">
        <ns0:f>SUMIFS('装量配置'!$E$6:$E$718,'装量配置'!$A$6:$A$718,A34,'装量配置'!$B$6:$B$718,"开局",'装量配置'!$F$6:$F$718,4,'装量配置'!$G$6:$G$718,0,'装量配置'!$D$6:$D$718,"&lt;&gt;广告锁定周转盒")</ns0:f>
        <ns0:v>0</ns0:v>
      </ns0:c>
      <ns0:c r="M34" s="112" t="n">
        <ns0:f>SUMIFS('装量配置'!$E$6:$E$718,'装量配置'!$A$6:$A$718,A34,'装量配置'!$B$6:$B$718,"开局",'装量配置'!$F$6:$F$718,1)</ns0:f>
        <ns0:v>1</ns0:v>
      </ns0:c>
      <ns0:c r="N34" s="112" t="n">
        <ns0:f>SUMIFS('装量配置'!$E$6:$E$718,'装量配置'!$A$6:$A$718,A34,'装量配置'!$B$6:$B$718,"开局",'装量配置'!$D$6:$D$718,"广告锁定周转盒")</ns0:f>
        <ns0:v>2</ns0:v>
      </ns0:c>
      <ns0:c r="O34" s="112" t="n">
        <ns0:f>SUMIFS('装量配置'!$E$6:$E$718,'装量配置'!$A$6:$A$718,A34,'装量配置'!$B$6:$B$718,"开局")</ns0:f>
        <ns0:v>22</ns0:v>
      </ns0:c>
      <ns0:c r="P34" s="112" t="n">
        <ns0:f>SUMIFS('装量配置'!$K$6:$K$718,'装量配置'!$A$6:$A$718,A34)</ns0:f>
        <ns0:v>0</ns0:v>
      </ns0:c>
      <ns0:c r="Q34" s="112" t="n">
        <ns0:v>5</ns0:v>
      </ns0:c>
      <ns0:c r="R34" s="113" t="n">
        <ns0:v>0</ns0:v>
      </ns0:c>
      <ns0:c r="S34" s="113" t="n">
        <ns0:v>0</ns0:v>
      </ns0:c>
      <ns0:c r="T34" s="112" t="n">
        <ns0:v>4</ns0:v>
      </ns0:c>
      <ns0:c r="U34" s="112" t="n">
        <ns0:v>0</ns0:v>
      </ns0:c>
      <ns0:c r="V34" s="124" t="str">
        <ns0:v>普通冰冻盒</ns0:v>
      </ns0:c>
      <ns0:c r="W34" s="124" t="str">
        <ns0:v>数字盖盒＋单颗暂存盒</ns0:v>
      </ns0:c>
      <ns0:c r="X34" s="124" t="str">
        <ns0:v>普通冰冻盒0×1；普通冰冻盒0×1；数字盖盒2×1；单颗暂存盒×1（装1颗）</ns0:v>
      </ns0:c>
      <ns0:c r="Y34" s="112" t="n">
        <ns0:f>SUMIFS('装量配置'!$I$6:$I$718,'装量配置'!$A$6:$A$718,A34)</ns0:f>
        <ns0:v>68</ns0:v>
      </ns0:c>
      <ns0:c r="Z34" s="112" t="str">
        <ns0:f>IF(AND(O34&lt;=25,N34=2,Y34=K34*4,H34&lt;=K34,P34+AT34&gt;=4,COUNTIFS('装量配置'!$A$6:$A$718,A34,'装量配置'!$O$6:$O$718,"需调整")=0),"装量通过；待逐味","需调整")</ns0:f>
        <ns0:v>装量通过；待逐味</ns0:v>
      </ns0:c>
      <ns0:c r="AA34" s="107" t="str">
        <ns0:v>已找到完整可行路线</ns0:v>
      </ns0:c>
      <ns0:c r="AB34" s="107"/>
      <ns0:c r="AC34" s="107"/>
      <ns0:c r="AD34" s="113"/>
      <ns0:c r="AE34" s="114" t="n">
        <ns0:v>6</ns0:v>
      </ns0:c>
      <ns0:c r="AF34" s="109"/>
      <ns0:c r="AG34" s="109"/>
      <ns0:c r="AH34" s="110"/>
      <ns0:c r="AI34" s="131" t="str">
        <ns0:v>层序已制作；真人难度待测</ns0:v>
      </ns0:c>
      <ns0:c r="AJ34" s="124" t="str">
        <ns0:v>用户确认温和波动方案；可行解非最短；真实验收见R2实施记录</ns0:v>
      </ns0:c>
      <ns0:c r="AK34" s="124" t="str">
        <ns0:v>按盒数连续紧凑分排</ns0:v>
      </ns0:c>
      <ns0:c r="AL34" s="112" t="n">
        <ns0:v>0</ns0:v>
      </ns0:c>
      <ns0:c r="AM34" s="113"/>
      <ns0:c r="AN34" s="112"/>
      <ns0:c r="AO34" s="113"/>
      <ns0:c r="AP34" s="124" t="str">
        <ns0:v>四种周转条件完整回放见实施记录</ns0:v>
      </ns0:c>
      <ns0:c r="AQ34" s="107"/>
      <ns0:c r="AR34" s="120" t="n">
        <ns0:f>SUMIFS('装量配置'!$I$6:$I$718,'装量配置'!$A$6:$A$718,A34,'装量配置'!$B$6:$B$718,"开局")</ns0:f>
        <ns0:v>68</ns0:v>
      </ns0:c>
      <ns0:c r="AS34" s="132" t="n">
        <ns0:f>SUMIFS('装量配置'!$I$6:$I$718,'装量配置'!$A$6:$A$718,A34,'装量配置'!$B$6:$B$718,"开局",'装量配置'!$D$6:$D$718,"普通盒",'装量配置'!$G$6:$G$718,"&gt;0")/(4*SUMIFS('装量配置'!$E$6:$E$718,'装量配置'!$A$6:$A$718,A34,'装量配置'!$B$6:$B$718,"开局",'装量配置'!$D$6:$D$718,"普通盒",'装量配置'!$G$6:$G$718,"&gt;0"))</ns0:f>
        <ns0:v>0.859375</ns0:v>
      </ns0:c>
      <ns0:c r="AT34" s="120" t="n">
        <ns0:f>SUMIFS('装量配置'!$L$6:$L$718,'装量配置'!$A$6:$A$718,A34)</ns0:f>
        <ns0:v>9</ns0:v>
      </ns0:c>
      <ns0:c r="AU34" s="120" t="n">
        <ns0:f>SUMIFS('装量配置'!$M$6:$M$718,'装量配置'!$A$6:$A$718,A34)</ns0:f>
        <ns0:v>0</ns0:v>
      </ns0:c>
      <ns0:c r="AV34" s="120" t="n">
        <ns0:f>SUMIFS('装量配置'!$N$6:$N$718,'装量配置'!$A$6:$A$718,A34)</ns0:f>
        <ns0:v>0</ns0:v>
      </ns0:c>
      <ns0:c r="AW34" s="132" t="n">
        <ns0:v>0.18</ns0:v>
      </ns0:c>
      <ns0:c r="AX34" s="120" t="n">
        <ns0:v>5</ns0:v>
      </ns0:c>
      <ns0:c r="AY34" s="120" t="n">
        <ns0:v>0</ns0:v>
      </ns0:c>
      <ns0:c r="AZ34" s="120" t="n">
        <ns0:f>SUMIFS('装量配置'!$E$6:$E$718,'装量配置'!$A$6:$A$718,A34,'装量配置'!$B$6:$B$718,"开局",'装量配置'!$D$6:$D$718,"&lt;&gt;普通盒",'装量配置'!$D$6:$D$718,"&lt;&gt;广告锁定周转盒")</ns0:f>
        <ns0:v>4</ns0:v>
      </ns0:c>
      <ns0:c r="BA34" s="149" t="n">
        <ns0:f>IF(COUNTIFS('装量配置'!$A$6:$A$718,A34,'装量配置'!$B$6:$B$718,"开局",'装量配置'!$D$6:$D$718,"数字盖盒",'装量配置'!$E$6:$E$718,"&gt;0")&gt;0,1,0)+IF(COUNTIFS('装量配置'!$A$6:$A$718,A34,'装量配置'!$B$6:$B$718,"开局",'装量配置'!$D$6:$D$718,"普通冰冻盒",'装量配置'!$E$6:$E$718,"&gt;0")&gt;0,1,0)+IF(COUNTIFS('装量配置'!$A$6:$A$718,A34,'装量配置'!$B$6:$B$718,"开局",'装量配置'!$D$6:$D$718,"单颗暂存盒",'装量配置'!$E$6:$E$718,"&gt;0")&gt;0,1,0)+IF(COUNTIFS('装量配置'!$A$6:$A$718,A34,'装量配置'!$B$6:$B$718,"开局",'装量配置'!$D$6:$D$718,"数字冰冻盒",'装量配置'!$E$6:$E$718,"&gt;0")&gt;0,1,0)+IF(COUNTIFS('装量配置'!$A$6:$A$718,A34,'装量配置'!$B$6:$B$718,"开局",'装量配置'!$D$6:$D$718,"固定颜色盒",'装量配置'!$E$6:$E$718,"&gt;0")&gt;0,1,0)+IF(COUNTIFS('装量配置'!$A$6:$A$718,A34,'装量配置'!$B$6:$B$718,"开局",'装量配置'!$D$6:$D$718,"单向收纳盒",'装量配置'!$E$6:$E$718,"&gt;0")&gt;0,1,0)+IF(COUNTIFS('装量配置'!$A$6:$A$718,A34,'装量配置'!$B$6:$B$718,"开局",'装量配置'!$D$6:$D$718,"底部置顶盒",'装量配置'!$E$6:$E$718,"&gt;0")&gt;0,1,0)+IF(COUNTIFS('装量配置'!$A$6:$A$718,A34,'装量配置'!$B$6:$B$718,"开局",'装量配置'!$D$6:$D$718,"炸弹盒",'装量配置'!$E$6:$E$718,"&gt;0")&gt;0,1,0)</ns0:f>
        <ns0:v>3</ns0:v>
      </ns0:c>
      <ns0:c r="BB34" s="149" t="n">
        <ns0:f>SUMIFS('装量配置'!$E$6:$E$718,'装量配置'!$A$6:$A$718,A34,'装量配置'!$B$6:$B$718,"开局",'装量配置'!$D$6:$D$718,"数字盖盒")+SUMIFS('装量配置'!$E$6:$E$718,'装量配置'!$A$6:$A$718,A34,'装量配置'!$B$6:$B$718,"开局",'装量配置'!$D$6:$D$718,"普通冰冻盒")+SUMIFS('装量配置'!$E$6:$E$718,'装量配置'!$A$6:$A$718,A34,'装量配置'!$B$6:$B$718,"开局",'装量配置'!$D$6:$D$718,"数字冰冻盒")</ns0:f>
        <ns0:v>3</ns0:v>
      </ns0:c>
      <ns0:c r="BC34" s="149" t="n">
        <ns0:f>SUMIFS('装量配置'!$R$6:$R$718,'装量配置'!$A$6:$A$718,A34,'装量配置'!$B$6:$B$718,"开局")</ns0:f>
        <ns0:v>2</ns0:v>
      </ns0:c>
      <ns0:c r="BD34" s="146" t="str">
        <ns0:v>预放暂存先移出，安排归纳开盖与回收解冻</ns0:v>
      </ns0:c>
      <ns0:c r="BE34" s="149" t="n">
        <ns0:v>4</ns0:v>
      </ns0:c>
      <ns0:c r="BF34" s="146" t="str">
        <ns0:v>基线路线验证；非所有路线下限</ns0:v>
      </ns0:c>
    </ns0:row>
    <ns0:row r="35" ht="33" customHeight="1">
      <ns0:c r="A35" s="105" t="n">
        <ns0:v>30</ns0:v>
      </ns0:c>
      <ns0:c r="B35" s="117" t="str">
        <ns0:v>数字冰冻盒</ns0:v>
      </ns0:c>
      <ns0:c r="C35" s="126" t="str">
        <ns0:v>归纳解冻复习</ns0:v>
      </ns0:c>
      <ns0:c r="D35" s="108" t="n">
        <ns0:v>4.7</ns0:v>
      </ns0:c>
      <ns0:c r="E35" s="123" t="str">
        <ns0:v>颜色层序与接收空间</ns0:v>
      </ns0:c>
      <ns0:c r="F35" s="123" t="str">
        <ns0:v>机关释放与订单顺序</ns0:v>
      </ns0:c>
      <ns0:c r="G35" s="105" t="str">
        <ns0:v>整齐</ns0:v>
      </ns0:c>
      <ns0:c r="H35" s="105" t="n">
        <ns0:v>8</ns0:v>
      </ns0:c>
      <ns0:c r="I35" s="105" t="n">
        <ns0:f>SUMIFS('装量配置'!$E$6:$E$718,'装量配置'!$A$6:$A$718,A35,'装量配置'!$B$6:$B$718,"开局",'装量配置'!$F$6:$F$718,4,'装量配置'!$G$6:$G$718,"&gt;0")</ns0:f>
        <ns0:v>17</ns0:v>
      </ns0:c>
      <ns0:c r="J35" s="105" t="n">
        <ns0:f>SUMIFS('装量配置'!$E$6:$E$718,'装量配置'!$A$6:$A$718,A35,'装量配置'!$B$6:$B$718,"备货")</ns0:f>
        <ns0:v>0</ns0:v>
      </ns0:c>
      <ns0:c r="K35" s="105" t="n">
        <ns0:v>16</ns0:v>
      </ns0:c>
      <ns0:c r="L35" s="105" t="n">
        <ns0:f>SUMIFS('装量配置'!$E$6:$E$718,'装量配置'!$A$6:$A$718,A35,'装量配置'!$B$6:$B$718,"开局",'装量配置'!$F$6:$F$718,4,'装量配置'!$G$6:$G$718,0,'装量配置'!$D$6:$D$718,"&lt;&gt;广告锁定周转盒")</ns0:f>
        <ns0:v>1</ns0:v>
      </ns0:c>
      <ns0:c r="M35" s="105" t="n">
        <ns0:f>SUMIFS('装量配置'!$E$6:$E$718,'装量配置'!$A$6:$A$718,A35,'装量配置'!$B$6:$B$718,"开局",'装量配置'!$F$6:$F$718,1)</ns0:f>
        <ns0:v>1</ns0:v>
      </ns0:c>
      <ns0:c r="N35" s="105" t="n">
        <ns0:f>SUMIFS('装量配置'!$E$6:$E$718,'装量配置'!$A$6:$A$718,A35,'装量配置'!$B$6:$B$718,"开局",'装量配置'!$D$6:$D$718,"广告锁定周转盒")</ns0:f>
        <ns0:v>2</ns0:v>
      </ns0:c>
      <ns0:c r="O35" s="105" t="n">
        <ns0:f>SUMIFS('装量配置'!$E$6:$E$718,'装量配置'!$A$6:$A$718,A35,'装量配置'!$B$6:$B$718,"开局")</ns0:f>
        <ns0:v>21</ns0:v>
      </ns0:c>
      <ns0:c r="P35" s="105" t="n">
        <ns0:f>SUMIFS('装量配置'!$K$6:$K$718,'装量配置'!$A$6:$A$718,A35)</ns0:f>
        <ns0:v>5</ns0:v>
      </ns0:c>
      <ns0:c r="Q35" s="105" t="n">
        <ns0:v>4</ns0:v>
      </ns0:c>
      <ns0:c r="R35" s="106" t="n">
        <ns0:v>0</ns0:v>
      </ns0:c>
      <ns0:c r="S35" s="106" t="n">
        <ns0:v>0</ns0:v>
      </ns0:c>
      <ns0:c r="T35" s="105" t="n">
        <ns0:v>3</ns0:v>
      </ns0:c>
      <ns0:c r="U35" s="105" t="n">
        <ns0:v>0</ns0:v>
      </ns0:c>
      <ns0:c r="V35" s="123" t="str">
        <ns0:v>数字冰冻盒</ns0:v>
      </ns0:c>
      <ns0:c r="W35" s="123" t="str">
        <ns0:v>单颗暂存盒</ns0:v>
      </ns0:c>
      <ns0:c r="X35" s="123" t="str">
        <ns0:v>数字冰冻盒1×1；数字冰冻盒1×1；单颗暂存盒×1（装0颗）</ns0:v>
      </ns0:c>
      <ns0:c r="Y35" s="105" t="n">
        <ns0:f>SUMIFS('装量配置'!$I$6:$I$718,'装量配置'!$A$6:$A$718,A35)</ns0:f>
        <ns0:v>64</ns0:v>
      </ns0:c>
      <ns0:c r="Z35" s="105" t="str">
        <ns0:f>IF(AND(O35&lt;=25,N35=2,Y35=K35*4,H35&lt;=K35,P35+AT35&gt;=4,COUNTIFS('装量配置'!$A$6:$A$718,A35,'装量配置'!$O$6:$O$718,"需调整")=0),"装量通过；待逐味","需调整")</ns0:f>
        <ns0:v>装量通过；待逐味</ns0:v>
      </ns0:c>
      <ns0:c r="AA35" s="107" t="str">
        <ns0:v>已找到完整可行路线</ns0:v>
      </ns0:c>
      <ns0:c r="AB35" s="107"/>
      <ns0:c r="AC35" s="107"/>
      <ns0:c r="AD35" s="106"/>
      <ns0:c r="AE35" s="108" t="n">
        <ns0:v>6</ns0:v>
      </ns0:c>
      <ns0:c r="AF35" s="109"/>
      <ns0:c r="AG35" s="109"/>
      <ns0:c r="AH35" s="110"/>
      <ns0:c r="AI35" s="131" t="str">
        <ns0:v>层序已制作；真人难度待测</ns0:v>
      </ns0:c>
      <ns0:c r="AJ35" s="123" t="str">
        <ns0:v>用户确认温和波动方案；可行解非最短；真实验收见R2实施记录</ns0:v>
      </ns0:c>
      <ns0:c r="AK35" s="123" t="str">
        <ns0:v>按盒数连续紧凑分排</ns0:v>
      </ns0:c>
      <ns0:c r="AL35" s="105" t="n">
        <ns0:v>0</ns0:v>
      </ns0:c>
      <ns0:c r="AM35" s="106"/>
      <ns0:c r="AN35" s="107"/>
      <ns0:c r="AO35" s="110"/>
      <ns0:c r="AP35" s="123" t="str">
        <ns0:v>四种周转条件完整回放见实施记录</ns0:v>
      </ns0:c>
      <ns0:c r="AQ35" s="107"/>
      <ns0:c r="AR35" s="121" t="n">
        <ns0:f>SUMIFS('装量配置'!$I$6:$I$718,'装量配置'!$A$6:$A$718,A35,'装量配置'!$B$6:$B$718,"开局")</ns0:f>
        <ns0:v>64</ns0:v>
      </ns0:c>
      <ns0:c r="AS35" s="133" t="n">
        <ns0:f>SUMIFS('装量配置'!$I$6:$I$718,'装量配置'!$A$6:$A$718,A35,'装量配置'!$B$6:$B$718,"开局",'装量配置'!$D$6:$D$718,"普通盒",'装量配置'!$G$6:$G$718,"&gt;0")/(4*SUMIFS('装量配置'!$E$6:$E$718,'装量配置'!$A$6:$A$718,A35,'装量配置'!$B$6:$B$718,"开局",'装量配置'!$D$6:$D$718,"普通盒",'装量配置'!$G$6:$G$718,"&gt;0"))</ns0:f>
        <ns0:v>0.9333333333333333</ns0:v>
      </ns0:c>
      <ns0:c r="AT35" s="121" t="n">
        <ns0:f>SUMIFS('装量配置'!$L$6:$L$718,'装量配置'!$A$6:$A$718,A35)</ns0:f>
        <ns0:v>4</ns0:v>
      </ns0:c>
      <ns0:c r="AU35" s="121" t="n">
        <ns0:f>SUMIFS('装量配置'!$M$6:$M$718,'装量配置'!$A$6:$A$718,A35)</ns0:f>
        <ns0:v>0</ns0:v>
      </ns0:c>
      <ns0:c r="AV35" s="121" t="n">
        <ns0:f>SUMIFS('装量配置'!$N$6:$N$718,'装量配置'!$A$6:$A$718,A35)</ns0:f>
        <ns0:v>0</ns0:v>
      </ns0:c>
      <ns0:c r="AW35" s="133" t="n">
        <ns0:v>0.18</ns0:v>
      </ns0:c>
      <ns0:c r="AX35" s="121" t="n">
        <ns0:v>4</ns0:v>
      </ns0:c>
      <ns0:c r="AY35" s="121" t="n">
        <ns0:v>0</ns0:v>
      </ns0:c>
      <ns0:c r="AZ35" s="121" t="n">
        <ns0:f>SUMIFS('装量配置'!$E$6:$E$718,'装量配置'!$A$6:$A$718,A35,'装量配置'!$B$6:$B$718,"开局",'装量配置'!$D$6:$D$718,"&lt;&gt;普通盒",'装量配置'!$D$6:$D$718,"&lt;&gt;广告锁定周转盒")</ns0:f>
        <ns0:v>3</ns0:v>
      </ns0:c>
      <ns0:c r="BA35" s="150" t="n">
        <ns0:f>IF(COUNTIFS('装量配置'!$A$6:$A$718,A35,'装量配置'!$B$6:$B$718,"开局",'装量配置'!$D$6:$D$718,"数字盖盒",'装量配置'!$E$6:$E$718,"&gt;0")&gt;0,1,0)+IF(COUNTIFS('装量配置'!$A$6:$A$718,A35,'装量配置'!$B$6:$B$718,"开局",'装量配置'!$D$6:$D$718,"普通冰冻盒",'装量配置'!$E$6:$E$718,"&gt;0")&gt;0,1,0)+IF(COUNTIFS('装量配置'!$A$6:$A$718,A35,'装量配置'!$B$6:$B$718,"开局",'装量配置'!$D$6:$D$718,"单颗暂存盒",'装量配置'!$E$6:$E$718,"&gt;0")&gt;0,1,0)+IF(COUNTIFS('装量配置'!$A$6:$A$718,A35,'装量配置'!$B$6:$B$718,"开局",'装量配置'!$D$6:$D$718,"数字冰冻盒",'装量配置'!$E$6:$E$718,"&gt;0")&gt;0,1,0)+IF(COUNTIFS('装量配置'!$A$6:$A$718,A35,'装量配置'!$B$6:$B$718,"开局",'装量配置'!$D$6:$D$718,"固定颜色盒",'装量配置'!$E$6:$E$718,"&gt;0")&gt;0,1,0)+IF(COUNTIFS('装量配置'!$A$6:$A$718,A35,'装量配置'!$B$6:$B$718,"开局",'装量配置'!$D$6:$D$718,"单向收纳盒",'装量配置'!$E$6:$E$718,"&gt;0")&gt;0,1,0)+IF(COUNTIFS('装量配置'!$A$6:$A$718,A35,'装量配置'!$B$6:$B$718,"开局",'装量配置'!$D$6:$D$718,"底部置顶盒",'装量配置'!$E$6:$E$718,"&gt;0")&gt;0,1,0)+IF(COUNTIFS('装量配置'!$A$6:$A$718,A35,'装量配置'!$B$6:$B$718,"开局",'装量配置'!$D$6:$D$718,"炸弹盒",'装量配置'!$E$6:$E$718,"&gt;0")&gt;0,1,0)</ns0:f>
        <ns0:v>2</ns0:v>
      </ns0:c>
      <ns0:c r="BB35" s="150" t="n">
        <ns0:f>SUMIFS('装量配置'!$E$6:$E$718,'装量配置'!$A$6:$A$718,A35,'装量配置'!$B$6:$B$718,"开局",'装量配置'!$D$6:$D$718,"数字盖盒")+SUMIFS('装量配置'!$E$6:$E$718,'装量配置'!$A$6:$A$718,A35,'装量配置'!$B$6:$B$718,"开局",'装量配置'!$D$6:$D$718,"普通冰冻盒")+SUMIFS('装量配置'!$E$6:$E$718,'装量配置'!$A$6:$A$718,A35,'装量配置'!$B$6:$B$718,"开局",'装量配置'!$D$6:$D$718,"数字冰冻盒")</ns0:f>
        <ns0:v>2</ns0:v>
      </ns0:c>
      <ns0:c r="BC35" s="150" t="n">
        <ns0:f>SUMIFS('装量配置'!$R$6:$R$718,'装量配置'!$A$6:$A$718,A35,'装量配置'!$B$6:$B$718,"开局")</ns0:f>
        <ns0:v>2</ns0:v>
      </ns0:c>
      <ns0:c r="BD35" s="148" t="str">
        <ns0:v>数字冰冻逐个由新归纳解除，暂存辅助</ns0:v>
      </ns0:c>
      <ns0:c r="BE35" s="150" t="n">
        <ns0:v>2</ns0:v>
      </ns0:c>
      <ns0:c r="BF35" s="148" t="str">
        <ns0:v>基线路线验证；非所有路线下限</ns0:v>
      </ns0:c>
    </ns0:row>
    <ns0:row r="36" ht="33" customHeight="1">
      <ns0:c r="A36" s="97" t="n">
        <ns0:v>31</ns0:v>
      </ns0:c>
      <ns0:c r="B36" s="115" t="str">
        <ns0:v>已学机制组合</ns0:v>
      </ns0:c>
      <ns0:c r="C36" s="125" t="str">
        <ns0:v>零空盒阶梯解冻</ns0:v>
      </ns0:c>
      <ns0:c r="D36" s="100" t="n">
        <ns0:v>4.8</ns0:v>
      </ns0:c>
      <ns0:c r="E36" s="122" t="str">
        <ns0:v>分散余量与订单次序</ns0:v>
      </ns0:c>
      <ns0:c r="F36" s="122" t="str">
        <ns0:v>机关与信息组合</ns0:v>
      </ns0:c>
      <ns0:c r="G36" s="97" t="str">
        <ns0:v>整齐</ns0:v>
      </ns0:c>
      <ns0:c r="H36" s="97" t="n">
        <ns0:v>8</ns0:v>
      </ns0:c>
      <ns0:c r="I36" s="97" t="n">
        <ns0:f>SUMIFS('装量配置'!$E$6:$E$718,'装量配置'!$A$6:$A$718,A36,'装量配置'!$B$6:$B$718,"开局",'装量配置'!$F$6:$F$718,4,'装量配置'!$G$6:$G$718,"&gt;0")</ns0:f>
        <ns0:v>18</ns0:v>
      </ns0:c>
      <ns0:c r="J36" s="97" t="n">
        <ns0:f>SUMIFS('装量配置'!$E$6:$E$718,'装量配置'!$A$6:$A$718,A36,'装量配置'!$B$6:$B$718,"备货")</ns0:f>
        <ns0:v>0</ns0:v>
      </ns0:c>
      <ns0:c r="K36" s="97" t="n">
        <ns0:v>16</ns0:v>
      </ns0:c>
      <ns0:c r="L36" s="97" t="n">
        <ns0:f>SUMIFS('装量配置'!$E$6:$E$718,'装量配置'!$A$6:$A$718,A36,'装量配置'!$B$6:$B$718,"开局",'装量配置'!$F$6:$F$718,4,'装量配置'!$G$6:$G$718,0,'装量配置'!$D$6:$D$718,"&lt;&gt;广告锁定周转盒")</ns0:f>
        <ns0:v>0</ns0:v>
      </ns0:c>
      <ns0:c r="M36" s="97" t="n">
        <ns0:f>SUMIFS('装量配置'!$E$6:$E$718,'装量配置'!$A$6:$A$718,A36,'装量配置'!$B$6:$B$718,"开局",'装量配置'!$F$6:$F$718,1)</ns0:f>
        <ns0:v>1</ns0:v>
      </ns0:c>
      <ns0:c r="N36" s="97" t="n">
        <ns0:f>SUMIFS('装量配置'!$E$6:$E$718,'装量配置'!$A$6:$A$718,A36,'装量配置'!$B$6:$B$718,"开局",'装量配置'!$D$6:$D$718,"广告锁定周转盒")</ns0:f>
        <ns0:v>2</ns0:v>
      </ns0:c>
      <ns0:c r="O36" s="97" t="n">
        <ns0:f>SUMIFS('装量配置'!$E$6:$E$718,'装量配置'!$A$6:$A$718,A36,'装量配置'!$B$6:$B$718,"开局")</ns0:f>
        <ns0:v>21</ns0:v>
      </ns0:c>
      <ns0:c r="P36" s="97" t="n">
        <ns0:f>SUMIFS('装量配置'!$K$6:$K$718,'装量配置'!$A$6:$A$718,A36)</ns0:f>
        <ns0:v>1</ns0:v>
      </ns0:c>
      <ns0:c r="Q36" s="97" t="n">
        <ns0:v>4</ns0:v>
      </ns0:c>
      <ns0:c r="R36" s="98" t="n">
        <ns0:v>0</ns0:v>
      </ns0:c>
      <ns0:c r="S36" s="98" t="n">
        <ns0:v>0.12</ns0:v>
      </ns0:c>
      <ns0:c r="T36" s="97" t="n">
        <ns0:v>4</ns0:v>
      </ns0:c>
      <ns0:c r="U36" s="97" t="n">
        <ns0:v>0</ns0:v>
      </ns0:c>
      <ns0:c r="V36" s="122" t="str">
        <ns0:v>数字冰冻盒</ns0:v>
      </ns0:c>
      <ns0:c r="W36" s="122" t="str">
        <ns0:v>数字冰冻盒、单颗暂存盒</ns0:v>
      </ns0:c>
      <ns0:c r="X36" s="122" t="str">
        <ns0:v>数字冰冻盒×1（2）；数字冰冻盒×1（1）；单颗暂存盒初装0颗；隐藏0颗；备货0盒</ns0:v>
      </ns0:c>
      <ns0:c r="Y36" s="97" t="n">
        <ns0:f>SUMIFS('装量配置'!$I$6:$I$718,'装量配置'!$A$6:$A$718,A36)</ns0:f>
        <ns0:v>64</ns0:v>
      </ns0:c>
      <ns0:c r="Z36" s="97" t="str">
        <ns0:f>IF(AND(O36&lt;=25,N36=2,Y36=K36*4,H36&lt;=K36,P36+AT36&gt;=4,COUNTIFS('装量配置'!$A$6:$A$718,A36,'装量配置'!$O$6:$O$718,"需调整")=0),"装量通过；待逐味","需调整")</ns0:f>
        <ns0:v>装量通过；待逐味</ns0:v>
      </ns0:c>
      <ns0:c r="AA36" s="99" t="str">
        <ns0:v>已找到无辅助可行解 51 次；非最短</ns0:v>
      </ns0:c>
      <ns0:c r="AB36" s="99"/>
      <ns0:c r="AC36" s="99"/>
      <ns0:c r="AD36" s="98"/>
      <ns0:c r="AE36" s="100"/>
      <ns0:c r="AF36" s="101"/>
      <ns0:c r="AG36" s="101"/>
      <ns0:c r="AH36" s="102"/>
      <ns0:c r="AI36" s="130" t="str">
        <ns0:v>固定层序已制作；正式引擎验证见实施记录</ns0:v>
      </ns0:c>
      <ns0:c r="AJ36" s="122" t="str">
        <ns0:v>31–40续接方案；按固定装量制作层序与订单；设计难度为目标，不代表实测。</ns0:v>
      </ns0:c>
      <ns0:c r="AK36" s="122" t="str">
        <ns0:v>连续居中紧凑行列；每排最多五盒；不挖中间空洞</ns0:v>
      </ns0:c>
      <ns0:c r="AL36" s="97" t="n">
        <ns0:v>1</ns0:v>
      </ns0:c>
      <ns0:c r="AM36" s="98"/>
      <ns0:c r="AN36" s="97"/>
      <ns0:c r="AO36" s="98"/>
      <ns0:c r="AP36" s="122" t="str">
        <ns0:v>四条件可行路线已制作；见回放记录</ns0:v>
      </ns0:c>
      <ns0:c r="AQ36" s="99"/>
      <ns0:c r="AR36" s="120" t="n">
        <ns0:f>SUMIFS('装量配置'!$I$6:$I$718,'装量配置'!$A$6:$A$718,A36,'装量配置'!$B$6:$B$718,"开局")</ns0:f>
        <ns0:v>64</ns0:v>
      </ns0:c>
      <ns0:c r="AS36" s="132" t="n">
        <ns0:f>SUMIFS('装量配置'!$I$6:$I$718,'装量配置'!$A$6:$A$718,A36,'装量配置'!$B$6:$B$718,"开局",'装量配置'!$D$6:$D$718,"普通盒",'装量配置'!$G$6:$G$718,"&gt;0")/(4*SUMIFS('装量配置'!$E$6:$E$718,'装量配置'!$A$6:$A$718,A36,'装量配置'!$B$6:$B$718,"开局",'装量配置'!$D$6:$D$718,"普通盒",'装量配置'!$G$6:$G$718,"&gt;0"))</ns0:f>
        <ns0:v>0.875</ns0:v>
      </ns0:c>
      <ns0:c r="AT36" s="120" t="n">
        <ns0:f>SUMIFS('装量配置'!$L$6:$L$718,'装量配置'!$A$6:$A$718,A36)</ns0:f>
        <ns0:v>8</ns0:v>
      </ns0:c>
      <ns0:c r="AU36" s="120" t="n">
        <ns0:f>SUMIFS('装量配置'!$M$6:$M$718,'装量配置'!$A$6:$A$718,A36)</ns0:f>
        <ns0:v>0</ns0:v>
      </ns0:c>
      <ns0:c r="AV36" s="120" t="n">
        <ns0:f>SUMIFS('装量配置'!$N$6:$N$718,'装量配置'!$A$6:$A$718,A36)</ns0:f>
        <ns0:v>0</ns0:v>
      </ns0:c>
      <ns0:c r="AW36" s="132" t="n">
        <ns0:v>0.18</ns0:v>
      </ns0:c>
      <ns0:c r="AX36" s="120" t="n">
        <ns0:v>5</ns0:v>
      </ns0:c>
      <ns0:c r="AY36" s="120" t="n">
        <ns0:f>IF(AX36=1,1,0)</ns0:f>
        <ns0:v>0</ns0:v>
      </ns0:c>
      <ns0:c r="AZ36" s="120" t="n">
        <ns0:f>SUMIFS('装量配置'!$E$6:$E$718,'装量配置'!$A$6:$A$718,A36,'装量配置'!$B$6:$B$718,"开局",'装量配置'!$D$6:$D$718,"&lt;&gt;普通盒",'装量配置'!$D$6:$D$718,"&lt;&gt;广告锁定周转盒")</ns0:f>
        <ns0:v>3</ns0:v>
      </ns0:c>
      <ns0:c r="BA36" s="149" t="n">
        <ns0:f>IF(COUNTIFS('装量配置'!$A$6:$A$718,A36,'装量配置'!$B$6:$B$718,"开局",'装量配置'!$D$6:$D$718,"数字盖盒",'装量配置'!$E$6:$E$718,"&gt;0")&gt;0,1,0)+IF(COUNTIFS('装量配置'!$A$6:$A$718,A36,'装量配置'!$B$6:$B$718,"开局",'装量配置'!$D$6:$D$718,"普通冰冻盒",'装量配置'!$E$6:$E$718,"&gt;0")&gt;0,1,0)+IF(COUNTIFS('装量配置'!$A$6:$A$718,A36,'装量配置'!$B$6:$B$718,"开局",'装量配置'!$D$6:$D$718,"单颗暂存盒",'装量配置'!$E$6:$E$718,"&gt;0")&gt;0,1,0)+IF(COUNTIFS('装量配置'!$A$6:$A$718,A36,'装量配置'!$B$6:$B$718,"开局",'装量配置'!$D$6:$D$718,"数字冰冻盒",'装量配置'!$E$6:$E$718,"&gt;0")&gt;0,1,0)+IF(COUNTIFS('装量配置'!$A$6:$A$718,A36,'装量配置'!$B$6:$B$718,"开局",'装量配置'!$D$6:$D$718,"固定颜色盒",'装量配置'!$E$6:$E$718,"&gt;0")&gt;0,1,0)+IF(COUNTIFS('装量配置'!$A$6:$A$718,A36,'装量配置'!$B$6:$B$718,"开局",'装量配置'!$D$6:$D$718,"单向收纳盒",'装量配置'!$E$6:$E$718,"&gt;0")&gt;0,1,0)+IF(COUNTIFS('装量配置'!$A$6:$A$718,A36,'装量配置'!$B$6:$B$718,"开局",'装量配置'!$D$6:$D$718,"底部置顶盒",'装量配置'!$E$6:$E$718,"&gt;0")&gt;0,1,0)+IF(COUNTIFS('装量配置'!$A$6:$A$718,A36,'装量配置'!$B$6:$B$718,"开局",'装量配置'!$D$6:$D$718,"炸弹盒",'装量配置'!$E$6:$E$718,"&gt;0")&gt;0,1,0)</ns0:f>
        <ns0:v>2</ns0:v>
      </ns0:c>
      <ns0:c r="BB36" s="149" t="n">
        <ns0:f>SUMIFS('装量配置'!$E$6:$E$718,'装量配置'!$A$6:$A$718,A36,'装量配置'!$B$6:$B$718,"开局",'装量配置'!$D$6:$D$718,"数字盖盒")+SUMIFS('装量配置'!$E$6:$E$718,'装量配置'!$A$6:$A$718,A36,'装量配置'!$B$6:$B$718,"开局",'装量配置'!$D$6:$D$718,"普通冰冻盒")+SUMIFS('装量配置'!$E$6:$E$718,'装量配置'!$A$6:$A$718,A36,'装量配置'!$B$6:$B$718,"开局",'装量配置'!$D$6:$D$718,"数字冰冻盒")</ns0:f>
        <ns0:v>2</ns0:v>
      </ns0:c>
      <ns0:c r="BC36" s="149" t="n">
        <ns0:f>SUMIFS('装量配置'!$R$6:$R$718,'装量配置'!$A$6:$A$718,A36,'装量配置'!$B$6:$B$718,"开局")</ns0:f>
        <ns0:v>3</ns0:v>
      </ns0:c>
      <ns0:c r="BD36" s="146" t="str">
        <ns0:v>零空盒阶梯解冻；完整无辅助路线实际使用机关和暂存，难度评分待真人试玩。</ns0:v>
      </ns0:c>
      <ns0:c r="BE36" s="149" t="n">
        <ns0:v>3</ns0:v>
      </ns0:c>
      <ns0:c r="BF36" s="146" t="str">
        <ns0:v>基线路线中段腾位 4 段；非所有路径</ns0:v>
      </ns0:c>
    </ns0:row>
    <ns0:row r="37" ht="33" customHeight="1">
      <ns0:c r="A37" s="105" t="n">
        <ns0:v>32</ns0:v>
      </ns0:c>
      <ns0:c r="B37" s="117" t="str">
        <ns0:v>已学机制组合</ns0:v>
      </ns0:c>
      <ns0:c r="C37" s="126" t="str">
        <ns0:v>七味回落</ns0:v>
      </ns0:c>
      <ns0:c r="D37" s="108" t="n">
        <ns0:v>4.6</ns0:v>
      </ns0:c>
      <ns0:c r="E37" s="123" t="str">
        <ns0:v>分散余量与订单次序</ns0:v>
      </ns0:c>
      <ns0:c r="F37" s="123" t="str">
        <ns0:v>机关与信息组合</ns0:v>
      </ns0:c>
      <ns0:c r="G37" s="105" t="str">
        <ns0:v>整齐</ns0:v>
      </ns0:c>
      <ns0:c r="H37" s="105" t="n">
        <ns0:v>7</ns0:v>
      </ns0:c>
      <ns0:c r="I37" s="105" t="n">
        <ns0:f>SUMIFS('装量配置'!$E$6:$E$718,'装量配置'!$A$6:$A$718,A37,'装量配置'!$B$6:$B$718,"开局",'装量配置'!$F$6:$F$718,4,'装量配置'!$G$6:$G$718,"&gt;0")</ns0:f>
        <ns0:v>16</ns0:v>
      </ns0:c>
      <ns0:c r="J37" s="105" t="n">
        <ns0:f>SUMIFS('装量配置'!$E$6:$E$718,'装量配置'!$A$6:$A$718,A37,'装量配置'!$B$6:$B$718,"备货")</ns0:f>
        <ns0:v>0</ns0:v>
      </ns0:c>
      <ns0:c r="K37" s="105" t="n">
        <ns0:v>15</ns0:v>
      </ns0:c>
      <ns0:c r="L37" s="105" t="n">
        <ns0:f>SUMIFS('装量配置'!$E$6:$E$718,'装量配置'!$A$6:$A$718,A37,'装量配置'!$B$6:$B$718,"开局",'装量配置'!$F$6:$F$718,4,'装量配置'!$G$6:$G$718,0,'装量配置'!$D$6:$D$718,"&lt;&gt;广告锁定周转盒")</ns0:f>
        <ns0:v>1</ns0:v>
      </ns0:c>
      <ns0:c r="M37" s="105" t="n">
        <ns0:f>SUMIFS('装量配置'!$E$6:$E$718,'装量配置'!$A$6:$A$718,A37,'装量配置'!$B$6:$B$718,"开局",'装量配置'!$F$6:$F$718,1)</ns0:f>
        <ns0:v>0</ns0:v>
      </ns0:c>
      <ns0:c r="N37" s="105" t="n">
        <ns0:f>SUMIFS('装量配置'!$E$6:$E$718,'装量配置'!$A$6:$A$718,A37,'装量配置'!$B$6:$B$718,"开局",'装量配置'!$D$6:$D$718,"广告锁定周转盒")</ns0:f>
        <ns0:v>2</ns0:v>
      </ns0:c>
      <ns0:c r="O37" s="105" t="n">
        <ns0:f>SUMIFS('装量配置'!$E$6:$E$718,'装量配置'!$A$6:$A$718,A37,'装量配置'!$B$6:$B$718,"开局")</ns0:f>
        <ns0:v>19</ns0:v>
      </ns0:c>
      <ns0:c r="P37" s="105" t="n">
        <ns0:f>SUMIFS('装量配置'!$K$6:$K$718,'装量配置'!$A$6:$A$718,A37)</ns0:f>
        <ns0:v>4</ns0:v>
      </ns0:c>
      <ns0:c r="Q37" s="105" t="n">
        <ns0:v>4</ns0:v>
      </ns0:c>
      <ns0:c r="R37" s="106" t="n">
        <ns0:v>0</ns0:v>
      </ns0:c>
      <ns0:c r="S37" s="106" t="n">
        <ns0:v>0.12</ns0:v>
      </ns0:c>
      <ns0:c r="T37" s="105" t="n">
        <ns0:v>4</ns0:v>
      </ns0:c>
      <ns0:c r="U37" s="105" t="n">
        <ns0:v>0</ns0:v>
      </ns0:c>
      <ns0:c r="V37" s="123" t="str">
        <ns0:v>数字冰冻盒</ns0:v>
      </ns0:c>
      <ns0:c r="W37" s="123"/>
      <ns0:c r="X37" s="123" t="str">
        <ns0:v>数字冰冻盒×1（1）；隐藏0颗；备货0盒</ns0:v>
      </ns0:c>
      <ns0:c r="Y37" s="105" t="n">
        <ns0:f>SUMIFS('装量配置'!$I$6:$I$718,'装量配置'!$A$6:$A$718,A37)</ns0:f>
        <ns0:v>60</ns0:v>
      </ns0:c>
      <ns0:c r="Z37" s="105" t="str">
        <ns0:f>IF(AND(O37&lt;=25,N37=2,Y37=K37*4,H37&lt;=K37,P37+AT37&gt;=4,COUNTIFS('装量配置'!$A$6:$A$718,A37,'装量配置'!$O$6:$O$718,"需调整")=0),"装量通过；待逐味","需调整")</ns0:f>
        <ns0:v>装量通过；待逐味</ns0:v>
      </ns0:c>
      <ns0:c r="AA37" s="107" t="str">
        <ns0:v>已找到无辅助可行解 51 次；非最短</ns0:v>
      </ns0:c>
      <ns0:c r="AB37" s="107"/>
      <ns0:c r="AC37" s="107"/>
      <ns0:c r="AD37" s="106"/>
      <ns0:c r="AE37" s="108"/>
      <ns0:c r="AF37" s="109"/>
      <ns0:c r="AG37" s="109"/>
      <ns0:c r="AH37" s="110"/>
      <ns0:c r="AI37" s="131" t="str">
        <ns0:v>固定层序已制作；正式引擎验证见实施记录</ns0:v>
      </ns0:c>
      <ns0:c r="AJ37" s="123" t="str">
        <ns0:v>31–40续接方案；按固定装量制作层序与订单；设计难度为目标，不代表实测。</ns0:v>
      </ns0:c>
      <ns0:c r="AK37" s="123" t="str">
        <ns0:v>连续居中紧凑行列；每排最多五盒；不挖中间空洞</ns0:v>
      </ns0:c>
      <ns0:c r="AL37" s="105" t="n">
        <ns0:v>1</ns0:v>
      </ns0:c>
      <ns0:c r="AM37" s="106"/>
      <ns0:c r="AN37" s="107"/>
      <ns0:c r="AO37" s="110"/>
      <ns0:c r="AP37" s="123" t="str">
        <ns0:v>四条件可行路线已制作；见回放记录</ns0:v>
      </ns0:c>
      <ns0:c r="AQ37" s="107"/>
      <ns0:c r="AR37" s="121" t="n">
        <ns0:f>SUMIFS('装量配置'!$I$6:$I$718,'装量配置'!$A$6:$A$718,A37,'装量配置'!$B$6:$B$718,"开局")</ns0:f>
        <ns0:v>60</ns0:v>
      </ns0:c>
      <ns0:c r="AS37" s="133" t="n">
        <ns0:f>SUMIFS('装量配置'!$I$6:$I$718,'装量配置'!$A$6:$A$718,A37,'装量配置'!$B$6:$B$718,"开局",'装量配置'!$D$6:$D$718,"普通盒",'装量配置'!$G$6:$G$718,"&gt;0")/(4*SUMIFS('装量配置'!$E$6:$E$718,'装量配置'!$A$6:$A$718,A37,'装量配置'!$B$6:$B$718,"开局",'装量配置'!$D$6:$D$718,"普通盒",'装量配置'!$G$6:$G$718,"&gt;0"))</ns0:f>
        <ns0:v>0.9333333333333333</ns0:v>
      </ns0:c>
      <ns0:c r="AT37" s="121" t="n">
        <ns0:f>SUMIFS('装量配置'!$L$6:$L$718,'装量配置'!$A$6:$A$718,A37)</ns0:f>
        <ns0:v>4</ns0:v>
      </ns0:c>
      <ns0:c r="AU37" s="121" t="n">
        <ns0:f>SUMIFS('装量配置'!$M$6:$M$718,'装量配置'!$A$6:$A$718,A37)</ns0:f>
        <ns0:v>0</ns0:v>
      </ns0:c>
      <ns0:c r="AV37" s="121" t="n">
        <ns0:f>SUMIFS('装量配置'!$N$6:$N$718,'装量配置'!$A$6:$A$718,A37)</ns0:f>
        <ns0:v>0</ns0:v>
      </ns0:c>
      <ns0:c r="AW37" s="133" t="n">
        <ns0:v>0.18</ns0:v>
      </ns0:c>
      <ns0:c r="AX37" s="121" t="n">
        <ns0:v>4</ns0:v>
      </ns0:c>
      <ns0:c r="AY37" s="121" t="n">
        <ns0:f>IF(AX37=1,1,0)</ns0:f>
        <ns0:v>0</ns0:v>
      </ns0:c>
      <ns0:c r="AZ37" s="121" t="n">
        <ns0:f>SUMIFS('装量配置'!$E$6:$E$718,'装量配置'!$A$6:$A$718,A37,'装量配置'!$B$6:$B$718,"开局",'装量配置'!$D$6:$D$718,"&lt;&gt;普通盒",'装量配置'!$D$6:$D$718,"&lt;&gt;广告锁定周转盒")</ns0:f>
        <ns0:v>1</ns0:v>
      </ns0:c>
      <ns0:c r="BA37" s="150" t="n">
        <ns0:f>IF(COUNTIFS('装量配置'!$A$6:$A$718,A37,'装量配置'!$B$6:$B$718,"开局",'装量配置'!$D$6:$D$718,"数字盖盒",'装量配置'!$E$6:$E$718,"&gt;0")&gt;0,1,0)+IF(COUNTIFS('装量配置'!$A$6:$A$718,A37,'装量配置'!$B$6:$B$718,"开局",'装量配置'!$D$6:$D$718,"普通冰冻盒",'装量配置'!$E$6:$E$718,"&gt;0")&gt;0,1,0)+IF(COUNTIFS('装量配置'!$A$6:$A$718,A37,'装量配置'!$B$6:$B$718,"开局",'装量配置'!$D$6:$D$718,"单颗暂存盒",'装量配置'!$E$6:$E$718,"&gt;0")&gt;0,1,0)+IF(COUNTIFS('装量配置'!$A$6:$A$718,A37,'装量配置'!$B$6:$B$718,"开局",'装量配置'!$D$6:$D$718,"数字冰冻盒",'装量配置'!$E$6:$E$718,"&gt;0")&gt;0,1,0)+IF(COUNTIFS('装量配置'!$A$6:$A$718,A37,'装量配置'!$B$6:$B$718,"开局",'装量配置'!$D$6:$D$718,"固定颜色盒",'装量配置'!$E$6:$E$718,"&gt;0")&gt;0,1,0)+IF(COUNTIFS('装量配置'!$A$6:$A$718,A37,'装量配置'!$B$6:$B$718,"开局",'装量配置'!$D$6:$D$718,"单向收纳盒",'装量配置'!$E$6:$E$718,"&gt;0")&gt;0,1,0)+IF(COUNTIFS('装量配置'!$A$6:$A$718,A37,'装量配置'!$B$6:$B$718,"开局",'装量配置'!$D$6:$D$718,"底部置顶盒",'装量配置'!$E$6:$E$718,"&gt;0")&gt;0,1,0)+IF(COUNTIFS('装量配置'!$A$6:$A$718,A37,'装量配置'!$B$6:$B$718,"开局",'装量配置'!$D$6:$D$718,"炸弹盒",'装量配置'!$E$6:$E$718,"&gt;0")&gt;0,1,0)</ns0:f>
        <ns0:v>1</ns0:v>
      </ns0:c>
      <ns0:c r="BB37" s="150" t="n">
        <ns0:f>SUMIFS('装量配置'!$E$6:$E$718,'装量配置'!$A$6:$A$718,A37,'装量配置'!$B$6:$B$718,"开局",'装量配置'!$D$6:$D$718,"数字盖盒")+SUMIFS('装量配置'!$E$6:$E$718,'装量配置'!$A$6:$A$718,A37,'装量配置'!$B$6:$B$718,"开局",'装量配置'!$D$6:$D$718,"普通冰冻盒")+SUMIFS('装量配置'!$E$6:$E$718,'装量配置'!$A$6:$A$718,A37,'装量配置'!$B$6:$B$718,"开局",'装量配置'!$D$6:$D$718,"数字冰冻盒")</ns0:f>
        <ns0:v>1</ns0:v>
      </ns0:c>
      <ns0:c r="BC37" s="150" t="n">
        <ns0:f>SUMIFS('装量配置'!$R$6:$R$718,'装量配置'!$A$6:$A$718,A37,'装量配置'!$B$6:$B$718,"开局")</ns0:f>
        <ns0:v>1</ns0:v>
      </ns0:c>
      <ns0:c r="BD37" s="148" t="str">
        <ns0:v>七味回落；完整无辅助路线实际使用机关和暂存，难度评分待真人试玩。</ns0:v>
      </ns0:c>
      <ns0:c r="BE37" s="150" t="n">
        <ns0:v>2</ns0:v>
      </ns0:c>
      <ns0:c r="BF37" s="148" t="str">
        <ns0:v>基线路线中段腾位 2 段；非所有路径</ns0:v>
      </ns0:c>
    </ns0:row>
    <ns0:row r="38" ht="33" customHeight="1">
      <ns0:c r="A38" s="112" t="n">
        <ns0:v>33</ns0:v>
      </ns0:c>
      <ns0:c r="B38" s="119" t="str">
        <ns0:v>已学机制组合</ns0:v>
      </ns0:c>
      <ns0:c r="C38" s="127" t="str">
        <ns0:v>隐藏与顺序解冻</ns0:v>
      </ns0:c>
      <ns0:c r="D38" s="114" t="n">
        <ns0:v>4.8</ns0:v>
      </ns0:c>
      <ns0:c r="E38" s="124" t="str">
        <ns0:v>分散余量与订单次序</ns0:v>
      </ns0:c>
      <ns0:c r="F38" s="124" t="str">
        <ns0:v>机关与信息组合</ns0:v>
      </ns0:c>
      <ns0:c r="G38" s="112" t="str">
        <ns0:v>整齐</ns0:v>
      </ns0:c>
      <ns0:c r="H38" s="112" t="n">
        <ns0:v>8</ns0:v>
      </ns0:c>
      <ns0:c r="I38" s="112" t="n">
        <ns0:f>SUMIFS('装量配置'!$E$6:$E$718,'装量配置'!$A$6:$A$718,A38,'装量配置'!$B$6:$B$718,"开局",'装量配置'!$F$6:$F$718,4,'装量配置'!$G$6:$G$718,"&gt;0")</ns0:f>
        <ns0:v>18</ns0:v>
      </ns0:c>
      <ns0:c r="J38" s="112" t="n">
        <ns0:f>SUMIFS('装量配置'!$E$6:$E$718,'装量配置'!$A$6:$A$718,A38,'装量配置'!$B$6:$B$718,"备货")</ns0:f>
        <ns0:v>0</ns0:v>
      </ns0:c>
      <ns0:c r="K38" s="112" t="n">
        <ns0:v>17</ns0:v>
      </ns0:c>
      <ns0:c r="L38" s="112" t="n">
        <ns0:f>SUMIFS('装量配置'!$E$6:$E$718,'装量配置'!$A$6:$A$718,A38,'装量配置'!$B$6:$B$718,"开局",'装量配置'!$F$6:$F$718,4,'装量配置'!$G$6:$G$718,0,'装量配置'!$D$6:$D$718,"&lt;&gt;广告锁定周转盒")</ns0:f>
        <ns0:v>1</ns0:v>
      </ns0:c>
      <ns0:c r="M38" s="112" t="n">
        <ns0:f>SUMIFS('装量配置'!$E$6:$E$718,'装量配置'!$A$6:$A$718,A38,'装量配置'!$B$6:$B$718,"开局",'装量配置'!$F$6:$F$718,1)</ns0:f>
        <ns0:v>0</ns0:v>
      </ns0:c>
      <ns0:c r="N38" s="112" t="n">
        <ns0:f>SUMIFS('装量配置'!$E$6:$E$718,'装量配置'!$A$6:$A$718,A38,'装量配置'!$B$6:$B$718,"开局",'装量配置'!$D$6:$D$718,"广告锁定周转盒")</ns0:f>
        <ns0:v>2</ns0:v>
      </ns0:c>
      <ns0:c r="O38" s="112" t="n">
        <ns0:f>SUMIFS('装量配置'!$E$6:$E$718,'装量配置'!$A$6:$A$718,A38,'装量配置'!$B$6:$B$718,"开局")</ns0:f>
        <ns0:v>21</ns0:v>
      </ns0:c>
      <ns0:c r="P38" s="112" t="n">
        <ns0:f>SUMIFS('装量配置'!$K$6:$K$718,'装量配置'!$A$6:$A$718,A38)</ns0:f>
        <ns0:v>4</ns0:v>
      </ns0:c>
      <ns0:c r="Q38" s="112" t="n">
        <ns0:v>4</ns0:v>
      </ns0:c>
      <ns0:c r="R38" s="113" t="n">
        <ns0:v>0.04411764705882353</ns0:v>
      </ns0:c>
      <ns0:c r="S38" s="113" t="n">
        <ns0:v>0.12</ns0:v>
      </ns0:c>
      <ns0:c r="T38" s="112" t="n">
        <ns0:v>4</ns0:v>
      </ns0:c>
      <ns0:c r="U38" s="112" t="n">
        <ns0:v>0</ns0:v>
      </ns0:c>
      <ns0:c r="V38" s="124" t="str">
        <ns0:v>数字冰冻盒</ns0:v>
      </ns0:c>
      <ns0:c r="W38" s="124" t="str">
        <ns0:v>数字冰冻盒、隐藏层</ns0:v>
      </ns0:c>
      <ns0:c r="X38" s="124" t="str">
        <ns0:v>数字冰冻盒×1（1）；数字冰冻盒×1（1）；隐藏3颗；备货0盒</ns0:v>
      </ns0:c>
      <ns0:c r="Y38" s="112" t="n">
        <ns0:f>SUMIFS('装量配置'!$I$6:$I$718,'装量配置'!$A$6:$A$718,A38)</ns0:f>
        <ns0:v>68</ns0:v>
      </ns0:c>
      <ns0:c r="Z38" s="112" t="str">
        <ns0:f>IF(AND(O38&lt;=25,N38=2,Y38=K38*4,H38&lt;=K38,P38+AT38&gt;=4,COUNTIFS('装量配置'!$A$6:$A$718,A38,'装量配置'!$O$6:$O$718,"需调整")=0),"装量通过；待逐味","需调整")</ns0:f>
        <ns0:v>装量通过；待逐味</ns0:v>
      </ns0:c>
      <ns0:c r="AA38" s="107" t="str">
        <ns0:v>已找到无辅助可行解 54 次；非最短</ns0:v>
      </ns0:c>
      <ns0:c r="AB38" s="107"/>
      <ns0:c r="AC38" s="107"/>
      <ns0:c r="AD38" s="113"/>
      <ns0:c r="AE38" s="114"/>
      <ns0:c r="AF38" s="109"/>
      <ns0:c r="AG38" s="109"/>
      <ns0:c r="AH38" s="110"/>
      <ns0:c r="AI38" s="131" t="str">
        <ns0:v>固定层序已制作；正式引擎验证见实施记录</ns0:v>
      </ns0:c>
      <ns0:c r="AJ38" s="124" t="str">
        <ns0:v>31–40续接方案；按固定装量制作层序与订单；设计难度为目标，不代表实测。</ns0:v>
      </ns0:c>
      <ns0:c r="AK38" s="124" t="str">
        <ns0:v>连续居中紧凑行列；每排最多五盒；不挖中间空洞</ns0:v>
      </ns0:c>
      <ns0:c r="AL38" s="112" t="n">
        <ns0:v>1</ns0:v>
      </ns0:c>
      <ns0:c r="AM38" s="113"/>
      <ns0:c r="AN38" s="112"/>
      <ns0:c r="AO38" s="113"/>
      <ns0:c r="AP38" s="124" t="str">
        <ns0:v>四条件可行路线已制作；见回放记录</ns0:v>
      </ns0:c>
      <ns0:c r="AQ38" s="107"/>
      <ns0:c r="AR38" s="120" t="n">
        <ns0:f>SUMIFS('装量配置'!$I$6:$I$718,'装量配置'!$A$6:$A$718,A38,'装量配置'!$B$6:$B$718,"开局")</ns0:f>
        <ns0:v>68</ns0:v>
      </ns0:c>
      <ns0:c r="AS38" s="132" t="n">
        <ns0:f>SUMIFS('装量配置'!$I$6:$I$718,'装量配置'!$A$6:$A$718,A38,'装量配置'!$B$6:$B$718,"开局",'装量配置'!$D$6:$D$718,"普通盒",'装量配置'!$G$6:$G$718,"&gt;0")/(4*SUMIFS('装量配置'!$E$6:$E$718,'装量配置'!$A$6:$A$718,A38,'装量配置'!$B$6:$B$718,"开局",'装量配置'!$D$6:$D$718,"普通盒",'装量配置'!$G$6:$G$718,"&gt;0"))</ns0:f>
        <ns0:v>0.9375</ns0:v>
      </ns0:c>
      <ns0:c r="AT38" s="120" t="n">
        <ns0:f>SUMIFS('装量配置'!$L$6:$L$718,'装量配置'!$A$6:$A$718,A38)</ns0:f>
        <ns0:v>4</ns0:v>
      </ns0:c>
      <ns0:c r="AU38" s="120" t="n">
        <ns0:f>SUMIFS('装量配置'!$M$6:$M$718,'装量配置'!$A$6:$A$718,A38)</ns0:f>
        <ns0:v>0</ns0:v>
      </ns0:c>
      <ns0:c r="AV38" s="120" t="n">
        <ns0:f>SUMIFS('装量配置'!$N$6:$N$718,'装量配置'!$A$6:$A$718,A38)</ns0:f>
        <ns0:v>0</ns0:v>
      </ns0:c>
      <ns0:c r="AW38" s="132" t="n">
        <ns0:v>0.18</ns0:v>
      </ns0:c>
      <ns0:c r="AX38" s="120" t="n">
        <ns0:v>4</ns0:v>
      </ns0:c>
      <ns0:c r="AY38" s="120" t="n">
        <ns0:f>IF(AX38=1,1,0)</ns0:f>
        <ns0:v>0</ns0:v>
      </ns0:c>
      <ns0:c r="AZ38" s="120" t="n">
        <ns0:f>SUMIFS('装量配置'!$E$6:$E$718,'装量配置'!$A$6:$A$718,A38,'装量配置'!$B$6:$B$718,"开局",'装量配置'!$D$6:$D$718,"&lt;&gt;普通盒",'装量配置'!$D$6:$D$718,"&lt;&gt;广告锁定周转盒")</ns0:f>
        <ns0:v>2</ns0:v>
      </ns0:c>
      <ns0:c r="BA38" s="149" t="n">
        <ns0:f>IF(COUNTIFS('装量配置'!$A$6:$A$718,A38,'装量配置'!$B$6:$B$718,"开局",'装量配置'!$D$6:$D$718,"数字盖盒",'装量配置'!$E$6:$E$718,"&gt;0")&gt;0,1,0)+IF(COUNTIFS('装量配置'!$A$6:$A$718,A38,'装量配置'!$B$6:$B$718,"开局",'装量配置'!$D$6:$D$718,"普通冰冻盒",'装量配置'!$E$6:$E$718,"&gt;0")&gt;0,1,0)+IF(COUNTIFS('装量配置'!$A$6:$A$718,A38,'装量配置'!$B$6:$B$718,"开局",'装量配置'!$D$6:$D$718,"单颗暂存盒",'装量配置'!$E$6:$E$718,"&gt;0")&gt;0,1,0)+IF(COUNTIFS('装量配置'!$A$6:$A$718,A38,'装量配置'!$B$6:$B$718,"开局",'装量配置'!$D$6:$D$718,"数字冰冻盒",'装量配置'!$E$6:$E$718,"&gt;0")&gt;0,1,0)+IF(COUNTIFS('装量配置'!$A$6:$A$718,A38,'装量配置'!$B$6:$B$718,"开局",'装量配置'!$D$6:$D$718,"固定颜色盒",'装量配置'!$E$6:$E$718,"&gt;0")&gt;0,1,0)+IF(COUNTIFS('装量配置'!$A$6:$A$718,A38,'装量配置'!$B$6:$B$718,"开局",'装量配置'!$D$6:$D$718,"单向收纳盒",'装量配置'!$E$6:$E$718,"&gt;0")&gt;0,1,0)+IF(COUNTIFS('装量配置'!$A$6:$A$718,A38,'装量配置'!$B$6:$B$718,"开局",'装量配置'!$D$6:$D$718,"底部置顶盒",'装量配置'!$E$6:$E$718,"&gt;0")&gt;0,1,0)+IF(COUNTIFS('装量配置'!$A$6:$A$718,A38,'装量配置'!$B$6:$B$718,"开局",'装量配置'!$D$6:$D$718,"炸弹盒",'装量配置'!$E$6:$E$718,"&gt;0")&gt;0,1,0)</ns0:f>
        <ns0:v>1</ns0:v>
      </ns0:c>
      <ns0:c r="BB38" s="149" t="n">
        <ns0:f>SUMIFS('装量配置'!$E$6:$E$718,'装量配置'!$A$6:$A$718,A38,'装量配置'!$B$6:$B$718,"开局",'装量配置'!$D$6:$D$718,"数字盖盒")+SUMIFS('装量配置'!$E$6:$E$718,'装量配置'!$A$6:$A$718,A38,'装量配置'!$B$6:$B$718,"开局",'装量配置'!$D$6:$D$718,"普通冰冻盒")+SUMIFS('装量配置'!$E$6:$E$718,'装量配置'!$A$6:$A$718,A38,'装量配置'!$B$6:$B$718,"开局",'装量配置'!$D$6:$D$718,"数字冰冻盒")</ns0:f>
        <ns0:v>2</ns0:v>
      </ns0:c>
      <ns0:c r="BC38" s="149" t="n">
        <ns0:f>SUMIFS('装量配置'!$R$6:$R$718,'装量配置'!$A$6:$A$718,A38,'装量配置'!$B$6:$B$718,"开局")</ns0:f>
        <ns0:v>2</ns0:v>
      </ns0:c>
      <ns0:c r="BD38" s="146" t="str">
        <ns0:v>隐藏与顺序解冻；完整无辅助路线实际使用机关和暂存，难度评分待真人试玩。</ns0:v>
      </ns0:c>
      <ns0:c r="BE38" s="149" t="n">
        <ns0:v>3</ns0:v>
      </ns0:c>
      <ns0:c r="BF38" s="146" t="str">
        <ns0:v>基线路线中段腾位 3 段；非所有路径</ns0:v>
      </ns0:c>
    </ns0:row>
    <ns0:row r="39" ht="33" customHeight="1">
      <ns0:c r="A39" s="105" t="n">
        <ns0:v>34</ns0:v>
      </ns0:c>
      <ns0:c r="B39" s="117" t="str">
        <ns0:v>已学机制组合</ns0:v>
      </ns0:c>
      <ns0:c r="C39" s="126" t="str">
        <ns0:v>回收解冻与补货</ns0:v>
      </ns0:c>
      <ns0:c r="D39" s="108" t="n">
        <ns0:v>4.9</ns0:v>
      </ns0:c>
      <ns0:c r="E39" s="123" t="str">
        <ns0:v>分散余量与订单次序</ns0:v>
      </ns0:c>
      <ns0:c r="F39" s="123" t="str">
        <ns0:v>机关与信息组合</ns0:v>
      </ns0:c>
      <ns0:c r="G39" s="105" t="str">
        <ns0:v>整齐</ns0:v>
      </ns0:c>
      <ns0:c r="H39" s="105" t="n">
        <ns0:v>8</ns0:v>
      </ns0:c>
      <ns0:c r="I39" s="105" t="n">
        <ns0:f>SUMIFS('装量配置'!$E$6:$E$718,'装量配置'!$A$6:$A$718,A39,'装量配置'!$B$6:$B$718,"开局",'装量配置'!$F$6:$F$718,4,'装量配置'!$G$6:$G$718,"&gt;0")</ns0:f>
        <ns0:v>17</ns0:v>
      </ns0:c>
      <ns0:c r="J39" s="105" t="n">
        <ns0:f>SUMIFS('装量配置'!$E$6:$E$718,'装量配置'!$A$6:$A$718,A39,'装量配置'!$B$6:$B$718,"备货")</ns0:f>
        <ns0:v>1</ns0:v>
      </ns0:c>
      <ns0:c r="K39" s="105" t="n">
        <ns0:v>17</ns0:v>
      </ns0:c>
      <ns0:c r="L39" s="105" t="n">
        <ns0:f>SUMIFS('装量配置'!$E$6:$E$718,'装量配置'!$A$6:$A$718,A39,'装量配置'!$B$6:$B$718,"开局",'装量配置'!$F$6:$F$718,4,'装量配置'!$G$6:$G$718,0,'装量配置'!$D$6:$D$718,"&lt;&gt;广告锁定周转盒")</ns0:f>
        <ns0:v>1</ns0:v>
      </ns0:c>
      <ns0:c r="M39" s="105" t="n">
        <ns0:f>SUMIFS('装量配置'!$E$6:$E$718,'装量配置'!$A$6:$A$718,A39,'装量配置'!$B$6:$B$718,"开局",'装量配置'!$F$6:$F$718,1)</ns0:f>
        <ns0:v>1</ns0:v>
      </ns0:c>
      <ns0:c r="N39" s="105" t="n">
        <ns0:f>SUMIFS('装量配置'!$E$6:$E$718,'装量配置'!$A$6:$A$718,A39,'装量配置'!$B$6:$B$718,"开局",'装量配置'!$D$6:$D$718,"广告锁定周转盒")</ns0:f>
        <ns0:v>2</ns0:v>
      </ns0:c>
      <ns0:c r="O39" s="105" t="n">
        <ns0:f>SUMIFS('装量配置'!$E$6:$E$718,'装量配置'!$A$6:$A$718,A39,'装量配置'!$B$6:$B$718,"开局")</ns0:f>
        <ns0:v>21</ns0:v>
      </ns0:c>
      <ns0:c r="P39" s="105" t="n">
        <ns0:f>SUMIFS('装量配置'!$K$6:$K$718,'装量配置'!$A$6:$A$718,A39)</ns0:f>
        <ns0:v>5</ns0:v>
      </ns0:c>
      <ns0:c r="Q39" s="105" t="n">
        <ns0:v>4</ns0:v>
      </ns0:c>
      <ns0:c r="R39" s="106" t="n">
        <ns0:v>0</ns0:v>
      </ns0:c>
      <ns0:c r="S39" s="106" t="n">
        <ns0:v>0.12</ns0:v>
      </ns0:c>
      <ns0:c r="T39" s="105" t="n">
        <ns0:v>4</ns0:v>
      </ns0:c>
      <ns0:c r="U39" s="105" t="n">
        <ns0:v>3</ns0:v>
      </ns0:c>
      <ns0:c r="V39" s="123" t="str">
        <ns0:v>普通冰冻盒</ns0:v>
      </ns0:c>
      <ns0:c r="W39" s="123" t="str">
        <ns0:v>数字盖盒、单颗暂存盒</ns0:v>
      </ns0:c>
      <ns0:c r="X39" s="123" t="str">
        <ns0:v>普通冰冻盒×1；数字盖盒×1（1）；单颗暂存盒初装0颗；隐藏0颗；备货1盒</ns0:v>
      </ns0:c>
      <ns0:c r="Y39" s="105" t="n">
        <ns0:f>SUMIFS('装量配置'!$I$6:$I$718,'装量配置'!$A$6:$A$718,A39)</ns0:f>
        <ns0:v>68</ns0:v>
      </ns0:c>
      <ns0:c r="Z39" s="105" t="str">
        <ns0:f>IF(AND(O39&lt;=25,N39=2,Y39=K39*4,H39&lt;=K39,P39+AT39&gt;=4,COUNTIFS('装量配置'!$A$6:$A$718,A39,'装量配置'!$O$6:$O$718,"需调整")=0),"装量通过；待逐味","需调整")</ns0:f>
        <ns0:v>装量通过；待逐味</ns0:v>
      </ns0:c>
      <ns0:c r="AA39" s="107" t="str">
        <ns0:v>已找到无辅助可行解 56 次；非最短</ns0:v>
      </ns0:c>
      <ns0:c r="AB39" s="107"/>
      <ns0:c r="AC39" s="107"/>
      <ns0:c r="AD39" s="106"/>
      <ns0:c r="AE39" s="108"/>
      <ns0:c r="AF39" s="109"/>
      <ns0:c r="AG39" s="109"/>
      <ns0:c r="AH39" s="110"/>
      <ns0:c r="AI39" s="131" t="str">
        <ns0:v>固定层序已制作；正式引擎验证见实施记录</ns0:v>
      </ns0:c>
      <ns0:c r="AJ39" s="123" t="str">
        <ns0:v>31–40续接方案；按固定装量制作层序与订单；设计难度为目标，不代表实测。</ns0:v>
      </ns0:c>
      <ns0:c r="AK39" s="123" t="str">
        <ns0:v>连续居中紧凑行列；每排最多五盒；不挖中间空洞</ns0:v>
      </ns0:c>
      <ns0:c r="AL39" s="105" t="n">
        <ns0:v>1</ns0:v>
      </ns0:c>
      <ns0:c r="AM39" s="106"/>
      <ns0:c r="AN39" s="107"/>
      <ns0:c r="AO39" s="110"/>
      <ns0:c r="AP39" s="123" t="str">
        <ns0:v>四条件可行路线已制作；见回放记录</ns0:v>
      </ns0:c>
      <ns0:c r="AQ39" s="107"/>
      <ns0:c r="AR39" s="121" t="n">
        <ns0:f>SUMIFS('装量配置'!$I$6:$I$718,'装量配置'!$A$6:$A$718,A39,'装量配置'!$B$6:$B$718,"开局")</ns0:f>
        <ns0:v>64</ns0:v>
      </ns0:c>
      <ns0:c r="AS39" s="133" t="n">
        <ns0:f>SUMIFS('装量配置'!$I$6:$I$718,'装量配置'!$A$6:$A$718,A39,'装量配置'!$B$6:$B$718,"开局",'装量配置'!$D$6:$D$718,"普通盒",'装量配置'!$G$6:$G$718,"&gt;0")/(4*SUMIFS('装量配置'!$E$6:$E$718,'装量配置'!$A$6:$A$718,A39,'装量配置'!$B$6:$B$718,"开局",'装量配置'!$D$6:$D$718,"普通盒",'装量配置'!$G$6:$G$718,"&gt;0"))</ns0:f>
        <ns0:v>0.9333333333333333</ns0:v>
      </ns0:c>
      <ns0:c r="AT39" s="121" t="n">
        <ns0:f>SUMIFS('装量配置'!$L$6:$L$718,'装量配置'!$A$6:$A$718,A39)</ns0:f>
        <ns0:v>4</ns0:v>
      </ns0:c>
      <ns0:c r="AU39" s="121" t="n">
        <ns0:f>SUMIFS('装量配置'!$M$6:$M$718,'装量配置'!$A$6:$A$718,A39)</ns0:f>
        <ns0:v>0</ns0:v>
      </ns0:c>
      <ns0:c r="AV39" s="121" t="n">
        <ns0:f>SUMIFS('装量配置'!$N$6:$N$718,'装量配置'!$A$6:$A$718,A39)</ns0:f>
        <ns0:v>0</ns0:v>
      </ns0:c>
      <ns0:c r="AW39" s="133" t="n">
        <ns0:v>0.18</ns0:v>
      </ns0:c>
      <ns0:c r="AX39" s="121" t="n">
        <ns0:v>5</ns0:v>
      </ns0:c>
      <ns0:c r="AY39" s="121" t="n">
        <ns0:f>IF(AX39=1,1,0)</ns0:f>
        <ns0:v>0</ns0:v>
      </ns0:c>
      <ns0:c r="AZ39" s="121" t="n">
        <ns0:f>SUMIFS('装量配置'!$E$6:$E$718,'装量配置'!$A$6:$A$718,A39,'装量配置'!$B$6:$B$718,"开局",'装量配置'!$D$6:$D$718,"&lt;&gt;普通盒",'装量配置'!$D$6:$D$718,"&lt;&gt;广告锁定周转盒")</ns0:f>
        <ns0:v>3</ns0:v>
      </ns0:c>
      <ns0:c r="BA39" s="150" t="n">
        <ns0:f>IF(COUNTIFS('装量配置'!$A$6:$A$718,A39,'装量配置'!$B$6:$B$718,"开局",'装量配置'!$D$6:$D$718,"数字盖盒",'装量配置'!$E$6:$E$718,"&gt;0")&gt;0,1,0)+IF(COUNTIFS('装量配置'!$A$6:$A$718,A39,'装量配置'!$B$6:$B$718,"开局",'装量配置'!$D$6:$D$718,"普通冰冻盒",'装量配置'!$E$6:$E$718,"&gt;0")&gt;0,1,0)+IF(COUNTIFS('装量配置'!$A$6:$A$718,A39,'装量配置'!$B$6:$B$718,"开局",'装量配置'!$D$6:$D$718,"单颗暂存盒",'装量配置'!$E$6:$E$718,"&gt;0")&gt;0,1,0)+IF(COUNTIFS('装量配置'!$A$6:$A$718,A39,'装量配置'!$B$6:$B$718,"开局",'装量配置'!$D$6:$D$718,"数字冰冻盒",'装量配置'!$E$6:$E$718,"&gt;0")&gt;0,1,0)+IF(COUNTIFS('装量配置'!$A$6:$A$718,A39,'装量配置'!$B$6:$B$718,"开局",'装量配置'!$D$6:$D$718,"固定颜色盒",'装量配置'!$E$6:$E$718,"&gt;0")&gt;0,1,0)+IF(COUNTIFS('装量配置'!$A$6:$A$718,A39,'装量配置'!$B$6:$B$718,"开局",'装量配置'!$D$6:$D$718,"单向收纳盒",'装量配置'!$E$6:$E$718,"&gt;0")&gt;0,1,0)+IF(COUNTIFS('装量配置'!$A$6:$A$718,A39,'装量配置'!$B$6:$B$718,"开局",'装量配置'!$D$6:$D$718,"底部置顶盒",'装量配置'!$E$6:$E$718,"&gt;0")&gt;0,1,0)+IF(COUNTIFS('装量配置'!$A$6:$A$718,A39,'装量配置'!$B$6:$B$718,"开局",'装量配置'!$D$6:$D$718,"炸弹盒",'装量配置'!$E$6:$E$718,"&gt;0")&gt;0,1,0)</ns0:f>
        <ns0:v>3</ns0:v>
      </ns0:c>
      <ns0:c r="BB39" s="150" t="n">
        <ns0:f>SUMIFS('装量配置'!$E$6:$E$718,'装量配置'!$A$6:$A$718,A39,'装量配置'!$B$6:$B$718,"开局",'装量配置'!$D$6:$D$718,"数字盖盒")+SUMIFS('装量配置'!$E$6:$E$718,'装量配置'!$A$6:$A$718,A39,'装量配置'!$B$6:$B$718,"开局",'装量配置'!$D$6:$D$718,"普通冰冻盒")+SUMIFS('装量配置'!$E$6:$E$718,'装量配置'!$A$6:$A$718,A39,'装量配置'!$B$6:$B$718,"开局",'装量配置'!$D$6:$D$718,"数字冰冻盒")</ns0:f>
        <ns0:v>2</ns0:v>
      </ns0:c>
      <ns0:c r="BC39" s="150" t="n">
        <ns0:f>SUMIFS('装量配置'!$R$6:$R$718,'装量配置'!$A$6:$A$718,A39,'装量配置'!$B$6:$B$718,"开局")</ns0:f>
        <ns0:v>1</ns0:v>
      </ns0:c>
      <ns0:c r="BD39" s="148" t="str">
        <ns0:v>回收解冻与补货；完整无辅助路线实际使用机关和暂存，难度评分待真人试玩。</ns0:v>
      </ns0:c>
      <ns0:c r="BE39" s="150" t="n">
        <ns0:v>3</ns0:v>
      </ns0:c>
      <ns0:c r="BF39" s="148" t="str">
        <ns0:v>基线路线中段腾位 3 段；非所有路径</ns0:v>
      </ns0:c>
    </ns0:row>
    <ns0:row r="40" ht="33" customHeight="1">
      <ns0:c r="A40" s="112" t="n">
        <ns0:v>35</ns0:v>
      </ns0:c>
      <ns0:c r="B40" s="119" t="str">
        <ns0:v>已学机制组合</ns0:v>
      </ns0:c>
      <ns0:c r="C40" s="127" t="str">
        <ns0:v>双空盒回落</ns0:v>
      </ns0:c>
      <ns0:c r="D40" s="114" t="n">
        <ns0:v>4.7</ns0:v>
      </ns0:c>
      <ns0:c r="E40" s="124" t="str">
        <ns0:v>分散余量与订单次序</ns0:v>
      </ns0:c>
      <ns0:c r="F40" s="124" t="str">
        <ns0:v>机关与信息组合</ns0:v>
      </ns0:c>
      <ns0:c r="G40" s="112" t="str">
        <ns0:v>整齐</ns0:v>
      </ns0:c>
      <ns0:c r="H40" s="112" t="n">
        <ns0:v>8</ns0:v>
      </ns0:c>
      <ns0:c r="I40" s="112" t="n">
        <ns0:f>SUMIFS('装量配置'!$E$6:$E$718,'装量配置'!$A$6:$A$718,A40,'装量配置'!$B$6:$B$718,"开局",'装量配置'!$F$6:$F$718,4,'装量配置'!$G$6:$G$718,"&gt;0")</ns0:f>
        <ns0:v>16</ns0:v>
      </ns0:c>
      <ns0:c r="J40" s="112" t="n">
        <ns0:f>SUMIFS('装量配置'!$E$6:$E$718,'装量配置'!$A$6:$A$718,A40,'装量配置'!$B$6:$B$718,"备货")</ns0:f>
        <ns0:v>0</ns0:v>
      </ns0:c>
      <ns0:c r="K40" s="112" t="n">
        <ns0:v>16</ns0:v>
      </ns0:c>
      <ns0:c r="L40" s="112" t="n">
        <ns0:f>SUMIFS('装量配置'!$E$6:$E$718,'装量配置'!$A$6:$A$718,A40,'装量配置'!$B$6:$B$718,"开局",'装量配置'!$F$6:$F$718,4,'装量配置'!$G$6:$G$718,0,'装量配置'!$D$6:$D$718,"&lt;&gt;广告锁定周转盒")</ns0:f>
        <ns0:v>2</ns0:v>
      </ns0:c>
      <ns0:c r="M40" s="112" t="n">
        <ns0:f>SUMIFS('装量配置'!$E$6:$E$718,'装量配置'!$A$6:$A$718,A40,'装量配置'!$B$6:$B$718,"开局",'装量配置'!$F$6:$F$718,1)</ns0:f>
        <ns0:v>0</ns0:v>
      </ns0:c>
      <ns0:c r="N40" s="112" t="n">
        <ns0:f>SUMIFS('装量配置'!$E$6:$E$718,'装量配置'!$A$6:$A$718,A40,'装量配置'!$B$6:$B$718,"开局",'装量配置'!$D$6:$D$718,"广告锁定周转盒")</ns0:f>
        <ns0:v>2</ns0:v>
      </ns0:c>
      <ns0:c r="O40" s="112" t="n">
        <ns0:f>SUMIFS('装量配置'!$E$6:$E$718,'装量配置'!$A$6:$A$718,A40,'装量配置'!$B$6:$B$718,"开局")</ns0:f>
        <ns0:v>20</ns0:v>
      </ns0:c>
      <ns0:c r="P40" s="112" t="n">
        <ns0:f>SUMIFS('装量配置'!$K$6:$K$718,'装量配置'!$A$6:$A$718,A40)</ns0:f>
        <ns0:v>8</ns0:v>
      </ns0:c>
      <ns0:c r="Q40" s="112" t="n">
        <ns0:v>4</ns0:v>
      </ns0:c>
      <ns0:c r="R40" s="113" t="n">
        <ns0:v>0.046875</ns0:v>
      </ns0:c>
      <ns0:c r="S40" s="113" t="n">
        <ns0:v>0.12</ns0:v>
      </ns0:c>
      <ns0:c r="T40" s="112" t="n">
        <ns0:v>4</ns0:v>
      </ns0:c>
      <ns0:c r="U40" s="112" t="n">
        <ns0:v>0</ns0:v>
      </ns0:c>
      <ns0:c r="V40" s="124" t="str">
        <ns0:v>数字冰冻盒</ns0:v>
      </ns0:c>
      <ns0:c r="W40" s="124" t="str">
        <ns0:v>数字冰冻盒、隐藏层</ns0:v>
      </ns0:c>
      <ns0:c r="X40" s="124" t="str">
        <ns0:v>数字冰冻盒×1（1）；数字冰冻盒×1（2）；隐藏3颗；备货0盒</ns0:v>
      </ns0:c>
      <ns0:c r="Y40" s="112" t="n">
        <ns0:f>SUMIFS('装量配置'!$I$6:$I$718,'装量配置'!$A$6:$A$718,A40)</ns0:f>
        <ns0:v>64</ns0:v>
      </ns0:c>
      <ns0:c r="Z40" s="112" t="str">
        <ns0:f>IF(AND(O40&lt;=25,N40=2,Y40=K40*4,H40&lt;=K40,P40+AT40&gt;=4,COUNTIFS('装量配置'!$A$6:$A$718,A40,'装量配置'!$O$6:$O$718,"需调整")=0),"装量通过；待逐味","需调整")</ns0:f>
        <ns0:v>装量通过；待逐味</ns0:v>
      </ns0:c>
      <ns0:c r="AA40" s="107" t="str">
        <ns0:v>已找到无辅助可行解 49 次；非最短</ns0:v>
      </ns0:c>
      <ns0:c r="AB40" s="107"/>
      <ns0:c r="AC40" s="107"/>
      <ns0:c r="AD40" s="113"/>
      <ns0:c r="AE40" s="114"/>
      <ns0:c r="AF40" s="109"/>
      <ns0:c r="AG40" s="109"/>
      <ns0:c r="AH40" s="110"/>
      <ns0:c r="AI40" s="131" t="str">
        <ns0:v>固定层序已制作；正式引擎验证见实施记录</ns0:v>
      </ns0:c>
      <ns0:c r="AJ40" s="124" t="str">
        <ns0:v>31–40续接方案；按固定装量制作层序与订单；设计难度为目标，不代表实测。</ns0:v>
      </ns0:c>
      <ns0:c r="AK40" s="124" t="str">
        <ns0:v>连续居中紧凑行列；每排最多五盒；不挖中间空洞</ns0:v>
      </ns0:c>
      <ns0:c r="AL40" s="112" t="n">
        <ns0:v>1</ns0:v>
      </ns0:c>
      <ns0:c r="AM40" s="113"/>
      <ns0:c r="AN40" s="112"/>
      <ns0:c r="AO40" s="113"/>
      <ns0:c r="AP40" s="124" t="str">
        <ns0:v>四条件可行路线已制作；见回放记录</ns0:v>
      </ns0:c>
      <ns0:c r="AQ40" s="107"/>
      <ns0:c r="AR40" s="120" t="n">
        <ns0:f>SUMIFS('装量配置'!$I$6:$I$718,'装量配置'!$A$6:$A$718,A40,'装量配置'!$B$6:$B$718,"开局")</ns0:f>
        <ns0:v>64</ns0:v>
      </ns0:c>
      <ns0:c r="AS40" s="132" t="n">
        <ns0:f>SUMIFS('装量配置'!$I$6:$I$718,'装量配置'!$A$6:$A$718,A40,'装量配置'!$B$6:$B$718,"开局",'装量配置'!$D$6:$D$718,"普通盒",'装量配置'!$G$6:$G$718,"&gt;0")/(4*SUMIFS('装量配置'!$E$6:$E$718,'装量配置'!$A$6:$A$718,A40,'装量配置'!$B$6:$B$718,"开局",'装量配置'!$D$6:$D$718,"普通盒",'装量配置'!$G$6:$G$718,"&gt;0"))</ns0:f>
        <ns0:v>1</ns0:v>
      </ns0:c>
      <ns0:c r="AT40" s="120" t="n">
        <ns0:f>SUMIFS('装量配置'!$L$6:$L$718,'装量配置'!$A$6:$A$718,A40)</ns0:f>
        <ns0:v>0</ns0:v>
      </ns0:c>
      <ns0:c r="AU40" s="120" t="n">
        <ns0:f>SUMIFS('装量配置'!$M$6:$M$718,'装量配置'!$A$6:$A$718,A40)</ns0:f>
        <ns0:v>0</ns0:v>
      </ns0:c>
      <ns0:c r="AV40" s="120" t="n">
        <ns0:f>SUMIFS('装量配置'!$N$6:$N$718,'装量配置'!$A$6:$A$718,A40)</ns0:f>
        <ns0:v>0</ns0:v>
      </ns0:c>
      <ns0:c r="AW40" s="132" t="n">
        <ns0:v>0.18</ns0:v>
      </ns0:c>
      <ns0:c r="AX40" s="120" t="n">
        <ns0:v>4</ns0:v>
      </ns0:c>
      <ns0:c r="AY40" s="120" t="n">
        <ns0:f>IF(AX40=1,1,0)</ns0:f>
        <ns0:v>0</ns0:v>
      </ns0:c>
      <ns0:c r="AZ40" s="120" t="n">
        <ns0:f>SUMIFS('装量配置'!$E$6:$E$718,'装量配置'!$A$6:$A$718,A40,'装量配置'!$B$6:$B$718,"开局",'装量配置'!$D$6:$D$718,"&lt;&gt;普通盒",'装量配置'!$D$6:$D$718,"&lt;&gt;广告锁定周转盒")</ns0:f>
        <ns0:v>2</ns0:v>
      </ns0:c>
      <ns0:c r="BA40" s="149" t="n">
        <ns0:f>IF(COUNTIFS('装量配置'!$A$6:$A$718,A40,'装量配置'!$B$6:$B$718,"开局",'装量配置'!$D$6:$D$718,"数字盖盒",'装量配置'!$E$6:$E$718,"&gt;0")&gt;0,1,0)+IF(COUNTIFS('装量配置'!$A$6:$A$718,A40,'装量配置'!$B$6:$B$718,"开局",'装量配置'!$D$6:$D$718,"普通冰冻盒",'装量配置'!$E$6:$E$718,"&gt;0")&gt;0,1,0)+IF(COUNTIFS('装量配置'!$A$6:$A$718,A40,'装量配置'!$B$6:$B$718,"开局",'装量配置'!$D$6:$D$718,"单颗暂存盒",'装量配置'!$E$6:$E$718,"&gt;0")&gt;0,1,0)+IF(COUNTIFS('装量配置'!$A$6:$A$718,A40,'装量配置'!$B$6:$B$718,"开局",'装量配置'!$D$6:$D$718,"数字冰冻盒",'装量配置'!$E$6:$E$718,"&gt;0")&gt;0,1,0)+IF(COUNTIFS('装量配置'!$A$6:$A$718,A40,'装量配置'!$B$6:$B$718,"开局",'装量配置'!$D$6:$D$718,"固定颜色盒",'装量配置'!$E$6:$E$718,"&gt;0")&gt;0,1,0)+IF(COUNTIFS('装量配置'!$A$6:$A$718,A40,'装量配置'!$B$6:$B$718,"开局",'装量配置'!$D$6:$D$718,"单向收纳盒",'装量配置'!$E$6:$E$718,"&gt;0")&gt;0,1,0)+IF(COUNTIFS('装量配置'!$A$6:$A$718,A40,'装量配置'!$B$6:$B$718,"开局",'装量配置'!$D$6:$D$718,"底部置顶盒",'装量配置'!$E$6:$E$718,"&gt;0")&gt;0,1,0)+IF(COUNTIFS('装量配置'!$A$6:$A$718,A40,'装量配置'!$B$6:$B$718,"开局",'装量配置'!$D$6:$D$718,"炸弹盒",'装量配置'!$E$6:$E$718,"&gt;0")&gt;0,1,0)</ns0:f>
        <ns0:v>1</ns0:v>
      </ns0:c>
      <ns0:c r="BB40" s="149" t="n">
        <ns0:f>SUMIFS('装量配置'!$E$6:$E$718,'装量配置'!$A$6:$A$718,A40,'装量配置'!$B$6:$B$718,"开局",'装量配置'!$D$6:$D$718,"数字盖盒")+SUMIFS('装量配置'!$E$6:$E$718,'装量配置'!$A$6:$A$718,A40,'装量配置'!$B$6:$B$718,"开局",'装量配置'!$D$6:$D$718,"普通冰冻盒")+SUMIFS('装量配置'!$E$6:$E$718,'装量配置'!$A$6:$A$718,A40,'装量配置'!$B$6:$B$718,"开局",'装量配置'!$D$6:$D$718,"数字冰冻盒")</ns0:f>
        <ns0:v>2</ns0:v>
      </ns0:c>
      <ns0:c r="BC40" s="149" t="n">
        <ns0:f>SUMIFS('装量配置'!$R$6:$R$718,'装量配置'!$A$6:$A$718,A40,'装量配置'!$B$6:$B$718,"开局")</ns0:f>
        <ns0:v>3</ns0:v>
      </ns0:c>
      <ns0:c r="BD40" s="146" t="str">
        <ns0:v>双空盒回落；完整无辅助路线实际使用机关和暂存，难度评分待真人试玩。</ns0:v>
      </ns0:c>
      <ns0:c r="BE40" s="149" t="n">
        <ns0:v>2</ns0:v>
      </ns0:c>
      <ns0:c r="BF40" s="146" t="str">
        <ns0:v>基线路线中段腾位 2 段；非所有路径</ns0:v>
      </ns0:c>
    </ns0:row>
    <ns0:row r="41" ht="33" customHeight="1">
      <ns0:c r="A41" s="105" t="n">
        <ns0:v>36</ns0:v>
      </ns0:c>
      <ns0:c r="B41" s="117" t="str">
        <ns0:v>已学机制组合</ns0:v>
      </ns0:c>
      <ns0:c r="C41" s="126" t="str">
        <ns0:v>预装暂存与隐藏</ns0:v>
      </ns0:c>
      <ns0:c r="D41" s="108" t="n">
        <ns0:v>4.9</ns0:v>
      </ns0:c>
      <ns0:c r="E41" s="123" t="str">
        <ns0:v>分散余量与订单次序</ns0:v>
      </ns0:c>
      <ns0:c r="F41" s="123" t="str">
        <ns0:v>机关与信息组合</ns0:v>
      </ns0:c>
      <ns0:c r="G41" s="105" t="str">
        <ns0:v>整齐</ns0:v>
      </ns0:c>
      <ns0:c r="H41" s="105" t="n">
        <ns0:v>8</ns0:v>
      </ns0:c>
      <ns0:c r="I41" s="105" t="n">
        <ns0:f>SUMIFS('装量配置'!$E$6:$E$718,'装量配置'!$A$6:$A$718,A41,'装量配置'!$B$6:$B$718,"开局",'装量配置'!$F$6:$F$718,4,'装量配置'!$G$6:$G$718,"&gt;0")</ns0:f>
        <ns0:v>17</ns0:v>
      </ns0:c>
      <ns0:c r="J41" s="105" t="n">
        <ns0:f>SUMIFS('装量配置'!$E$6:$E$718,'装量配置'!$A$6:$A$718,A41,'装量配置'!$B$6:$B$718,"备货")</ns0:f>
        <ns0:v>0</ns0:v>
      </ns0:c>
      <ns0:c r="K41" s="105" t="n">
        <ns0:v>16</ns0:v>
      </ns0:c>
      <ns0:c r="L41" s="105" t="n">
        <ns0:f>SUMIFS('装量配置'!$E$6:$E$718,'装量配置'!$A$6:$A$718,A41,'装量配置'!$B$6:$B$718,"开局",'装量配置'!$F$6:$F$718,4,'装量配置'!$G$6:$G$718,0,'装量配置'!$D$6:$D$718,"&lt;&gt;广告锁定周转盒")</ns0:f>
        <ns0:v>1</ns0:v>
      </ns0:c>
      <ns0:c r="M41" s="105" t="n">
        <ns0:f>SUMIFS('装量配置'!$E$6:$E$718,'装量配置'!$A$6:$A$718,A41,'装量配置'!$B$6:$B$718,"开局",'装量配置'!$F$6:$F$718,1)</ns0:f>
        <ns0:v>1</ns0:v>
      </ns0:c>
      <ns0:c r="N41" s="105" t="n">
        <ns0:f>SUMIFS('装量配置'!$E$6:$E$718,'装量配置'!$A$6:$A$718,A41,'装量配置'!$B$6:$B$718,"开局",'装量配置'!$D$6:$D$718,"广告锁定周转盒")</ns0:f>
        <ns0:v>2</ns0:v>
      </ns0:c>
      <ns0:c r="O41" s="105" t="n">
        <ns0:f>SUMIFS('装量配置'!$E$6:$E$718,'装量配置'!$A$6:$A$718,A41,'装量配置'!$B$6:$B$718,"开局")</ns0:f>
        <ns0:v>21</ns0:v>
      </ns0:c>
      <ns0:c r="P41" s="105" t="n">
        <ns0:f>SUMIFS('装量配置'!$K$6:$K$718,'装量配置'!$A$6:$A$718,A41)</ns0:f>
        <ns0:v>4</ns0:v>
      </ns0:c>
      <ns0:c r="Q41" s="105" t="n">
        <ns0:v>4</ns0:v>
      </ns0:c>
      <ns0:c r="R41" s="106" t="n">
        <ns0:v>0.09375</ns0:v>
      </ns0:c>
      <ns0:c r="S41" s="106" t="n">
        <ns0:v>0.12</ns0:v>
      </ns0:c>
      <ns0:c r="T41" s="105" t="n">
        <ns0:v>4</ns0:v>
      </ns0:c>
      <ns0:c r="U41" s="105" t="n">
        <ns0:v>0</ns0:v>
      </ns0:c>
      <ns0:c r="V41" s="123" t="str">
        <ns0:v>普通冰冻盒</ns0:v>
      </ns0:c>
      <ns0:c r="W41" s="123" t="str">
        <ns0:v>普通冰冻盒、隐藏层、单颗暂存盒</ns0:v>
      </ns0:c>
      <ns0:c r="X41" s="123" t="str">
        <ns0:v>普通冰冻盒×1；普通冰冻盒×1；单颗暂存盒初装1颗；隐藏6颗；备货0盒</ns0:v>
      </ns0:c>
      <ns0:c r="Y41" s="105" t="n">
        <ns0:f>SUMIFS('装量配置'!$I$6:$I$718,'装量配置'!$A$6:$A$718,A41)</ns0:f>
        <ns0:v>64</ns0:v>
      </ns0:c>
      <ns0:c r="Z41" s="105" t="str">
        <ns0:f>IF(AND(O41&lt;=25,N41=2,Y41=K41*4,H41&lt;=K41,P41+AT41&gt;=4,COUNTIFS('装量配置'!$A$6:$A$718,A41,'装量配置'!$O$6:$O$718,"需调整")=0),"装量通过；待逐味","需调整")</ns0:f>
        <ns0:v>装量通过；待逐味</ns0:v>
      </ns0:c>
      <ns0:c r="AA41" s="107" t="str">
        <ns0:v>已找到无辅助可行解 52 次；非最短</ns0:v>
      </ns0:c>
      <ns0:c r="AB41" s="107"/>
      <ns0:c r="AC41" s="107"/>
      <ns0:c r="AD41" s="106"/>
      <ns0:c r="AE41" s="108"/>
      <ns0:c r="AF41" s="109"/>
      <ns0:c r="AG41" s="109"/>
      <ns0:c r="AH41" s="110"/>
      <ns0:c r="AI41" s="131" t="str">
        <ns0:v>固定层序已制作；正式引擎验证见实施记录</ns0:v>
      </ns0:c>
      <ns0:c r="AJ41" s="123" t="str">
        <ns0:v>31–40续接方案；按固定装量制作层序与订单；设计难度为目标，不代表实测。</ns0:v>
      </ns0:c>
      <ns0:c r="AK41" s="123" t="str">
        <ns0:v>连续居中紧凑行列；每排最多五盒；不挖中间空洞</ns0:v>
      </ns0:c>
      <ns0:c r="AL41" s="105" t="n">
        <ns0:v>1</ns0:v>
      </ns0:c>
      <ns0:c r="AM41" s="106"/>
      <ns0:c r="AN41" s="107"/>
      <ns0:c r="AO41" s="110"/>
      <ns0:c r="AP41" s="123" t="str">
        <ns0:v>四条件可行路线已制作；见回放记录</ns0:v>
      </ns0:c>
      <ns0:c r="AQ41" s="107"/>
      <ns0:c r="AR41" s="121" t="n">
        <ns0:f>SUMIFS('装量配置'!$I$6:$I$718,'装量配置'!$A$6:$A$718,A41,'装量配置'!$B$6:$B$718,"开局")</ns0:f>
        <ns0:v>64</ns0:v>
      </ns0:c>
      <ns0:c r="AS41" s="133" t="n">
        <ns0:f>SUMIFS('装量配置'!$I$6:$I$718,'装量配置'!$A$6:$A$718,A41,'装量配置'!$B$6:$B$718,"开局",'装量配置'!$D$6:$D$718,"普通盒",'装量配置'!$G$6:$G$718,"&gt;0")/(4*SUMIFS('装量配置'!$E$6:$E$718,'装量配置'!$A$6:$A$718,A41,'装量配置'!$B$6:$B$718,"开局",'装量配置'!$D$6:$D$718,"普通盒",'装量配置'!$G$6:$G$718,"&gt;0"))</ns0:f>
        <ns0:v>0.9166666666666666</ns0:v>
      </ns0:c>
      <ns0:c r="AT41" s="121" t="n">
        <ns0:f>SUMIFS('装量配置'!$L$6:$L$718,'装量配置'!$A$6:$A$718,A41)</ns0:f>
        <ns0:v>5</ns0:v>
      </ns0:c>
      <ns0:c r="AU41" s="121" t="n">
        <ns0:f>SUMIFS('装量配置'!$M$6:$M$718,'装量配置'!$A$6:$A$718,A41)</ns0:f>
        <ns0:v>0</ns0:v>
      </ns0:c>
      <ns0:c r="AV41" s="121" t="n">
        <ns0:f>SUMIFS('装量配置'!$N$6:$N$718,'装量配置'!$A$6:$A$718,A41)</ns0:f>
        <ns0:v>0</ns0:v>
      </ns0:c>
      <ns0:c r="AW41" s="133" t="n">
        <ns0:v>0.18</ns0:v>
      </ns0:c>
      <ns0:c r="AX41" s="121" t="n">
        <ns0:v>5</ns0:v>
      </ns0:c>
      <ns0:c r="AY41" s="121" t="n">
        <ns0:f>IF(AX41=1,1,0)</ns0:f>
        <ns0:v>0</ns0:v>
      </ns0:c>
      <ns0:c r="AZ41" s="121" t="n">
        <ns0:f>SUMIFS('装量配置'!$E$6:$E$718,'装量配置'!$A$6:$A$718,A41,'装量配置'!$B$6:$B$718,"开局",'装量配置'!$D$6:$D$718,"&lt;&gt;普通盒",'装量配置'!$D$6:$D$718,"&lt;&gt;广告锁定周转盒")</ns0:f>
        <ns0:v>3</ns0:v>
      </ns0:c>
      <ns0:c r="BA41" s="150" t="n">
        <ns0:f>IF(COUNTIFS('装量配置'!$A$6:$A$718,A41,'装量配置'!$B$6:$B$718,"开局",'装量配置'!$D$6:$D$718,"数字盖盒",'装量配置'!$E$6:$E$718,"&gt;0")&gt;0,1,0)+IF(COUNTIFS('装量配置'!$A$6:$A$718,A41,'装量配置'!$B$6:$B$718,"开局",'装量配置'!$D$6:$D$718,"普通冰冻盒",'装量配置'!$E$6:$E$718,"&gt;0")&gt;0,1,0)+IF(COUNTIFS('装量配置'!$A$6:$A$718,A41,'装量配置'!$B$6:$B$718,"开局",'装量配置'!$D$6:$D$718,"单颗暂存盒",'装量配置'!$E$6:$E$718,"&gt;0")&gt;0,1,0)+IF(COUNTIFS('装量配置'!$A$6:$A$718,A41,'装量配置'!$B$6:$B$718,"开局",'装量配置'!$D$6:$D$718,"数字冰冻盒",'装量配置'!$E$6:$E$718,"&gt;0")&gt;0,1,0)+IF(COUNTIFS('装量配置'!$A$6:$A$718,A41,'装量配置'!$B$6:$B$718,"开局",'装量配置'!$D$6:$D$718,"固定颜色盒",'装量配置'!$E$6:$E$718,"&gt;0")&gt;0,1,0)+IF(COUNTIFS('装量配置'!$A$6:$A$718,A41,'装量配置'!$B$6:$B$718,"开局",'装量配置'!$D$6:$D$718,"单向收纳盒",'装量配置'!$E$6:$E$718,"&gt;0")&gt;0,1,0)+IF(COUNTIFS('装量配置'!$A$6:$A$718,A41,'装量配置'!$B$6:$B$718,"开局",'装量配置'!$D$6:$D$718,"底部置顶盒",'装量配置'!$E$6:$E$718,"&gt;0")&gt;0,1,0)+IF(COUNTIFS('装量配置'!$A$6:$A$718,A41,'装量配置'!$B$6:$B$718,"开局",'装量配置'!$D$6:$D$718,"炸弹盒",'装量配置'!$E$6:$E$718,"&gt;0")&gt;0,1,0)</ns0:f>
        <ns0:v>2</ns0:v>
      </ns0:c>
      <ns0:c r="BB41" s="150" t="n">
        <ns0:f>SUMIFS('装量配置'!$E$6:$E$718,'装量配置'!$A$6:$A$718,A41,'装量配置'!$B$6:$B$718,"开局",'装量配置'!$D$6:$D$718,"数字盖盒")+SUMIFS('装量配置'!$E$6:$E$718,'装量配置'!$A$6:$A$718,A41,'装量配置'!$B$6:$B$718,"开局",'装量配置'!$D$6:$D$718,"普通冰冻盒")+SUMIFS('装量配置'!$E$6:$E$718,'装量配置'!$A$6:$A$718,A41,'装量配置'!$B$6:$B$718,"开局",'装量配置'!$D$6:$D$718,"数字冰冻盒")</ns0:f>
        <ns0:v>2</ns0:v>
      </ns0:c>
      <ns0:c r="BC41" s="150" t="n">
        <ns0:f>SUMIFS('装量配置'!$R$6:$R$718,'装量配置'!$A$6:$A$718,A41,'装量配置'!$B$6:$B$718,"开局")</ns0:f>
        <ns0:v>0</ns0:v>
      </ns0:c>
      <ns0:c r="BD41" s="148" t="str">
        <ns0:v>预装暂存与隐藏；完整无辅助路线实际使用机关和暂存，难度评分待真人试玩。</ns0:v>
      </ns0:c>
      <ns0:c r="BE41" s="150" t="n">
        <ns0:v>3</ns0:v>
      </ns0:c>
      <ns0:c r="BF41" s="148" t="str">
        <ns0:v>基线路线中段腾位 3 段；非所有路径</ns0:v>
      </ns0:c>
    </ns0:row>
    <ns0:row r="42" ht="33" customHeight="1">
      <ns0:c r="A42" s="112" t="n">
        <ns0:v>37</ns0:v>
      </ns0:c>
      <ns0:c r="B42" s="119" t="str">
        <ns0:v>已学机制组合</ns0:v>
      </ns0:c>
      <ns0:c r="C42" s="127" t="str">
        <ns0:v>零空盒分段补货</ns0:v>
      </ns0:c>
      <ns0:c r="D42" s="114" t="n">
        <ns0:v>4.9</ns0:v>
      </ns0:c>
      <ns0:c r="E42" s="124" t="str">
        <ns0:v>分散余量与订单次序</ns0:v>
      </ns0:c>
      <ns0:c r="F42" s="124" t="str">
        <ns0:v>机关与信息组合</ns0:v>
      </ns0:c>
      <ns0:c r="G42" s="112" t="str">
        <ns0:v>整齐</ns0:v>
      </ns0:c>
      <ns0:c r="H42" s="112" t="n">
        <ns0:v>8</ns0:v>
      </ns0:c>
      <ns0:c r="I42" s="112" t="n">
        <ns0:f>SUMIFS('装量配置'!$E$6:$E$718,'装量配置'!$A$6:$A$718,A42,'装量配置'!$B$6:$B$718,"开局",'装量配置'!$F$6:$F$718,4,'装量配置'!$G$6:$G$718,"&gt;0")</ns0:f>
        <ns0:v>19</ns0:v>
      </ns0:c>
      <ns0:c r="J42" s="112" t="n">
        <ns0:f>SUMIFS('装量配置'!$E$6:$E$718,'装量配置'!$A$6:$A$718,A42,'装量配置'!$B$6:$B$718,"备货")</ns0:f>
        <ns0:v>2</ns0:v>
      </ns0:c>
      <ns0:c r="K42" s="112" t="n">
        <ns0:v>19</ns0:v>
      </ns0:c>
      <ns0:c r="L42" s="112" t="n">
        <ns0:f>SUMIFS('装量配置'!$E$6:$E$718,'装量配置'!$A$6:$A$718,A42,'装量配置'!$B$6:$B$718,"开局",'装量配置'!$F$6:$F$718,4,'装量配置'!$G$6:$G$718,0,'装量配置'!$D$6:$D$718,"&lt;&gt;广告锁定周转盒")</ns0:f>
        <ns0:v>0</ns0:v>
      </ns0:c>
      <ns0:c r="M42" s="112" t="n">
        <ns0:f>SUMIFS('装量配置'!$E$6:$E$718,'装量配置'!$A$6:$A$718,A42,'装量配置'!$B$6:$B$718,"开局",'装量配置'!$F$6:$F$718,1)</ns0:f>
        <ns0:v>1</ns0:v>
      </ns0:c>
      <ns0:c r="N42" s="112" t="n">
        <ns0:f>SUMIFS('装量配置'!$E$6:$E$718,'装量配置'!$A$6:$A$718,A42,'装量配置'!$B$6:$B$718,"开局",'装量配置'!$D$6:$D$718,"广告锁定周转盒")</ns0:f>
        <ns0:v>2</ns0:v>
      </ns0:c>
      <ns0:c r="O42" s="112" t="n">
        <ns0:f>SUMIFS('装量配置'!$E$6:$E$718,'装量配置'!$A$6:$A$718,A42,'装量配置'!$B$6:$B$718,"开局")</ns0:f>
        <ns0:v>22</ns0:v>
      </ns0:c>
      <ns0:c r="P42" s="112" t="n">
        <ns0:f>SUMIFS('装量配置'!$K$6:$K$718,'装量配置'!$A$6:$A$718,A42)</ns0:f>
        <ns0:v>1</ns0:v>
      </ns0:c>
      <ns0:c r="Q42" s="112" t="n">
        <ns0:v>4</ns0:v>
      </ns0:c>
      <ns0:c r="R42" s="113" t="n">
        <ns0:v>0</ns0:v>
      </ns0:c>
      <ns0:c r="S42" s="113" t="n">
        <ns0:v>0.12</ns0:v>
      </ns0:c>
      <ns0:c r="T42" s="112" t="n">
        <ns0:v>4</ns0:v>
      </ns0:c>
      <ns0:c r="U42" s="112" t="n">
        <ns0:v>3</ns0:v>
      </ns0:c>
      <ns0:c r="V42" s="124" t="str">
        <ns0:v>数字冰冻盒</ns0:v>
      </ns0:c>
      <ns0:c r="W42" s="124" t="str">
        <ns0:v>数字盖盒、单颗暂存盒</ns0:v>
      </ns0:c>
      <ns0:c r="X42" s="124" t="str">
        <ns0:v>数字冰冻盒×1（1）；数字盖盒×1（1）；单颗暂存盒初装0颗；隐藏0颗；备货2盒</ns0:v>
      </ns0:c>
      <ns0:c r="Y42" s="112" t="n">
        <ns0:f>SUMIFS('装量配置'!$I$6:$I$718,'装量配置'!$A$6:$A$718,A42)</ns0:f>
        <ns0:v>76</ns0:v>
      </ns0:c>
      <ns0:c r="Z42" s="112" t="str">
        <ns0:f>IF(AND(O42&lt;=25,N42=2,Y42=K42*4,H42&lt;=K42,P42+AT42&gt;=4,COUNTIFS('装量配置'!$A$6:$A$718,A42,'装量配置'!$O$6:$O$718,"需调整")=0),"装量通过；待逐味","需调整")</ns0:f>
        <ns0:v>装量通过；待逐味</ns0:v>
      </ns0:c>
      <ns0:c r="AA42" s="107" t="str">
        <ns0:v>已找到无辅助可行解 62 次；非最短</ns0:v>
      </ns0:c>
      <ns0:c r="AB42" s="107"/>
      <ns0:c r="AC42" s="107"/>
      <ns0:c r="AD42" s="113"/>
      <ns0:c r="AE42" s="114"/>
      <ns0:c r="AF42" s="109"/>
      <ns0:c r="AG42" s="109"/>
      <ns0:c r="AH42" s="110"/>
      <ns0:c r="AI42" s="131" t="str">
        <ns0:v>固定层序已制作；正式引擎验证见实施记录</ns0:v>
      </ns0:c>
      <ns0:c r="AJ42" s="124" t="str">
        <ns0:v>31–40续接方案；按固定装量制作层序与订单；设计难度为目标，不代表实测。</ns0:v>
      </ns0:c>
      <ns0:c r="AK42" s="124" t="str">
        <ns0:v>连续居中紧凑行列；每排最多五盒；不挖中间空洞</ns0:v>
      </ns0:c>
      <ns0:c r="AL42" s="112" t="n">
        <ns0:v>1</ns0:v>
      </ns0:c>
      <ns0:c r="AM42" s="113"/>
      <ns0:c r="AN42" s="112"/>
      <ns0:c r="AO42" s="113"/>
      <ns0:c r="AP42" s="124" t="str">
        <ns0:v>四条件可行路线已制作；见回放记录</ns0:v>
      </ns0:c>
      <ns0:c r="AQ42" s="107"/>
      <ns0:c r="AR42" s="120" t="n">
        <ns0:f>SUMIFS('装量配置'!$I$6:$I$718,'装量配置'!$A$6:$A$718,A42,'装量配置'!$B$6:$B$718,"开局")</ns0:f>
        <ns0:v>68</ns0:v>
      </ns0:c>
      <ns0:c r="AS42" s="132" t="n">
        <ns0:f>SUMIFS('装量配置'!$I$6:$I$718,'装量配置'!$A$6:$A$718,A42,'装量配置'!$B$6:$B$718,"开局",'装量配置'!$D$6:$D$718,"普通盒",'装量配置'!$G$6:$G$718,"&gt;0")/(4*SUMIFS('装量配置'!$E$6:$E$718,'装量配置'!$A$6:$A$718,A42,'装量配置'!$B$6:$B$718,"开局",'装量配置'!$D$6:$D$718,"普通盒",'装量配置'!$G$6:$G$718,"&gt;0"))</ns0:f>
        <ns0:v>0.8823529411764706</ns0:v>
      </ns0:c>
      <ns0:c r="AT42" s="120" t="n">
        <ns0:f>SUMIFS('装量配置'!$L$6:$L$718,'装量配置'!$A$6:$A$718,A42)</ns0:f>
        <ns0:v>8</ns0:v>
      </ns0:c>
      <ns0:c r="AU42" s="120" t="n">
        <ns0:f>SUMIFS('装量配置'!$M$6:$M$718,'装量配置'!$A$6:$A$718,A42)</ns0:f>
        <ns0:v>0</ns0:v>
      </ns0:c>
      <ns0:c r="AV42" s="120" t="n">
        <ns0:f>SUMIFS('装量配置'!$N$6:$N$718,'装量配置'!$A$6:$A$718,A42)</ns0:f>
        <ns0:v>0</ns0:v>
      </ns0:c>
      <ns0:c r="AW42" s="132" t="n">
        <ns0:v>0.18</ns0:v>
      </ns0:c>
      <ns0:c r="AX42" s="120" t="n">
        <ns0:v>5</ns0:v>
      </ns0:c>
      <ns0:c r="AY42" s="120" t="n">
        <ns0:f>IF(AX42=1,1,0)</ns0:f>
        <ns0:v>0</ns0:v>
      </ns0:c>
      <ns0:c r="AZ42" s="120" t="n">
        <ns0:f>SUMIFS('装量配置'!$E$6:$E$718,'装量配置'!$A$6:$A$718,A42,'装量配置'!$B$6:$B$718,"开局",'装量配置'!$D$6:$D$718,"&lt;&gt;普通盒",'装量配置'!$D$6:$D$718,"&lt;&gt;广告锁定周转盒")</ns0:f>
        <ns0:v>3</ns0:v>
      </ns0:c>
      <ns0:c r="BA42" s="149" t="n">
        <ns0:f>IF(COUNTIFS('装量配置'!$A$6:$A$718,A42,'装量配置'!$B$6:$B$718,"开局",'装量配置'!$D$6:$D$718,"数字盖盒",'装量配置'!$E$6:$E$718,"&gt;0")&gt;0,1,0)+IF(COUNTIFS('装量配置'!$A$6:$A$718,A42,'装量配置'!$B$6:$B$718,"开局",'装量配置'!$D$6:$D$718,"普通冰冻盒",'装量配置'!$E$6:$E$718,"&gt;0")&gt;0,1,0)+IF(COUNTIFS('装量配置'!$A$6:$A$718,A42,'装量配置'!$B$6:$B$718,"开局",'装量配置'!$D$6:$D$718,"单颗暂存盒",'装量配置'!$E$6:$E$718,"&gt;0")&gt;0,1,0)+IF(COUNTIFS('装量配置'!$A$6:$A$718,A42,'装量配置'!$B$6:$B$718,"开局",'装量配置'!$D$6:$D$718,"数字冰冻盒",'装量配置'!$E$6:$E$718,"&gt;0")&gt;0,1,0)+IF(COUNTIFS('装量配置'!$A$6:$A$718,A42,'装量配置'!$B$6:$B$718,"开局",'装量配置'!$D$6:$D$718,"固定颜色盒",'装量配置'!$E$6:$E$718,"&gt;0")&gt;0,1,0)+IF(COUNTIFS('装量配置'!$A$6:$A$718,A42,'装量配置'!$B$6:$B$718,"开局",'装量配置'!$D$6:$D$718,"单向收纳盒",'装量配置'!$E$6:$E$718,"&gt;0")&gt;0,1,0)+IF(COUNTIFS('装量配置'!$A$6:$A$718,A42,'装量配置'!$B$6:$B$718,"开局",'装量配置'!$D$6:$D$718,"底部置顶盒",'装量配置'!$E$6:$E$718,"&gt;0")&gt;0,1,0)+IF(COUNTIFS('装量配置'!$A$6:$A$718,A42,'装量配置'!$B$6:$B$718,"开局",'装量配置'!$D$6:$D$718,"炸弹盒",'装量配置'!$E$6:$E$718,"&gt;0")&gt;0,1,0)</ns0:f>
        <ns0:v>3</ns0:v>
      </ns0:c>
      <ns0:c r="BB42" s="149" t="n">
        <ns0:f>SUMIFS('装量配置'!$E$6:$E$718,'装量配置'!$A$6:$A$718,A42,'装量配置'!$B$6:$B$718,"开局",'装量配置'!$D$6:$D$718,"数字盖盒")+SUMIFS('装量配置'!$E$6:$E$718,'装量配置'!$A$6:$A$718,A42,'装量配置'!$B$6:$B$718,"开局",'装量配置'!$D$6:$D$718,"普通冰冻盒")+SUMIFS('装量配置'!$E$6:$E$718,'装量配置'!$A$6:$A$718,A42,'装量配置'!$B$6:$B$718,"开局",'装量配置'!$D$6:$D$718,"数字冰冻盒")</ns0:f>
        <ns0:v>2</ns0:v>
      </ns0:c>
      <ns0:c r="BC42" s="149" t="n">
        <ns0:f>SUMIFS('装量配置'!$R$6:$R$718,'装量配置'!$A$6:$A$718,A42,'装量配置'!$B$6:$B$718,"开局")</ns0:f>
        <ns0:v>2</ns0:v>
      </ns0:c>
      <ns0:c r="BD42" s="146" t="str">
        <ns0:v>零空盒分段补货；完整无辅助路线实际使用机关和暂存，难度评分待真人试玩。</ns0:v>
      </ns0:c>
      <ns0:c r="BE42" s="149" t="n">
        <ns0:v>3</ns0:v>
      </ns0:c>
      <ns0:c r="BF42" s="146" t="str">
        <ns0:v>基线路线中段腾位 3 段；非所有路径</ns0:v>
      </ns0:c>
    </ns0:row>
    <ns0:row r="43" ht="33" customHeight="1">
      <ns0:c r="A43" s="105" t="n">
        <ns0:v>38</ns0:v>
      </ns0:c>
      <ns0:c r="B43" s="117" t="str">
        <ns0:v>已学机制组合</ns0:v>
      </ns0:c>
      <ns0:c r="C43" s="126" t="str">
        <ns0:v>补货缓和</ns0:v>
      </ns0:c>
      <ns0:c r="D43" s="108" t="n">
        <ns0:v>4.7</ns0:v>
      </ns0:c>
      <ns0:c r="E43" s="123" t="str">
        <ns0:v>分散余量与订单次序</ns0:v>
      </ns0:c>
      <ns0:c r="F43" s="123" t="str">
        <ns0:v>机关与信息组合</ns0:v>
      </ns0:c>
      <ns0:c r="G43" s="105" t="str">
        <ns0:v>整齐</ns0:v>
      </ns0:c>
      <ns0:c r="H43" s="105" t="n">
        <ns0:v>8</ns0:v>
      </ns0:c>
      <ns0:c r="I43" s="105" t="n">
        <ns0:f>SUMIFS('装量配置'!$E$6:$E$718,'装量配置'!$A$6:$A$718,A43,'装量配置'!$B$6:$B$718,"开局",'装量配置'!$F$6:$F$718,4,'装量配置'!$G$6:$G$718,"&gt;0")</ns0:f>
        <ns0:v>16</ns0:v>
      </ns0:c>
      <ns0:c r="J43" s="105" t="n">
        <ns0:f>SUMIFS('装量配置'!$E$6:$E$718,'装量配置'!$A$6:$A$718,A43,'装量配置'!$B$6:$B$718,"备货")</ns0:f>
        <ns0:v>1</ns0:v>
      </ns0:c>
      <ns0:c r="K43" s="105" t="n">
        <ns0:v>16</ns0:v>
      </ns0:c>
      <ns0:c r="L43" s="105" t="n">
        <ns0:f>SUMIFS('装量配置'!$E$6:$E$718,'装量配置'!$A$6:$A$718,A43,'装量配置'!$B$6:$B$718,"开局",'装量配置'!$F$6:$F$718,4,'装量配置'!$G$6:$G$718,0,'装量配置'!$D$6:$D$718,"&lt;&gt;广告锁定周转盒")</ns0:f>
        <ns0:v>1</ns0:v>
      </ns0:c>
      <ns0:c r="M43" s="105" t="n">
        <ns0:f>SUMIFS('装量配置'!$E$6:$E$718,'装量配置'!$A$6:$A$718,A43,'装量配置'!$B$6:$B$718,"开局",'装量配置'!$F$6:$F$718,1)</ns0:f>
        <ns0:v>1</ns0:v>
      </ns0:c>
      <ns0:c r="N43" s="105" t="n">
        <ns0:f>SUMIFS('装量配置'!$E$6:$E$718,'装量配置'!$A$6:$A$718,A43,'装量配置'!$B$6:$B$718,"开局",'装量配置'!$D$6:$D$718,"广告锁定周转盒")</ns0:f>
        <ns0:v>2</ns0:v>
      </ns0:c>
      <ns0:c r="O43" s="105" t="n">
        <ns0:f>SUMIFS('装量配置'!$E$6:$E$718,'装量配置'!$A$6:$A$718,A43,'装量配置'!$B$6:$B$718,"开局")</ns0:f>
        <ns0:v>20</ns0:v>
      </ns0:c>
      <ns0:c r="P43" s="105" t="n">
        <ns0:f>SUMIFS('装量配置'!$K$6:$K$718,'装量配置'!$A$6:$A$718,A43)</ns0:f>
        <ns0:v>5</ns0:v>
      </ns0:c>
      <ns0:c r="Q43" s="105" t="n">
        <ns0:v>4</ns0:v>
      </ns0:c>
      <ns0:c r="R43" s="106" t="n">
        <ns0:v>0</ns0:v>
      </ns0:c>
      <ns0:c r="S43" s="106" t="n">
        <ns0:v>0.12</ns0:v>
      </ns0:c>
      <ns0:c r="T43" s="105" t="n">
        <ns0:v>4</ns0:v>
      </ns0:c>
      <ns0:c r="U43" s="105" t="n">
        <ns0:v>3</ns0:v>
      </ns0:c>
      <ns0:c r="V43" s="123" t="str">
        <ns0:v>普通冰冻盒</ns0:v>
      </ns0:c>
      <ns0:c r="W43" s="123" t="str">
        <ns0:v>单颗暂存盒</ns0:v>
      </ns0:c>
      <ns0:c r="X43" s="123" t="str">
        <ns0:v>普通冰冻盒×1；单颗暂存盒初装0颗；隐藏0颗；备货1盒</ns0:v>
      </ns0:c>
      <ns0:c r="Y43" s="105" t="n">
        <ns0:f>SUMIFS('装量配置'!$I$6:$I$718,'装量配置'!$A$6:$A$718,A43)</ns0:f>
        <ns0:v>64</ns0:v>
      </ns0:c>
      <ns0:c r="Z43" s="105" t="str">
        <ns0:f>IF(AND(O43&lt;=25,N43=2,Y43=K43*4,H43&lt;=K43,P43+AT43&gt;=4,COUNTIFS('装量配置'!$A$6:$A$718,A43,'装量配置'!$O$6:$O$718,"需调整")=0),"装量通过；待逐味","需调整")</ns0:f>
        <ns0:v>装量通过；待逐味</ns0:v>
      </ns0:c>
      <ns0:c r="AA43" s="107" t="str">
        <ns0:v>已找到无辅助可行解 53 次；非最短</ns0:v>
      </ns0:c>
      <ns0:c r="AB43" s="107"/>
      <ns0:c r="AC43" s="107"/>
      <ns0:c r="AD43" s="106"/>
      <ns0:c r="AE43" s="108"/>
      <ns0:c r="AF43" s="109"/>
      <ns0:c r="AG43" s="109"/>
      <ns0:c r="AH43" s="110"/>
      <ns0:c r="AI43" s="131" t="str">
        <ns0:v>固定层序已制作；正式引擎验证见实施记录</ns0:v>
      </ns0:c>
      <ns0:c r="AJ43" s="123" t="str">
        <ns0:v>31–40续接方案；按固定装量制作层序与订单；设计难度为目标，不代表实测。</ns0:v>
      </ns0:c>
      <ns0:c r="AK43" s="123" t="str">
        <ns0:v>连续居中紧凑行列；每排最多五盒；不挖中间空洞</ns0:v>
      </ns0:c>
      <ns0:c r="AL43" s="105" t="n">
        <ns0:v>1</ns0:v>
      </ns0:c>
      <ns0:c r="AM43" s="106"/>
      <ns0:c r="AN43" s="107"/>
      <ns0:c r="AO43" s="110"/>
      <ns0:c r="AP43" s="123" t="str">
        <ns0:v>四条件可行路线已制作；见回放记录</ns0:v>
      </ns0:c>
      <ns0:c r="AQ43" s="107"/>
      <ns0:c r="AR43" s="121" t="n">
        <ns0:f>SUMIFS('装量配置'!$I$6:$I$718,'装量配置'!$A$6:$A$718,A43,'装量配置'!$B$6:$B$718,"开局")</ns0:f>
        <ns0:v>60</ns0:v>
      </ns0:c>
      <ns0:c r="AS43" s="133" t="n">
        <ns0:f>SUMIFS('装量配置'!$I$6:$I$718,'装量配置'!$A$6:$A$718,A43,'装量配置'!$B$6:$B$718,"开局",'装量配置'!$D$6:$D$718,"普通盒",'装量配置'!$G$6:$G$718,"&gt;0")/(4*SUMIFS('装量配置'!$E$6:$E$718,'装量配置'!$A$6:$A$718,A43,'装量配置'!$B$6:$B$718,"开局",'装量配置'!$D$6:$D$718,"普通盒",'装量配置'!$G$6:$G$718,"&gt;0"))</ns0:f>
        <ns0:v>0.9333333333333333</ns0:v>
      </ns0:c>
      <ns0:c r="AT43" s="121" t="n">
        <ns0:f>SUMIFS('装量配置'!$L$6:$L$718,'装量配置'!$A$6:$A$718,A43)</ns0:f>
        <ns0:v>4</ns0:v>
      </ns0:c>
      <ns0:c r="AU43" s="121" t="n">
        <ns0:f>SUMIFS('装量配置'!$M$6:$M$718,'装量配置'!$A$6:$A$718,A43)</ns0:f>
        <ns0:v>0</ns0:v>
      </ns0:c>
      <ns0:c r="AV43" s="121" t="n">
        <ns0:f>SUMIFS('装量配置'!$N$6:$N$718,'装量配置'!$A$6:$A$718,A43)</ns0:f>
        <ns0:v>0</ns0:v>
      </ns0:c>
      <ns0:c r="AW43" s="133" t="n">
        <ns0:v>0.18</ns0:v>
      </ns0:c>
      <ns0:c r="AX43" s="121" t="n">
        <ns0:v>4</ns0:v>
      </ns0:c>
      <ns0:c r="AY43" s="121" t="n">
        <ns0:f>IF(AX43=1,1,0)</ns0:f>
        <ns0:v>0</ns0:v>
      </ns0:c>
      <ns0:c r="AZ43" s="121" t="n">
        <ns0:f>SUMIFS('装量配置'!$E$6:$E$718,'装量配置'!$A$6:$A$718,A43,'装量配置'!$B$6:$B$718,"开局",'装量配置'!$D$6:$D$718,"&lt;&gt;普通盒",'装量配置'!$D$6:$D$718,"&lt;&gt;广告锁定周转盒")</ns0:f>
        <ns0:v>2</ns0:v>
      </ns0:c>
      <ns0:c r="BA43" s="150" t="n">
        <ns0:f>IF(COUNTIFS('装量配置'!$A$6:$A$718,A43,'装量配置'!$B$6:$B$718,"开局",'装量配置'!$D$6:$D$718,"数字盖盒",'装量配置'!$E$6:$E$718,"&gt;0")&gt;0,1,0)+IF(COUNTIFS('装量配置'!$A$6:$A$718,A43,'装量配置'!$B$6:$B$718,"开局",'装量配置'!$D$6:$D$718,"普通冰冻盒",'装量配置'!$E$6:$E$718,"&gt;0")&gt;0,1,0)+IF(COUNTIFS('装量配置'!$A$6:$A$718,A43,'装量配置'!$B$6:$B$718,"开局",'装量配置'!$D$6:$D$718,"单颗暂存盒",'装量配置'!$E$6:$E$718,"&gt;0")&gt;0,1,0)+IF(COUNTIFS('装量配置'!$A$6:$A$718,A43,'装量配置'!$B$6:$B$718,"开局",'装量配置'!$D$6:$D$718,"数字冰冻盒",'装量配置'!$E$6:$E$718,"&gt;0")&gt;0,1,0)+IF(COUNTIFS('装量配置'!$A$6:$A$718,A43,'装量配置'!$B$6:$B$718,"开局",'装量配置'!$D$6:$D$718,"固定颜色盒",'装量配置'!$E$6:$E$718,"&gt;0")&gt;0,1,0)+IF(COUNTIFS('装量配置'!$A$6:$A$718,A43,'装量配置'!$B$6:$B$718,"开局",'装量配置'!$D$6:$D$718,"单向收纳盒",'装量配置'!$E$6:$E$718,"&gt;0")&gt;0,1,0)+IF(COUNTIFS('装量配置'!$A$6:$A$718,A43,'装量配置'!$B$6:$B$718,"开局",'装量配置'!$D$6:$D$718,"底部置顶盒",'装量配置'!$E$6:$E$718,"&gt;0")&gt;0,1,0)+IF(COUNTIFS('装量配置'!$A$6:$A$718,A43,'装量配置'!$B$6:$B$718,"开局",'装量配置'!$D$6:$D$718,"炸弹盒",'装量配置'!$E$6:$E$718,"&gt;0")&gt;0,1,0)</ns0:f>
        <ns0:v>2</ns0:v>
      </ns0:c>
      <ns0:c r="BB43" s="150" t="n">
        <ns0:f>SUMIFS('装量配置'!$E$6:$E$718,'装量配置'!$A$6:$A$718,A43,'装量配置'!$B$6:$B$718,"开局",'装量配置'!$D$6:$D$718,"数字盖盒")+SUMIFS('装量配置'!$E$6:$E$718,'装量配置'!$A$6:$A$718,A43,'装量配置'!$B$6:$B$718,"开局",'装量配置'!$D$6:$D$718,"普通冰冻盒")+SUMIFS('装量配置'!$E$6:$E$718,'装量配置'!$A$6:$A$718,A43,'装量配置'!$B$6:$B$718,"开局",'装量配置'!$D$6:$D$718,"数字冰冻盒")</ns0:f>
        <ns0:v>1</ns0:v>
      </ns0:c>
      <ns0:c r="BC43" s="150" t="n">
        <ns0:f>SUMIFS('装量配置'!$R$6:$R$718,'装量配置'!$A$6:$A$718,A43,'装量配置'!$B$6:$B$718,"开局")</ns0:f>
        <ns0:v>0</ns0:v>
      </ns0:c>
      <ns0:c r="BD43" s="148" t="str">
        <ns0:v>补货缓和；完整无辅助路线实际使用机关和暂存，难度评分待真人试玩。</ns0:v>
      </ns0:c>
      <ns0:c r="BE43" s="150" t="n">
        <ns0:v>2</ns0:v>
      </ns0:c>
      <ns0:c r="BF43" s="148" t="str">
        <ns0:v>基线路线中段腾位 4 段；非所有路径</ns0:v>
      </ns0:c>
    </ns0:row>
    <ns0:row r="44" ht="33" customHeight="1">
      <ns0:c r="A44" s="112" t="n">
        <ns0:v>39</ns0:v>
      </ns0:c>
      <ns0:c r="B44" s="119" t="str">
        <ns0:v>已学机制组合</ns0:v>
      </ns0:c>
      <ns0:c r="C44" s="127" t="str">
        <ns0:v>阶段高点</ns0:v>
      </ns0:c>
      <ns0:c r="D44" s="114" t="n">
        <ns0:v>5</ns0:v>
      </ns0:c>
      <ns0:c r="E44" s="124" t="str">
        <ns0:v>分散余量与订单次序</ns0:v>
      </ns0:c>
      <ns0:c r="F44" s="124" t="str">
        <ns0:v>机关与信息组合</ns0:v>
      </ns0:c>
      <ns0:c r="G44" s="112" t="str">
        <ns0:v>整齐</ns0:v>
      </ns0:c>
      <ns0:c r="H44" s="112" t="n">
        <ns0:v>8</ns0:v>
      </ns0:c>
      <ns0:c r="I44" s="112" t="n">
        <ns0:f>SUMIFS('装量配置'!$E$6:$E$718,'装量配置'!$A$6:$A$718,A44,'装量配置'!$B$6:$B$718,"开局",'装量配置'!$F$6:$F$718,4,'装量配置'!$G$6:$G$718,"&gt;0")</ns0:f>
        <ns0:v>19</ns0:v>
      </ns0:c>
      <ns0:c r="J44" s="112" t="n">
        <ns0:f>SUMIFS('装量配置'!$E$6:$E$718,'装量配置'!$A$6:$A$718,A44,'装量配置'!$B$6:$B$718,"备货")</ns0:f>
        <ns0:v>0</ns0:v>
      </ns0:c>
      <ns0:c r="K44" s="112" t="n">
        <ns0:v>17</ns0:v>
      </ns0:c>
      <ns0:c r="L44" s="112" t="n">
        <ns0:f>SUMIFS('装量配置'!$E$6:$E$718,'装量配置'!$A$6:$A$718,A44,'装量配置'!$B$6:$B$718,"开局",'装量配置'!$F$6:$F$718,4,'装量配置'!$G$6:$G$718,0,'装量配置'!$D$6:$D$718,"&lt;&gt;广告锁定周转盒")</ns0:f>
        <ns0:v>0</ns0:v>
      </ns0:c>
      <ns0:c r="M44" s="112" t="n">
        <ns0:f>SUMIFS('装量配置'!$E$6:$E$718,'装量配置'!$A$6:$A$718,A44,'装量配置'!$B$6:$B$718,"开局",'装量配置'!$F$6:$F$718,1)</ns0:f>
        <ns0:v>1</ns0:v>
      </ns0:c>
      <ns0:c r="N44" s="112" t="n">
        <ns0:f>SUMIFS('装量配置'!$E$6:$E$718,'装量配置'!$A$6:$A$718,A44,'装量配置'!$B$6:$B$718,"开局",'装量配置'!$D$6:$D$718,"广告锁定周转盒")</ns0:f>
        <ns0:v>2</ns0:v>
      </ns0:c>
      <ns0:c r="O44" s="112" t="n">
        <ns0:f>SUMIFS('装量配置'!$E$6:$E$718,'装量配置'!$A$6:$A$718,A44,'装量配置'!$B$6:$B$718,"开局")</ns0:f>
        <ns0:v>22</ns0:v>
      </ns0:c>
      <ns0:c r="P44" s="112" t="n">
        <ns0:f>SUMIFS('装量配置'!$K$6:$K$718,'装量配置'!$A$6:$A$718,A44)</ns0:f>
        <ns0:v>0</ns0:v>
      </ns0:c>
      <ns0:c r="Q44" s="112" t="n">
        <ns0:v>4</ns0:v>
      </ns0:c>
      <ns0:c r="R44" s="113" t="n">
        <ns0:v>0.08823529411764706</ns0:v>
      </ns0:c>
      <ns0:c r="S44" s="113" t="n">
        <ns0:v>0.12</ns0:v>
      </ns0:c>
      <ns0:c r="T44" s="112" t="n">
        <ns0:v>4</ns0:v>
      </ns0:c>
      <ns0:c r="U44" s="112" t="n">
        <ns0:v>0</ns0:v>
      </ns0:c>
      <ns0:c r="V44" s="124" t="str">
        <ns0:v>普通冰冻盒</ns0:v>
      </ns0:c>
      <ns0:c r="W44" s="124" t="str">
        <ns0:v>普通冰冻盒、数字冰冻盒、隐藏层、单颗暂存盒</ns0:v>
      </ns0:c>
      <ns0:c r="X44" s="124" t="str">
        <ns0:v>普通冰冻盒×1；普通冰冻盒×1；数字冰冻盒×1（2）；单颗暂存盒初装1颗；隐藏6颗；备货0盒</ns0:v>
      </ns0:c>
      <ns0:c r="Y44" s="112" t="n">
        <ns0:f>SUMIFS('装量配置'!$I$6:$I$718,'装量配置'!$A$6:$A$718,A44)</ns0:f>
        <ns0:v>68</ns0:v>
      </ns0:c>
      <ns0:c r="Z44" s="112" t="str">
        <ns0:f>IF(AND(O44&lt;=25,N44=2,Y44=K44*4,H44&lt;=K44,P44+AT44&gt;=4,COUNTIFS('装量配置'!$A$6:$A$718,A44,'装量配置'!$O$6:$O$718,"需调整")=0),"装量通过；待逐味","需调整")</ns0:f>
        <ns0:v>装量通过；待逐味</ns0:v>
      </ns0:c>
      <ns0:c r="AA44" s="107" t="str">
        <ns0:v>已找到无辅助可行解 56 次；非最短</ns0:v>
      </ns0:c>
      <ns0:c r="AB44" s="107"/>
      <ns0:c r="AC44" s="107"/>
      <ns0:c r="AD44" s="113"/>
      <ns0:c r="AE44" s="114"/>
      <ns0:c r="AF44" s="109"/>
      <ns0:c r="AG44" s="109"/>
      <ns0:c r="AH44" s="110"/>
      <ns0:c r="AI44" s="131" t="str">
        <ns0:v>固定层序已制作；正式引擎验证见实施记录</ns0:v>
      </ns0:c>
      <ns0:c r="AJ44" s="124" t="str">
        <ns0:v>31–40续接方案；按固定装量制作层序与订单；设计难度为目标，不代表实测。</ns0:v>
      </ns0:c>
      <ns0:c r="AK44" s="124" t="str">
        <ns0:v>连续居中紧凑行列；每排最多五盒；不挖中间空洞</ns0:v>
      </ns0:c>
      <ns0:c r="AL44" s="112" t="n">
        <ns0:v>1</ns0:v>
      </ns0:c>
      <ns0:c r="AM44" s="113"/>
      <ns0:c r="AN44" s="112"/>
      <ns0:c r="AO44" s="113"/>
      <ns0:c r="AP44" s="124" t="str">
        <ns0:v>四条件可行路线已制作；见回放记录</ns0:v>
      </ns0:c>
      <ns0:c r="AQ44" s="107"/>
      <ns0:c r="AR44" s="120" t="n">
        <ns0:f>SUMIFS('装量配置'!$I$6:$I$718,'装量配置'!$A$6:$A$718,A44,'装量配置'!$B$6:$B$718,"开局")</ns0:f>
        <ns0:v>68</ns0:v>
      </ns0:c>
      <ns0:c r="AS44" s="132" t="n">
        <ns0:f>SUMIFS('装量配置'!$I$6:$I$718,'装量配置'!$A$6:$A$718,A44,'装量配置'!$B$6:$B$718,"开局",'装量配置'!$D$6:$D$718,"普通盒",'装量配置'!$G$6:$G$718,"&gt;0")/(4*SUMIFS('装量配置'!$E$6:$E$718,'装量配置'!$A$6:$A$718,A44,'装量配置'!$B$6:$B$718,"开局",'装量配置'!$D$6:$D$718,"普通盒",'装量配置'!$G$6:$G$718,"&gt;0"))</ns0:f>
        <ns0:v>0.859375</ns0:v>
      </ns0:c>
      <ns0:c r="AT44" s="120" t="n">
        <ns0:f>SUMIFS('装量配置'!$L$6:$L$718,'装量配置'!$A$6:$A$718,A44)</ns0:f>
        <ns0:v>9</ns0:v>
      </ns0:c>
      <ns0:c r="AU44" s="120" t="n">
        <ns0:f>SUMIFS('装量配置'!$M$6:$M$718,'装量配置'!$A$6:$A$718,A44)</ns0:f>
        <ns0:v>0</ns0:v>
      </ns0:c>
      <ns0:c r="AV44" s="120" t="n">
        <ns0:f>SUMIFS('装量配置'!$N$6:$N$718,'装量配置'!$A$6:$A$718,A44)</ns0:f>
        <ns0:v>0</ns0:v>
      </ns0:c>
      <ns0:c r="AW44" s="132" t="n">
        <ns0:v>0.18</ns0:v>
      </ns0:c>
      <ns0:c r="AX44" s="120" t="n">
        <ns0:v>5</ns0:v>
      </ns0:c>
      <ns0:c r="AY44" s="120" t="n">
        <ns0:f>IF(AX44=1,1,0)</ns0:f>
        <ns0:v>0</ns0:v>
      </ns0:c>
      <ns0:c r="AZ44" s="120" t="n">
        <ns0:f>SUMIFS('装量配置'!$E$6:$E$718,'装量配置'!$A$6:$A$718,A44,'装量配置'!$B$6:$B$718,"开局",'装量配置'!$D$6:$D$718,"&lt;&gt;普通盒",'装量配置'!$D$6:$D$718,"&lt;&gt;广告锁定周转盒")</ns0:f>
        <ns0:v>4</ns0:v>
      </ns0:c>
      <ns0:c r="BA44" s="149" t="n">
        <ns0:f>IF(COUNTIFS('装量配置'!$A$6:$A$718,A44,'装量配置'!$B$6:$B$718,"开局",'装量配置'!$D$6:$D$718,"数字盖盒",'装量配置'!$E$6:$E$718,"&gt;0")&gt;0,1,0)+IF(COUNTIFS('装量配置'!$A$6:$A$718,A44,'装量配置'!$B$6:$B$718,"开局",'装量配置'!$D$6:$D$718,"普通冰冻盒",'装量配置'!$E$6:$E$718,"&gt;0")&gt;0,1,0)+IF(COUNTIFS('装量配置'!$A$6:$A$718,A44,'装量配置'!$B$6:$B$718,"开局",'装量配置'!$D$6:$D$718,"单颗暂存盒",'装量配置'!$E$6:$E$718,"&gt;0")&gt;0,1,0)+IF(COUNTIFS('装量配置'!$A$6:$A$718,A44,'装量配置'!$B$6:$B$718,"开局",'装量配置'!$D$6:$D$718,"数字冰冻盒",'装量配置'!$E$6:$E$718,"&gt;0")&gt;0,1,0)+IF(COUNTIFS('装量配置'!$A$6:$A$718,A44,'装量配置'!$B$6:$B$718,"开局",'装量配置'!$D$6:$D$718,"固定颜色盒",'装量配置'!$E$6:$E$718,"&gt;0")&gt;0,1,0)+IF(COUNTIFS('装量配置'!$A$6:$A$718,A44,'装量配置'!$B$6:$B$718,"开局",'装量配置'!$D$6:$D$718,"单向收纳盒",'装量配置'!$E$6:$E$718,"&gt;0")&gt;0,1,0)+IF(COUNTIFS('装量配置'!$A$6:$A$718,A44,'装量配置'!$B$6:$B$718,"开局",'装量配置'!$D$6:$D$718,"底部置顶盒",'装量配置'!$E$6:$E$718,"&gt;0")&gt;0,1,0)+IF(COUNTIFS('装量配置'!$A$6:$A$718,A44,'装量配置'!$B$6:$B$718,"开局",'装量配置'!$D$6:$D$718,"炸弹盒",'装量配置'!$E$6:$E$718,"&gt;0")&gt;0,1,0)</ns0:f>
        <ns0:v>3</ns0:v>
      </ns0:c>
      <ns0:c r="BB44" s="149" t="n">
        <ns0:f>SUMIFS('装量配置'!$E$6:$E$718,'装量配置'!$A$6:$A$718,A44,'装量配置'!$B$6:$B$718,"开局",'装量配置'!$D$6:$D$718,"数字盖盒")+SUMIFS('装量配置'!$E$6:$E$718,'装量配置'!$A$6:$A$718,A44,'装量配置'!$B$6:$B$718,"开局",'装量配置'!$D$6:$D$718,"普通冰冻盒")+SUMIFS('装量配置'!$E$6:$E$718,'装量配置'!$A$6:$A$718,A44,'装量配置'!$B$6:$B$718,"开局",'装量配置'!$D$6:$D$718,"数字冰冻盒")</ns0:f>
        <ns0:v>3</ns0:v>
      </ns0:c>
      <ns0:c r="BC44" s="149" t="n">
        <ns0:f>SUMIFS('装量配置'!$R$6:$R$718,'装量配置'!$A$6:$A$718,A44,'装量配置'!$B$6:$B$718,"开局")</ns0:f>
        <ns0:v>2</ns0:v>
      </ns0:c>
      <ns0:c r="BD44" s="146" t="str">
        <ns0:v>阶段高点；完整无辅助路线实际使用机关和暂存，难度评分待真人试玩。</ns0:v>
      </ns0:c>
      <ns0:c r="BE44" s="149" t="n">
        <ns0:v>4</ns0:v>
      </ns0:c>
      <ns0:c r="BF44" s="146" t="str">
        <ns0:v>基线路线中段腾位 4 段；非所有路径</ns0:v>
      </ns0:c>
    </ns0:row>
    <ns0:row r="45" ht="33" customHeight="1">
      <ns0:c r="A45" s="105" t="n">
        <ns0:v>40</ns0:v>
      </ns0:c>
      <ns0:c r="B45" s="117" t="str">
        <ns0:v>已学机制组合</ns0:v>
      </ns0:c>
      <ns0:c r="C45" s="126" t="str">
        <ns0:v>三层盒收束</ns0:v>
      </ns0:c>
      <ns0:c r="D45" s="108" t="n">
        <ns0:v>4.8</ns0:v>
      </ns0:c>
      <ns0:c r="E45" s="123" t="str">
        <ns0:v>分散余量与订单次序</ns0:v>
      </ns0:c>
      <ns0:c r="F45" s="123" t="str">
        <ns0:v>机关与信息组合</ns0:v>
      </ns0:c>
      <ns0:c r="G45" s="105" t="str">
        <ns0:v>整齐</ns0:v>
      </ns0:c>
      <ns0:c r="H45" s="105" t="n">
        <ns0:v>8</ns0:v>
      </ns0:c>
      <ns0:c r="I45" s="105" t="n">
        <ns0:f>SUMIFS('装量配置'!$E$6:$E$718,'装量配置'!$A$6:$A$718,A45,'装量配置'!$B$6:$B$718,"开局",'装量配置'!$F$6:$F$718,4,'装量配置'!$G$6:$G$718,"&gt;0")</ns0:f>
        <ns0:v>18</ns0:v>
      </ns0:c>
      <ns0:c r="J45" s="105" t="n">
        <ns0:f>SUMIFS('装量配置'!$E$6:$E$718,'装量配置'!$A$6:$A$718,A45,'装量配置'!$B$6:$B$718,"备货")</ns0:f>
        <ns0:v>0</ns0:v>
      </ns0:c>
      <ns0:c r="K45" s="105" t="n">
        <ns0:v>17</ns0:v>
      </ns0:c>
      <ns0:c r="L45" s="105" t="n">
        <ns0:f>SUMIFS('装量配置'!$E$6:$E$718,'装量配置'!$A$6:$A$718,A45,'装量配置'!$B$6:$B$718,"开局",'装量配置'!$F$6:$F$718,4,'装量配置'!$G$6:$G$718,0,'装量配置'!$D$6:$D$718,"&lt;&gt;广告锁定周转盒")</ns0:f>
        <ns0:v>1</ns0:v>
      </ns0:c>
      <ns0:c r="M45" s="105" t="n">
        <ns0:f>SUMIFS('装量配置'!$E$6:$E$718,'装量配置'!$A$6:$A$718,A45,'装量配置'!$B$6:$B$718,"开局",'装量配置'!$F$6:$F$718,1)</ns0:f>
        <ns0:v>0</ns0:v>
      </ns0:c>
      <ns0:c r="N45" s="105" t="n">
        <ns0:f>SUMIFS('装量配置'!$E$6:$E$718,'装量配置'!$A$6:$A$718,A45,'装量配置'!$B$6:$B$718,"开局",'装量配置'!$D$6:$D$718,"广告锁定周转盒")</ns0:f>
        <ns0:v>2</ns0:v>
      </ns0:c>
      <ns0:c r="O45" s="105" t="n">
        <ns0:f>SUMIFS('装量配置'!$E$6:$E$718,'装量配置'!$A$6:$A$718,A45,'装量配置'!$B$6:$B$718,"开局")</ns0:f>
        <ns0:v>21</ns0:v>
      </ns0:c>
      <ns0:c r="P45" s="105" t="n">
        <ns0:f>SUMIFS('装量配置'!$K$6:$K$718,'装量配置'!$A$6:$A$718,A45)</ns0:f>
        <ns0:v>4</ns0:v>
      </ns0:c>
      <ns0:c r="Q45" s="105" t="n">
        <ns0:v>4</ns0:v>
      </ns0:c>
      <ns0:c r="R45" s="106" t="n">
        <ns0:v>0</ns0:v>
      </ns0:c>
      <ns0:c r="S45" s="106" t="n">
        <ns0:v>0.12</ns0:v>
      </ns0:c>
      <ns0:c r="T45" s="105" t="n">
        <ns0:v>4</ns0:v>
      </ns0:c>
      <ns0:c r="U45" s="105" t="n">
        <ns0:v>0</ns0:v>
      </ns0:c>
      <ns0:c r="V45" s="123" t="str">
        <ns0:v>数字冰冻盒</ns0:v>
      </ns0:c>
      <ns0:c r="W45" s="123" t="str">
        <ns0:v>数字冰冻盒</ns0:v>
      </ns0:c>
      <ns0:c r="X45" s="123" t="str">
        <ns0:v>数字冰冻盒×1（1）；数字冰冻盒×1（1）；隐藏0颗；备货0盒</ns0:v>
      </ns0:c>
      <ns0:c r="Y45" s="105" t="n">
        <ns0:f>SUMIFS('装量配置'!$I$6:$I$718,'装量配置'!$A$6:$A$718,A45)</ns0:f>
        <ns0:v>68</ns0:v>
      </ns0:c>
      <ns0:c r="Z45" s="105" t="str">
        <ns0:f>IF(AND(O45&lt;=25,N45=2,Y45=K45*4,H45&lt;=K45,P45+AT45&gt;=4,COUNTIFS('装量配置'!$A$6:$A$718,A45,'装量配置'!$O$6:$O$718,"需调整")=0),"装量通过；待逐味","需调整")</ns0:f>
        <ns0:v>装量通过；待逐味</ns0:v>
      </ns0:c>
      <ns0:c r="AA45" s="107" t="str">
        <ns0:v>已找到无辅助可行解 52 次；非最短</ns0:v>
      </ns0:c>
      <ns0:c r="AB45" s="107"/>
      <ns0:c r="AC45" s="107"/>
      <ns0:c r="AD45" s="106"/>
      <ns0:c r="AE45" s="108"/>
      <ns0:c r="AF45" s="109"/>
      <ns0:c r="AG45" s="109"/>
      <ns0:c r="AH45" s="110"/>
      <ns0:c r="AI45" s="131" t="str">
        <ns0:v>固定层序已制作；正式引擎验证见实施记录</ns0:v>
      </ns0:c>
      <ns0:c r="AJ45" s="123" t="str">
        <ns0:v>31–40续接方案；按固定装量制作层序与订单；设计难度为目标，不代表实测。</ns0:v>
      </ns0:c>
      <ns0:c r="AK45" s="123" t="str">
        <ns0:v>连续居中紧凑行列；每排最多五盒；不挖中间空洞</ns0:v>
      </ns0:c>
      <ns0:c r="AL45" s="105" t="n">
        <ns0:v>1</ns0:v>
      </ns0:c>
      <ns0:c r="AM45" s="106"/>
      <ns0:c r="AN45" s="107"/>
      <ns0:c r="AO45" s="110"/>
      <ns0:c r="AP45" s="123" t="str">
        <ns0:v>四条件可行路线已制作；见回放记录</ns0:v>
      </ns0:c>
      <ns0:c r="AQ45" s="107"/>
      <ns0:c r="AR45" s="121" t="n">
        <ns0:f>SUMIFS('装量配置'!$I$6:$I$718,'装量配置'!$A$6:$A$718,A45,'装量配置'!$B$6:$B$718,"开局")</ns0:f>
        <ns0:v>68</ns0:v>
      </ns0:c>
      <ns0:c r="AS45" s="133" t="n">
        <ns0:f>SUMIFS('装量配置'!$I$6:$I$718,'装量配置'!$A$6:$A$718,A45,'装量配置'!$B$6:$B$718,"开局",'装量配置'!$D$6:$D$718,"普通盒",'装量配置'!$G$6:$G$718,"&gt;0")/(4*SUMIFS('装量配置'!$E$6:$E$718,'装量配置'!$A$6:$A$718,A45,'装量配置'!$B$6:$B$718,"开局",'装量配置'!$D$6:$D$718,"普通盒",'装量配置'!$G$6:$G$718,"&gt;0"))</ns0:f>
        <ns0:v>0.9375</ns0:v>
      </ns0:c>
      <ns0:c r="AT45" s="121" t="n">
        <ns0:f>SUMIFS('装量配置'!$L$6:$L$718,'装量配置'!$A$6:$A$718,A45)</ns0:f>
        <ns0:v>4</ns0:v>
      </ns0:c>
      <ns0:c r="AU45" s="121" t="n">
        <ns0:f>SUMIFS('装量配置'!$M$6:$M$718,'装量配置'!$A$6:$A$718,A45)</ns0:f>
        <ns0:v>0</ns0:v>
      </ns0:c>
      <ns0:c r="AV45" s="121" t="n">
        <ns0:f>SUMIFS('装量配置'!$N$6:$N$718,'装量配置'!$A$6:$A$718,A45)</ns0:f>
        <ns0:v>0</ns0:v>
      </ns0:c>
      <ns0:c r="AW45" s="133" t="n">
        <ns0:v>0.18</ns0:v>
      </ns0:c>
      <ns0:c r="AX45" s="121" t="n">
        <ns0:v>4</ns0:v>
      </ns0:c>
      <ns0:c r="AY45" s="121" t="n">
        <ns0:f>IF(AX45=1,1,0)</ns0:f>
        <ns0:v>0</ns0:v>
      </ns0:c>
      <ns0:c r="AZ45" s="121" t="n">
        <ns0:f>SUMIFS('装量配置'!$E$6:$E$718,'装量配置'!$A$6:$A$718,A45,'装量配置'!$B$6:$B$718,"开局",'装量配置'!$D$6:$D$718,"&lt;&gt;普通盒",'装量配置'!$D$6:$D$718,"&lt;&gt;广告锁定周转盒")</ns0:f>
        <ns0:v>2</ns0:v>
      </ns0:c>
      <ns0:c r="BA45" s="150" t="n">
        <ns0:f>IF(COUNTIFS('装量配置'!$A$6:$A$718,A45,'装量配置'!$B$6:$B$718,"开局",'装量配置'!$D$6:$D$718,"数字盖盒",'装量配置'!$E$6:$E$718,"&gt;0")&gt;0,1,0)+IF(COUNTIFS('装量配置'!$A$6:$A$718,A45,'装量配置'!$B$6:$B$718,"开局",'装量配置'!$D$6:$D$718,"普通冰冻盒",'装量配置'!$E$6:$E$718,"&gt;0")&gt;0,1,0)+IF(COUNTIFS('装量配置'!$A$6:$A$718,A45,'装量配置'!$B$6:$B$718,"开局",'装量配置'!$D$6:$D$718,"单颗暂存盒",'装量配置'!$E$6:$E$718,"&gt;0")&gt;0,1,0)+IF(COUNTIFS('装量配置'!$A$6:$A$718,A45,'装量配置'!$B$6:$B$718,"开局",'装量配置'!$D$6:$D$718,"数字冰冻盒",'装量配置'!$E$6:$E$718,"&gt;0")&gt;0,1,0)+IF(COUNTIFS('装量配置'!$A$6:$A$718,A45,'装量配置'!$B$6:$B$718,"开局",'装量配置'!$D$6:$D$718,"固定颜色盒",'装量配置'!$E$6:$E$718,"&gt;0")&gt;0,1,0)+IF(COUNTIFS('装量配置'!$A$6:$A$718,A45,'装量配置'!$B$6:$B$718,"开局",'装量配置'!$D$6:$D$718,"单向收纳盒",'装量配置'!$E$6:$E$718,"&gt;0")&gt;0,1,0)+IF(COUNTIFS('装量配置'!$A$6:$A$718,A45,'装量配置'!$B$6:$B$718,"开局",'装量配置'!$D$6:$D$718,"底部置顶盒",'装量配置'!$E$6:$E$718,"&gt;0")&gt;0,1,0)+IF(COUNTIFS('装量配置'!$A$6:$A$718,A45,'装量配置'!$B$6:$B$718,"开局",'装量配置'!$D$6:$D$718,"炸弹盒",'装量配置'!$E$6:$E$718,"&gt;0")&gt;0,1,0)</ns0:f>
        <ns0:v>1</ns0:v>
      </ns0:c>
      <ns0:c r="BB45" s="150" t="n">
        <ns0:f>SUMIFS('装量配置'!$E$6:$E$718,'装量配置'!$A$6:$A$718,A45,'装量配置'!$B$6:$B$718,"开局",'装量配置'!$D$6:$D$718,"数字盖盒")+SUMIFS('装量配置'!$E$6:$E$718,'装量配置'!$A$6:$A$718,A45,'装量配置'!$B$6:$B$718,"开局",'装量配置'!$D$6:$D$718,"普通冰冻盒")+SUMIFS('装量配置'!$E$6:$E$718,'装量配置'!$A$6:$A$718,A45,'装量配置'!$B$6:$B$718,"开局",'装量配置'!$D$6:$D$718,"数字冰冻盒")</ns0:f>
        <ns0:v>2</ns0:v>
      </ns0:c>
      <ns0:c r="BC45" s="150" t="n">
        <ns0:f>SUMIFS('装量配置'!$R$6:$R$718,'装量配置'!$A$6:$A$718,A45,'装量配置'!$B$6:$B$718,"开局")</ns0:f>
        <ns0:v>2</ns0:v>
      </ns0:c>
      <ns0:c r="BD45" s="148" t="str">
        <ns0:v>三层盒收束；完整无辅助路线实际使用机关和暂存，难度评分待真人试玩。</ns0:v>
      </ns0:c>
      <ns0:c r="BE45" s="150" t="n">
        <ns0:v>2</ns0:v>
      </ns0:c>
      <ns0:c r="BF45" s="148" t="str">
        <ns0:v>基线路线中段腾位 2 段；非所有路径</ns0:v>
      </ns0:c>
    </ns0:row>
    <ns0:row r="46" ht="33" customHeight="1">
      <ns0:c r="A46" s="97" t="n">
        <ns0:v>41</ns0:v>
      </ns0:c>
      <ns0:c r="B46" s="115" t="str">
        <ns0:v>固定口味与已学机制</ns0:v>
      </ns0:c>
      <ns0:c r="C46" s="125" t="str">
        <ns0:v>指定口味周转</ns0:v>
      </ns0:c>
      <ns0:c r="D46" s="100" t="n">
        <ns0:v>4.7</ns0:v>
      </ns0:c>
      <ns0:c r="E46" s="122" t="str">
        <ns0:v>受限周转与归纳顺序</ns0:v>
      </ns0:c>
      <ns0:c r="F46" s="122" t="str">
        <ns0:v>机关与装量配合</ns0:v>
      </ns0:c>
      <ns0:c r="G46" s="97" t="str">
        <ns0:v>错落</ns0:v>
      </ns0:c>
      <ns0:c r="H46" s="97" t="n">
        <ns0:v>7</ns0:v>
      </ns0:c>
      <ns0:c r="I46" s="97" t="n">
        <ns0:f>SUMIFS('装量配置'!$E$6:$E$718,'装量配置'!$A$6:$A$718,A46,'装量配置'!$B$6:$B$718,"开局",'装量配置'!$F$6:$F$718,4,'装量配置'!$G$6:$G$718,"&gt;0")</ns0:f>
        <ns0:v>16</ns0:v>
      </ns0:c>
      <ns0:c r="J46" s="97" t="n">
        <ns0:f>SUMIFS('装量配置'!$E$6:$E$718,'装量配置'!$A$6:$A$718,A46,'装量配置'!$B$6:$B$718,"备货")</ns0:f>
        <ns0:v>0</ns0:v>
      </ns0:c>
      <ns0:c r="K46" s="97" t="n">
        <ns0:v>15</ns0:v>
      </ns0:c>
      <ns0:c r="L46" s="97" t="n">
        <ns0:f>SUMIFS('装量配置'!$E$6:$E$718,'装量配置'!$A$6:$A$718,A46,'装量配置'!$B$6:$B$718,"开局",'装量配置'!$F$6:$F$718,4,'装量配置'!$G$6:$G$718,0,'装量配置'!$D$6:$D$718,"&lt;&gt;广告锁定周转盒")</ns0:f>
        <ns0:v>2</ns0:v>
      </ns0:c>
      <ns0:c r="M46" s="97" t="n">
        <ns0:f>SUMIFS('装量配置'!$E$6:$E$718,'装量配置'!$A$6:$A$718,A46,'装量配置'!$B$6:$B$718,"开局",'装量配置'!$F$6:$F$718,1)</ns0:f>
        <ns0:v>0</ns0:v>
      </ns0:c>
      <ns0:c r="N46" s="97" t="n">
        <ns0:f>SUMIFS('装量配置'!$E$6:$E$718,'装量配置'!$A$6:$A$718,A46,'装量配置'!$B$6:$B$718,"开局",'装量配置'!$D$6:$D$718,"广告锁定周转盒")</ns0:f>
        <ns0:v>2</ns0:v>
      </ns0:c>
      <ns0:c r="O46" s="97" t="n">
        <ns0:f>SUMIFS('装量配置'!$E$6:$E$718,'装量配置'!$A$6:$A$718,A46,'装量配置'!$B$6:$B$718,"开局")</ns0:f>
        <ns0:v>20</ns0:v>
      </ns0:c>
      <ns0:c r="P46" s="97" t="n">
        <ns0:f>SUMIFS('装量配置'!$K$6:$K$718,'装量配置'!$A$6:$A$718,A46)</ns0:f>
        <ns0:v>4</ns0:v>
      </ns0:c>
      <ns0:c r="Q46" s="97" t="n">
        <ns0:v>4</ns0:v>
      </ns0:c>
      <ns0:c r="R46" s="98" t="n">
        <ns0:v>0</ns0:v>
      </ns0:c>
      <ns0:c r="S46" s="98" t="n">
        <ns0:v>0.12</ns0:v>
      </ns0:c>
      <ns0:c r="T46" s="97" t="n">
        <ns0:v>2</ns0:v>
      </ns0:c>
      <ns0:c r="U46" s="97" t="n">
        <ns0:v>0</ns0:v>
      </ns0:c>
      <ns0:c r="V46" s="122" t="str">
        <ns0:v>固定颜色盒</ns0:v>
      </ns0:c>
      <ns0:c r="W46" s="122"/>
      <ns0:c r="X46" s="122" t="str">
        <ns0:v>固定颜色盒×1</ns0:v>
      </ns0:c>
      <ns0:c r="Y46" s="97" t="n">
        <ns0:f>SUMIFS('装量配置'!$I$6:$I$718,'装量配置'!$A$6:$A$718,A46)</ns0:f>
        <ns0:v>60</ns0:v>
      </ns0:c>
      <ns0:c r="Z46" s="97" t="str">
        <ns0:f>IF(AND(O46&lt;=25,N46=2,Y46=K46*4,H46&lt;=K46,P46+AT46&gt;=4,COUNTIFS('装量配置'!$A$6:$A$718,A46,'装量配置'!$O$6:$O$718,"需调整")=0),"装量通过；待逐味","需调整")</ns0:f>
        <ns0:v>装量通过；待逐味</ns0:v>
      </ns0:c>
      <ns0:c r="AA46" s="99" t="str">
        <ns0:v>已找到无辅助可行解 49 次；非最短</ns0:v>
      </ns0:c>
      <ns0:c r="AB46" s="99"/>
      <ns0:c r="AC46" s="99"/>
      <ns0:c r="AD46" s="98"/>
      <ns0:c r="AE46" s="100" t="n">
        <ns0:v>6</ns0:v>
      </ns0:c>
      <ns0:c r="AF46" s="101"/>
      <ns0:c r="AG46" s="101"/>
      <ns0:c r="AH46" s="102"/>
      <ns0:c r="AI46" s="130" t="str">
        <ns0:v>固定层序已制作；验收见实施记录</ns0:v>
      </ns0:c>
      <ns0:c r="AJ46" s="122" t="str">
        <ns0:v>已确认41–50关方案；目标难度4.7，待真人试玩校准；普通盒装量4/3/2/1/0：13/2/1/0/1</ns0:v>
      </ns0:c>
      <ns0:c r="AK46" s="122" t="str">
        <ns0:v>按实际盒数连续居中分排，上下可见留白对称</ns0:v>
      </ns0:c>
      <ns0:c r="AL46" s="97" t="n">
        <ns0:v>1</ns0:v>
      </ns0:c>
      <ns0:c r="AM46" s="98"/>
      <ns0:c r="AN46" s="97"/>
      <ns0:c r="AO46" s="98"/>
      <ns0:c r="AP46" s="122" t="str">
        <ns0:v>四条件可行路线已制作；见回放记录</ns0:v>
      </ns0:c>
      <ns0:c r="AQ46" s="99"/>
      <ns0:c r="AR46" s="120" t="n">
        <ns0:f>SUMIFS('装量配置'!$I$6:$I$718,'装量配置'!$A$6:$A$718,A46,'装量配置'!$B$6:$B$718,"开局")</ns0:f>
        <ns0:v>60</ns0:v>
      </ns0:c>
      <ns0:c r="AS46" s="132" t="n">
        <ns0:f>SUMIFS('装量配置'!$I$6:$I$718,'装量配置'!$A$6:$A$718,A46,'装量配置'!$B$6:$B$718,"开局",'装量配置'!$D$6:$D$718,"普通盒",'装量配置'!$G$6:$G$718,"&gt;0")/(4*SUMIFS('装量配置'!$E$6:$E$718,'装量配置'!$A$6:$A$718,A46,'装量配置'!$B$6:$B$718,"开局",'装量配置'!$D$6:$D$718,"普通盒",'装量配置'!$G$6:$G$718,"&gt;0"))</ns0:f>
        <ns0:v>0.9375</ns0:v>
      </ns0:c>
      <ns0:c r="AT46" s="120" t="n">
        <ns0:f>SUMIFS('装量配置'!$L$6:$L$718,'装量配置'!$A$6:$A$718,A46)</ns0:f>
        <ns0:v>4</ns0:v>
      </ns0:c>
      <ns0:c r="AU46" s="120" t="n">
        <ns0:f>SUMIFS('装量配置'!$M$6:$M$718,'装量配置'!$A$6:$A$718,A46)</ns0:f>
        <ns0:v>4</ns0:v>
      </ns0:c>
      <ns0:c r="AV46" s="120" t="n">
        <ns0:f>SUMIFS('装量配置'!$N$6:$N$718,'装量配置'!$A$6:$A$718,A46)</ns0:f>
        <ns0:v>0</ns0:v>
      </ns0:c>
      <ns0:c r="AW46" s="132" t="n">
        <ns0:v>0.18</ns0:v>
      </ns0:c>
      <ns0:c r="AX46" s="120" t="n">
        <ns0:v>4</ns0:v>
      </ns0:c>
      <ns0:c r="AY46" s="120" t="n">
        <ns0:f>IF(AX46=1,1,0)</ns0:f>
        <ns0:v>0</ns0:v>
      </ns0:c>
      <ns0:c r="AZ46" s="120" t="n">
        <ns0:f>SUMIFS('装量配置'!$E$6:$E$718,'装量配置'!$A$6:$A$718,A46,'装量配置'!$B$6:$B$718,"开局",'装量配置'!$D$6:$D$718,"&lt;&gt;普通盒",'装量配置'!$D$6:$D$718,"&lt;&gt;广告锁定周转盒")</ns0:f>
        <ns0:v>1</ns0:v>
      </ns0:c>
      <ns0:c r="BA46" s="149" t="n">
        <ns0:f>IF(COUNTIFS('装量配置'!$A$6:$A$718,A46,'装量配置'!$B$6:$B$718,"开局",'装量配置'!$D$6:$D$718,"数字盖盒",'装量配置'!$E$6:$E$718,"&gt;0")&gt;0,1,0)+IF(COUNTIFS('装量配置'!$A$6:$A$718,A46,'装量配置'!$B$6:$B$718,"开局",'装量配置'!$D$6:$D$718,"普通冰冻盒",'装量配置'!$E$6:$E$718,"&gt;0")&gt;0,1,0)+IF(COUNTIFS('装量配置'!$A$6:$A$718,A46,'装量配置'!$B$6:$B$718,"开局",'装量配置'!$D$6:$D$718,"单颗暂存盒",'装量配置'!$E$6:$E$718,"&gt;0")&gt;0,1,0)+IF(COUNTIFS('装量配置'!$A$6:$A$718,A46,'装量配置'!$B$6:$B$718,"开局",'装量配置'!$D$6:$D$718,"数字冰冻盒",'装量配置'!$E$6:$E$718,"&gt;0")&gt;0,1,0)+IF(COUNTIFS('装量配置'!$A$6:$A$718,A46,'装量配置'!$B$6:$B$718,"开局",'装量配置'!$D$6:$D$718,"固定颜色盒",'装量配置'!$E$6:$E$718,"&gt;0")&gt;0,1,0)+IF(COUNTIFS('装量配置'!$A$6:$A$718,A46,'装量配置'!$B$6:$B$718,"开局",'装量配置'!$D$6:$D$718,"单向收纳盒",'装量配置'!$E$6:$E$718,"&gt;0")&gt;0,1,0)+IF(COUNTIFS('装量配置'!$A$6:$A$718,A46,'装量配置'!$B$6:$B$718,"开局",'装量配置'!$D$6:$D$718,"底部置顶盒",'装量配置'!$E$6:$E$718,"&gt;0")&gt;0,1,0)+IF(COUNTIFS('装量配置'!$A$6:$A$718,A46,'装量配置'!$B$6:$B$718,"开局",'装量配置'!$D$6:$D$718,"炸弹盒",'装量配置'!$E$6:$E$718,"&gt;0")&gt;0,1,0)</ns0:f>
        <ns0:v>1</ns0:v>
      </ns0:c>
      <ns0:c r="BB46" s="149" t="n">
        <ns0:f>SUMIFS('装量配置'!$E$6:$E$718,'装量配置'!$A$6:$A$718,A46,'装量配置'!$B$6:$B$718,"开局",'装量配置'!$D$6:$D$718,"数字盖盒")+SUMIFS('装量配置'!$E$6:$E$718,'装量配置'!$A$6:$A$718,A46,'装量配置'!$B$6:$B$718,"开局",'装量配置'!$D$6:$D$718,"普通冰冻盒")+SUMIFS('装量配置'!$E$6:$E$718,'装量配置'!$A$6:$A$718,A46,'装量配置'!$B$6:$B$718,"开局",'装量配置'!$D$6:$D$718,"数字冰冻盒")</ns0:f>
        <ns0:v>0</ns0:v>
      </ns0:c>
      <ns0:c r="BC46" s="149" t="n">
        <ns0:f>SUMIFS('装量配置'!$R$6:$R$718,'装量配置'!$A$6:$A$718,A46,'装量配置'!$B$6:$B$718,"开局")</ns0:f>
        <ns0:v>0</ns0:v>
      </ns0:c>
      <ns0:c r="BD46" s="146" t="str">
        <ns0:v>指定口味周转</ns0:v>
      </ns0:c>
      <ns0:c r="BE46" s="149" t="n">
        <ns0:v>2</ns0:v>
      </ns0:c>
      <ns0:c r="BF46" s="146" t="str">
        <ns0:v>基线路线中段腾位 3 段；非所有路径</ns0:v>
      </ns0:c>
    </ns0:row>
    <ns0:row r="47" ht="33" customHeight="1">
      <ns0:c r="A47" s="105" t="n">
        <ns0:v>42</ns0:v>
      </ns0:c>
      <ns0:c r="B47" s="117" t="str">
        <ns0:v>固定口味与已学机制</ns0:v>
      </ns0:c>
      <ns0:c r="C47" s="126" t="str">
        <ns0:v>三颗盒腾位</ns0:v>
      </ns0:c>
      <ns0:c r="D47" s="108" t="n">
        <ns0:v>4.8</ns0:v>
      </ns0:c>
      <ns0:c r="E47" s="123" t="str">
        <ns0:v>受限周转与归纳顺序</ns0:v>
      </ns0:c>
      <ns0:c r="F47" s="123" t="str">
        <ns0:v>机关与装量配合</ns0:v>
      </ns0:c>
      <ns0:c r="G47" s="105" t="str">
        <ns0:v>整齐</ns0:v>
      </ns0:c>
      <ns0:c r="H47" s="105" t="n">
        <ns0:v>8</ns0:v>
      </ns0:c>
      <ns0:c r="I47" s="105" t="n">
        <ns0:f>SUMIFS('装量配置'!$E$6:$E$718,'装量配置'!$A$6:$A$718,A47,'装量配置'!$B$6:$B$718,"开局",'装量配置'!$F$6:$F$718,4,'装量配置'!$G$6:$G$718,"&gt;0")</ns0:f>
        <ns0:v>17</ns0:v>
      </ns0:c>
      <ns0:c r="J47" s="105" t="n">
        <ns0:f>SUMIFS('装量配置'!$E$6:$E$718,'装量配置'!$A$6:$A$718,A47,'装量配置'!$B$6:$B$718,"备货")</ns0:f>
        <ns0:v>0</ns0:v>
      </ns0:c>
      <ns0:c r="K47" s="105" t="n">
        <ns0:v>16</ns0:v>
      </ns0:c>
      <ns0:c r="L47" s="105" t="n">
        <ns0:f>SUMIFS('装量配置'!$E$6:$E$718,'装量配置'!$A$6:$A$718,A47,'装量配置'!$B$6:$B$718,"开局",'装量配置'!$F$6:$F$718,4,'装量配置'!$G$6:$G$718,0,'装量配置'!$D$6:$D$718,"&lt;&gt;广告锁定周转盒")</ns0:f>
        <ns0:v>1</ns0:v>
      </ns0:c>
      <ns0:c r="M47" s="105" t="n">
        <ns0:f>SUMIFS('装量配置'!$E$6:$E$718,'装量配置'!$A$6:$A$718,A47,'装量配置'!$B$6:$B$718,"开局",'装量配置'!$F$6:$F$718,1)</ns0:f>
        <ns0:v>0</ns0:v>
      </ns0:c>
      <ns0:c r="N47" s="105" t="n">
        <ns0:f>SUMIFS('装量配置'!$E$6:$E$718,'装量配置'!$A$6:$A$718,A47,'装量配置'!$B$6:$B$718,"开局",'装量配置'!$D$6:$D$718,"广告锁定周转盒")</ns0:f>
        <ns0:v>2</ns0:v>
      </ns0:c>
      <ns0:c r="O47" s="105" t="n">
        <ns0:f>SUMIFS('装量配置'!$E$6:$E$718,'装量配置'!$A$6:$A$718,A47,'装量配置'!$B$6:$B$718,"开局")</ns0:f>
        <ns0:v>20</ns0:v>
      </ns0:c>
      <ns0:c r="P47" s="105" t="n">
        <ns0:f>SUMIFS('装量配置'!$K$6:$K$718,'装量配置'!$A$6:$A$718,A47)</ns0:f>
        <ns0:v>0</ns0:v>
      </ns0:c>
      <ns0:c r="Q47" s="105" t="n">
        <ns0:v>4</ns0:v>
      </ns0:c>
      <ns0:c r="R47" s="106" t="n">
        <ns0:v>0</ns0:v>
      </ns0:c>
      <ns0:c r="S47" s="106" t="n">
        <ns0:v>0.12</ns0:v>
      </ns0:c>
      <ns0:c r="T47" s="105" t="n">
        <ns0:v>3</ns0:v>
      </ns0:c>
      <ns0:c r="U47" s="105" t="n">
        <ns0:v>0</ns0:v>
      </ns0:c>
      <ns0:c r="V47" s="123" t="str">
        <ns0:v>固定颜色盒</ns0:v>
      </ns0:c>
      <ns0:c r="W47" s="123"/>
      <ns0:c r="X47" s="123" t="str">
        <ns0:v>固定颜色盒×1</ns0:v>
      </ns0:c>
      <ns0:c r="Y47" s="105" t="n">
        <ns0:f>SUMIFS('装量配置'!$I$6:$I$718,'装量配置'!$A$6:$A$718,A47)</ns0:f>
        <ns0:v>64</ns0:v>
      </ns0:c>
      <ns0:c r="Z47" s="105" t="str">
        <ns0:f>IF(AND(O47&lt;=25,N47=2,Y47=K47*4,H47&lt;=K47,P47+AT47&gt;=4,COUNTIFS('装量配置'!$A$6:$A$718,A47,'装量配置'!$O$6:$O$718,"需调整")=0),"装量通过；待逐味","需调整")</ns0:f>
        <ns0:v>装量通过；待逐味</ns0:v>
      </ns0:c>
      <ns0:c r="AA47" s="107" t="str">
        <ns0:v>已找到无辅助可行解 52 次；非最短</ns0:v>
      </ns0:c>
      <ns0:c r="AB47" s="107"/>
      <ns0:c r="AC47" s="107"/>
      <ns0:c r="AD47" s="106"/>
      <ns0:c r="AE47" s="108" t="n">
        <ns0:v>6</ns0:v>
      </ns0:c>
      <ns0:c r="AF47" s="109"/>
      <ns0:c r="AG47" s="109"/>
      <ns0:c r="AH47" s="110"/>
      <ns0:c r="AI47" s="131" t="str">
        <ns0:v>固定层序已制作；验收见实施记录</ns0:v>
      </ns0:c>
      <ns0:c r="AJ47" s="123" t="str">
        <ns0:v>已确认41–50关方案；目标难度4.8，待真人试玩校准；普通盒装量4/3/2/1/0：13/4/0/0/0</ns0:v>
      </ns0:c>
      <ns0:c r="AK47" s="123" t="str">
        <ns0:v>按实际盒数连续居中分排，上下可见留白对称</ns0:v>
      </ns0:c>
      <ns0:c r="AL47" s="105" t="n">
        <ns0:v>1</ns0:v>
      </ns0:c>
      <ns0:c r="AM47" s="106"/>
      <ns0:c r="AN47" s="107"/>
      <ns0:c r="AO47" s="110"/>
      <ns0:c r="AP47" s="123" t="str">
        <ns0:v>四条件可行路线已制作；见回放记录</ns0:v>
      </ns0:c>
      <ns0:c r="AQ47" s="107"/>
      <ns0:c r="AR47" s="121" t="n">
        <ns0:f>SUMIFS('装量配置'!$I$6:$I$718,'装量配置'!$A$6:$A$718,A47,'装量配置'!$B$6:$B$718,"开局")</ns0:f>
        <ns0:v>64</ns0:v>
      </ns0:c>
      <ns0:c r="AS47" s="133" t="n">
        <ns0:f>SUMIFS('装量配置'!$I$6:$I$718,'装量配置'!$A$6:$A$718,A47,'装量配置'!$B$6:$B$718,"开局",'装量配置'!$D$6:$D$718,"普通盒",'装量配置'!$G$6:$G$718,"&gt;0")/(4*SUMIFS('装量配置'!$E$6:$E$718,'装量配置'!$A$6:$A$718,A47,'装量配置'!$B$6:$B$718,"开局",'装量配置'!$D$6:$D$718,"普通盒",'装量配置'!$G$6:$G$718,"&gt;0"))</ns0:f>
        <ns0:v>0.9411764705882353</ns0:v>
      </ns0:c>
      <ns0:c r="AT47" s="121" t="n">
        <ns0:f>SUMIFS('装量配置'!$L$6:$L$718,'装量配置'!$A$6:$A$718,A47)</ns0:f>
        <ns0:v>4</ns0:v>
      </ns0:c>
      <ns0:c r="AU47" s="121" t="n">
        <ns0:f>SUMIFS('装量配置'!$M$6:$M$718,'装量配置'!$A$6:$A$718,A47)</ns0:f>
        <ns0:v>4</ns0:v>
      </ns0:c>
      <ns0:c r="AV47" s="121" t="n">
        <ns0:f>SUMIFS('装量配置'!$N$6:$N$718,'装量配置'!$A$6:$A$718,A47)</ns0:f>
        <ns0:v>0</ns0:v>
      </ns0:c>
      <ns0:c r="AW47" s="133" t="n">
        <ns0:v>0.18</ns0:v>
      </ns0:c>
      <ns0:c r="AX47" s="121" t="n">
        <ns0:v>4</ns0:v>
      </ns0:c>
      <ns0:c r="AY47" s="121" t="n">
        <ns0:f>IF(AX47=1,1,0)</ns0:f>
        <ns0:v>0</ns0:v>
      </ns0:c>
      <ns0:c r="AZ47" s="121" t="n">
        <ns0:f>SUMIFS('装量配置'!$E$6:$E$718,'装量配置'!$A$6:$A$718,A47,'装量配置'!$B$6:$B$718,"开局",'装量配置'!$D$6:$D$718,"&lt;&gt;普通盒",'装量配置'!$D$6:$D$718,"&lt;&gt;广告锁定周转盒")</ns0:f>
        <ns0:v>1</ns0:v>
      </ns0:c>
      <ns0:c r="BA47" s="150" t="n">
        <ns0:f>IF(COUNTIFS('装量配置'!$A$6:$A$718,A47,'装量配置'!$B$6:$B$718,"开局",'装量配置'!$D$6:$D$718,"数字盖盒",'装量配置'!$E$6:$E$718,"&gt;0")&gt;0,1,0)+IF(COUNTIFS('装量配置'!$A$6:$A$718,A47,'装量配置'!$B$6:$B$718,"开局",'装量配置'!$D$6:$D$718,"普通冰冻盒",'装量配置'!$E$6:$E$718,"&gt;0")&gt;0,1,0)+IF(COUNTIFS('装量配置'!$A$6:$A$718,A47,'装量配置'!$B$6:$B$718,"开局",'装量配置'!$D$6:$D$718,"单颗暂存盒",'装量配置'!$E$6:$E$718,"&gt;0")&gt;0,1,0)+IF(COUNTIFS('装量配置'!$A$6:$A$718,A47,'装量配置'!$B$6:$B$718,"开局",'装量配置'!$D$6:$D$718,"数字冰冻盒",'装量配置'!$E$6:$E$718,"&gt;0")&gt;0,1,0)+IF(COUNTIFS('装量配置'!$A$6:$A$718,A47,'装量配置'!$B$6:$B$718,"开局",'装量配置'!$D$6:$D$718,"固定颜色盒",'装量配置'!$E$6:$E$718,"&gt;0")&gt;0,1,0)+IF(COUNTIFS('装量配置'!$A$6:$A$718,A47,'装量配置'!$B$6:$B$718,"开局",'装量配置'!$D$6:$D$718,"单向收纳盒",'装量配置'!$E$6:$E$718,"&gt;0")&gt;0,1,0)+IF(COUNTIFS('装量配置'!$A$6:$A$718,A47,'装量配置'!$B$6:$B$718,"开局",'装量配置'!$D$6:$D$718,"底部置顶盒",'装量配置'!$E$6:$E$718,"&gt;0")&gt;0,1,0)+IF(COUNTIFS('装量配置'!$A$6:$A$718,A47,'装量配置'!$B$6:$B$718,"开局",'装量配置'!$D$6:$D$718,"炸弹盒",'装量配置'!$E$6:$E$718,"&gt;0")&gt;0,1,0)</ns0:f>
        <ns0:v>1</ns0:v>
      </ns0:c>
      <ns0:c r="BB47" s="150" t="n">
        <ns0:f>SUMIFS('装量配置'!$E$6:$E$718,'装量配置'!$A$6:$A$718,A47,'装量配置'!$B$6:$B$718,"开局",'装量配置'!$D$6:$D$718,"数字盖盒")+SUMIFS('装量配置'!$E$6:$E$718,'装量配置'!$A$6:$A$718,A47,'装量配置'!$B$6:$B$718,"开局",'装量配置'!$D$6:$D$718,"普通冰冻盒")+SUMIFS('装量配置'!$E$6:$E$718,'装量配置'!$A$6:$A$718,A47,'装量配置'!$B$6:$B$718,"开局",'装量配置'!$D$6:$D$718,"数字冰冻盒")</ns0:f>
        <ns0:v>0</ns0:v>
      </ns0:c>
      <ns0:c r="BC47" s="150" t="n">
        <ns0:f>SUMIFS('装量配置'!$R$6:$R$718,'装量配置'!$A$6:$A$718,A47,'装量配置'!$B$6:$B$718,"开局")</ns0:f>
        <ns0:v>0</ns0:v>
      </ns0:c>
      <ns0:c r="BD47" s="148" t="str">
        <ns0:v>三颗盒腾位</ns0:v>
      </ns0:c>
      <ns0:c r="BE47" s="150" t="n">
        <ns0:v>3</ns0:v>
      </ns0:c>
      <ns0:c r="BF47" s="148" t="str">
        <ns0:v>基线路线中段腾位 3 段；非所有路径</ns0:v>
      </ns0:c>
    </ns0:row>
    <ns0:row r="48" ht="33" customHeight="1">
      <ns0:c r="A48" s="112" t="n">
        <ns0:v>43</ns0:v>
      </ns0:c>
      <ns0:c r="B48" s="119" t="str">
        <ns0:v>固定口味与已学机制</ns0:v>
      </ns0:c>
      <ns0:c r="C48" s="127" t="str">
        <ns0:v>归纳与指定口味</ns0:v>
      </ns0:c>
      <ns0:c r="D48" s="114" t="n">
        <ns0:v>4.9</ns0:v>
      </ns0:c>
      <ns0:c r="E48" s="124" t="str">
        <ns0:v>受限周转与归纳顺序</ns0:v>
      </ns0:c>
      <ns0:c r="F48" s="124" t="str">
        <ns0:v>机关与装量配合</ns0:v>
      </ns0:c>
      <ns0:c r="G48" s="112" t="str">
        <ns0:v>错落</ns0:v>
      </ns0:c>
      <ns0:c r="H48" s="112" t="n">
        <ns0:v>8</ns0:v>
      </ns0:c>
      <ns0:c r="I48" s="112" t="n">
        <ns0:f>SUMIFS('装量配置'!$E$6:$E$718,'装量配置'!$A$6:$A$718,A48,'装量配置'!$B$6:$B$718,"开局",'装量配置'!$F$6:$F$718,4,'装量配置'!$G$6:$G$718,"&gt;0")</ns0:f>
        <ns0:v>17</ns0:v>
      </ns0:c>
      <ns0:c r="J48" s="112" t="n">
        <ns0:f>SUMIFS('装量配置'!$E$6:$E$718,'装量配置'!$A$6:$A$718,A48,'装量配置'!$B$6:$B$718,"备货")</ns0:f>
        <ns0:v>0</ns0:v>
      </ns0:c>
      <ns0:c r="K48" s="112" t="n">
        <ns0:v>17</ns0:v>
      </ns0:c>
      <ns0:c r="L48" s="112" t="n">
        <ns0:f>SUMIFS('装量配置'!$E$6:$E$718,'装量配置'!$A$6:$A$718,A48,'装量配置'!$B$6:$B$718,"开局",'装量配置'!$F$6:$F$718,4,'装量配置'!$G$6:$G$718,0,'装量配置'!$D$6:$D$718,"&lt;&gt;广告锁定周转盒")</ns0:f>
        <ns0:v>2</ns0:v>
      </ns0:c>
      <ns0:c r="M48" s="112" t="n">
        <ns0:f>SUMIFS('装量配置'!$E$6:$E$718,'装量配置'!$A$6:$A$718,A48,'装量配置'!$B$6:$B$718,"开局",'装量配置'!$F$6:$F$718,1)</ns0:f>
        <ns0:v>0</ns0:v>
      </ns0:c>
      <ns0:c r="N48" s="112" t="n">
        <ns0:f>SUMIFS('装量配置'!$E$6:$E$718,'装量配置'!$A$6:$A$718,A48,'装量配置'!$B$6:$B$718,"开局",'装量配置'!$D$6:$D$718,"广告锁定周转盒")</ns0:f>
        <ns0:v>2</ns0:v>
      </ns0:c>
      <ns0:c r="O48" s="112" t="n">
        <ns0:f>SUMIFS('装量配置'!$E$6:$E$718,'装量配置'!$A$6:$A$718,A48,'装量配置'!$B$6:$B$718,"开局")</ns0:f>
        <ns0:v>21</ns0:v>
      </ns0:c>
      <ns0:c r="P48" s="112" t="n">
        <ns0:f>SUMIFS('装量配置'!$K$6:$K$718,'装量配置'!$A$6:$A$718,A48)</ns0:f>
        <ns0:v>4</ns0:v>
      </ns0:c>
      <ns0:c r="Q48" s="112" t="n">
        <ns0:v>4</ns0:v>
      </ns0:c>
      <ns0:c r="R48" s="113" t="n">
        <ns0:v>0</ns0:v>
      </ns0:c>
      <ns0:c r="S48" s="113" t="n">
        <ns0:v>0.12</ns0:v>
      </ns0:c>
      <ns0:c r="T48" s="112" t="n">
        <ns0:v>3</ns0:v>
      </ns0:c>
      <ns0:c r="U48" s="112" t="n">
        <ns0:v>0</ns0:v>
      </ns0:c>
      <ns0:c r="V48" s="124" t="str">
        <ns0:v>固定颜色盒</ns0:v>
      </ns0:c>
      <ns0:c r="W48" s="124" t="str">
        <ns0:v>数字冰冻盒</ns0:v>
      </ns0:c>
      <ns0:c r="X48" s="124" t="str">
        <ns0:v>数字冰冻盒 1×1；固定颜色盒×1</ns0:v>
      </ns0:c>
      <ns0:c r="Y48" s="112" t="n">
        <ns0:f>SUMIFS('装量配置'!$I$6:$I$718,'装量配置'!$A$6:$A$718,A48)</ns0:f>
        <ns0:v>68</ns0:v>
      </ns0:c>
      <ns0:c r="Z48" s="112" t="str">
        <ns0:f>IF(AND(O48&lt;=25,N48=2,Y48=K48*4,H48&lt;=K48,P48+AT48&gt;=4,COUNTIFS('装量配置'!$A$6:$A$718,A48,'装量配置'!$O$6:$O$718,"需调整")=0),"装量通过；待逐味","需调整")</ns0:f>
        <ns0:v>装量通过；待逐味</ns0:v>
      </ns0:c>
      <ns0:c r="AA48" s="107" t="str">
        <ns0:v>已找到无辅助可行解 53 次；非最短</ns0:v>
      </ns0:c>
      <ns0:c r="AB48" s="107"/>
      <ns0:c r="AC48" s="107"/>
      <ns0:c r="AD48" s="113"/>
      <ns0:c r="AE48" s="114" t="n">
        <ns0:v>6</ns0:v>
      </ns0:c>
      <ns0:c r="AF48" s="109"/>
      <ns0:c r="AG48" s="109"/>
      <ns0:c r="AH48" s="110"/>
      <ns0:c r="AI48" s="131" t="str">
        <ns0:v>固定层序已制作；验收见实施记录</ns0:v>
      </ns0:c>
      <ns0:c r="AJ48" s="124" t="str">
        <ns0:v>已确认41–50关方案；目标难度4.9，待真人试玩校准；普通盒装量4/3/2/1/0：16/0/0/0/1</ns0:v>
      </ns0:c>
      <ns0:c r="AK48" s="124" t="str">
        <ns0:v>按实际盒数连续居中分排，上下可见留白对称</ns0:v>
      </ns0:c>
      <ns0:c r="AL48" s="112" t="n">
        <ns0:v>1</ns0:v>
      </ns0:c>
      <ns0:c r="AM48" s="113"/>
      <ns0:c r="AN48" s="112"/>
      <ns0:c r="AO48" s="113"/>
      <ns0:c r="AP48" s="124" t="str">
        <ns0:v>四条件可行路线已制作；见回放记录</ns0:v>
      </ns0:c>
      <ns0:c r="AQ48" s="107"/>
      <ns0:c r="AR48" s="120" t="n">
        <ns0:f>SUMIFS('装量配置'!$I$6:$I$718,'装量配置'!$A$6:$A$718,A48,'装量配置'!$B$6:$B$718,"开局")</ns0:f>
        <ns0:v>68</ns0:v>
      </ns0:c>
      <ns0:c r="AS48" s="132" t="n">
        <ns0:f>SUMIFS('装量配置'!$I$6:$I$718,'装量配置'!$A$6:$A$718,A48,'装量配置'!$B$6:$B$718,"开局",'装量配置'!$D$6:$D$718,"普通盒",'装量配置'!$G$6:$G$718,"&gt;0")/(4*SUMIFS('装量配置'!$E$6:$E$718,'装量配置'!$A$6:$A$718,A48,'装量配置'!$B$6:$B$718,"开局",'装量配置'!$D$6:$D$718,"普通盒",'装量配置'!$G$6:$G$718,"&gt;0"))</ns0:f>
        <ns0:v>1</ns0:v>
      </ns0:c>
      <ns0:c r="AT48" s="120" t="n">
        <ns0:f>SUMIFS('装量配置'!$L$6:$L$718,'装量配置'!$A$6:$A$718,A48)</ns0:f>
        <ns0:v>0</ns0:v>
      </ns0:c>
      <ns0:c r="AU48" s="120" t="n">
        <ns0:f>SUMIFS('装量配置'!$M$6:$M$718,'装量配置'!$A$6:$A$718,A48)</ns0:f>
        <ns0:v>4</ns0:v>
      </ns0:c>
      <ns0:c r="AV48" s="120" t="n">
        <ns0:f>SUMIFS('装量配置'!$N$6:$N$718,'装量配置'!$A$6:$A$718,A48)</ns0:f>
        <ns0:v>0</ns0:v>
      </ns0:c>
      <ns0:c r="AW48" s="132" t="n">
        <ns0:v>0.18</ns0:v>
      </ns0:c>
      <ns0:c r="AX48" s="120" t="n">
        <ns0:v>5</ns0:v>
      </ns0:c>
      <ns0:c r="AY48" s="120" t="n">
        <ns0:f>IF(AX48=1,1,0)</ns0:f>
        <ns0:v>0</ns0:v>
      </ns0:c>
      <ns0:c r="AZ48" s="120" t="n">
        <ns0:f>SUMIFS('装量配置'!$E$6:$E$718,'装量配置'!$A$6:$A$718,A48,'装量配置'!$B$6:$B$718,"开局",'装量配置'!$D$6:$D$718,"&lt;&gt;普通盒",'装量配置'!$D$6:$D$718,"&lt;&gt;广告锁定周转盒")</ns0:f>
        <ns0:v>2</ns0:v>
      </ns0:c>
      <ns0:c r="BA48" s="149" t="n">
        <ns0:f>IF(COUNTIFS('装量配置'!$A$6:$A$718,A48,'装量配置'!$B$6:$B$718,"开局",'装量配置'!$D$6:$D$718,"数字盖盒",'装量配置'!$E$6:$E$718,"&gt;0")&gt;0,1,0)+IF(COUNTIFS('装量配置'!$A$6:$A$718,A48,'装量配置'!$B$6:$B$718,"开局",'装量配置'!$D$6:$D$718,"普通冰冻盒",'装量配置'!$E$6:$E$718,"&gt;0")&gt;0,1,0)+IF(COUNTIFS('装量配置'!$A$6:$A$718,A48,'装量配置'!$B$6:$B$718,"开局",'装量配置'!$D$6:$D$718,"单颗暂存盒",'装量配置'!$E$6:$E$718,"&gt;0")&gt;0,1,0)+IF(COUNTIFS('装量配置'!$A$6:$A$718,A48,'装量配置'!$B$6:$B$718,"开局",'装量配置'!$D$6:$D$718,"数字冰冻盒",'装量配置'!$E$6:$E$718,"&gt;0")&gt;0,1,0)+IF(COUNTIFS('装量配置'!$A$6:$A$718,A48,'装量配置'!$B$6:$B$718,"开局",'装量配置'!$D$6:$D$718,"固定颜色盒",'装量配置'!$E$6:$E$718,"&gt;0")&gt;0,1,0)+IF(COUNTIFS('装量配置'!$A$6:$A$718,A48,'装量配置'!$B$6:$B$718,"开局",'装量配置'!$D$6:$D$718,"单向收纳盒",'装量配置'!$E$6:$E$718,"&gt;0")&gt;0,1,0)+IF(COUNTIFS('装量配置'!$A$6:$A$718,A48,'装量配置'!$B$6:$B$718,"开局",'装量配置'!$D$6:$D$718,"底部置顶盒",'装量配置'!$E$6:$E$718,"&gt;0")&gt;0,1,0)+IF(COUNTIFS('装量配置'!$A$6:$A$718,A48,'装量配置'!$B$6:$B$718,"开局",'装量配置'!$D$6:$D$718,"炸弹盒",'装量配置'!$E$6:$E$718,"&gt;0")&gt;0,1,0)</ns0:f>
        <ns0:v>2</ns0:v>
      </ns0:c>
      <ns0:c r="BB48" s="149" t="n">
        <ns0:f>SUMIFS('装量配置'!$E$6:$E$718,'装量配置'!$A$6:$A$718,A48,'装量配置'!$B$6:$B$718,"开局",'装量配置'!$D$6:$D$718,"数字盖盒")+SUMIFS('装量配置'!$E$6:$E$718,'装量配置'!$A$6:$A$718,A48,'装量配置'!$B$6:$B$718,"开局",'装量配置'!$D$6:$D$718,"普通冰冻盒")+SUMIFS('装量配置'!$E$6:$E$718,'装量配置'!$A$6:$A$718,A48,'装量配置'!$B$6:$B$718,"开局",'装量配置'!$D$6:$D$718,"数字冰冻盒")</ns0:f>
        <ns0:v>1</ns0:v>
      </ns0:c>
      <ns0:c r="BC48" s="149" t="n">
        <ns0:f>SUMIFS('装量配置'!$R$6:$R$718,'装量配置'!$A$6:$A$718,A48,'装量配置'!$B$6:$B$718,"开局")</ns0:f>
        <ns0:v>1</ns0:v>
      </ns0:c>
      <ns0:c r="BD48" s="146" t="str">
        <ns0:v>归纳与指定口味</ns0:v>
      </ns0:c>
      <ns0:c r="BE48" s="149" t="n">
        <ns0:v>3</ns0:v>
      </ns0:c>
      <ns0:c r="BF48" s="146" t="str">
        <ns0:v>基线路线中段腾位 3 段；非所有路径</ns0:v>
      </ns0:c>
    </ns0:row>
    <ns0:row r="49" ht="33" customHeight="1">
      <ns0:c r="A49" s="105" t="n">
        <ns0:v>44</ns0:v>
      </ns0:c>
      <ns0:c r="B49" s="117" t="str">
        <ns0:v>固定口味与已学机制</ns0:v>
      </ns0:c>
      <ns0:c r="C49" s="126" t="str">
        <ns0:v>预装暂存复用</ns0:v>
      </ns0:c>
      <ns0:c r="D49" s="108" t="n">
        <ns0:v>4.8</ns0:v>
      </ns0:c>
      <ns0:c r="E49" s="123" t="str">
        <ns0:v>受限周转与归纳顺序</ns0:v>
      </ns0:c>
      <ns0:c r="F49" s="123" t="str">
        <ns0:v>机关与装量配合</ns0:v>
      </ns0:c>
      <ns0:c r="G49" s="105" t="str">
        <ns0:v>整齐</ns0:v>
      </ns0:c>
      <ns0:c r="H49" s="105" t="n">
        <ns0:v>8</ns0:v>
      </ns0:c>
      <ns0:c r="I49" s="105" t="n">
        <ns0:f>SUMIFS('装量配置'!$E$6:$E$718,'装量配置'!$A$6:$A$718,A49,'装量配置'!$B$6:$B$718,"开局",'装量配置'!$F$6:$F$718,4,'装量配置'!$G$6:$G$718,"&gt;0")</ns0:f>
        <ns0:v>17</ns0:v>
      </ns0:c>
      <ns0:c r="J49" s="105" t="n">
        <ns0:f>SUMIFS('装量配置'!$E$6:$E$718,'装量配置'!$A$6:$A$718,A49,'装量配置'!$B$6:$B$718,"备货")</ns0:f>
        <ns0:v>1</ns0:v>
      </ns0:c>
      <ns0:c r="K49" s="105" t="n">
        <ns0:v>17</ns0:v>
      </ns0:c>
      <ns0:c r="L49" s="105" t="n">
        <ns0:f>SUMIFS('装量配置'!$E$6:$E$718,'装量配置'!$A$6:$A$718,A49,'装量配置'!$B$6:$B$718,"开局",'装量配置'!$F$6:$F$718,4,'装量配置'!$G$6:$G$718,0,'装量配置'!$D$6:$D$718,"&lt;&gt;广告锁定周转盒")</ns0:f>
        <ns0:v>1</ns0:v>
      </ns0:c>
      <ns0:c r="M49" s="105" t="n">
        <ns0:f>SUMIFS('装量配置'!$E$6:$E$718,'装量配置'!$A$6:$A$718,A49,'装量配置'!$B$6:$B$718,"开局",'装量配置'!$F$6:$F$718,1)</ns0:f>
        <ns0:v>1</ns0:v>
      </ns0:c>
      <ns0:c r="N49" s="105" t="n">
        <ns0:f>SUMIFS('装量配置'!$E$6:$E$718,'装量配置'!$A$6:$A$718,A49,'装量配置'!$B$6:$B$718,"开局",'装量配置'!$D$6:$D$718,"广告锁定周转盒")</ns0:f>
        <ns0:v>2</ns0:v>
      </ns0:c>
      <ns0:c r="O49" s="105" t="n">
        <ns0:f>SUMIFS('装量配置'!$E$6:$E$718,'装量配置'!$A$6:$A$718,A49,'装量配置'!$B$6:$B$718,"开局")</ns0:f>
        <ns0:v>21</ns0:v>
      </ns0:c>
      <ns0:c r="P49" s="105" t="n">
        <ns0:f>SUMIFS('装量配置'!$K$6:$K$718,'装量配置'!$A$6:$A$718,A49)</ns0:f>
        <ns0:v>4</ns0:v>
      </ns0:c>
      <ns0:c r="Q49" s="105" t="n">
        <ns0:v>4</ns0:v>
      </ns0:c>
      <ns0:c r="R49" s="106" t="n">
        <ns0:v>0</ns0:v>
      </ns0:c>
      <ns0:c r="S49" s="106" t="n">
        <ns0:v>0.12</ns0:v>
      </ns0:c>
      <ns0:c r="T49" s="105" t="n">
        <ns0:v>3</ns0:v>
      </ns0:c>
      <ns0:c r="U49" s="105" t="n">
        <ns0:v>1</ns0:v>
      </ns0:c>
      <ns0:c r="V49" s="123" t="str">
        <ns0:v>数字冰冻盒</ns0:v>
      </ns0:c>
      <ns0:c r="W49" s="123" t="str">
        <ns0:v>数字冰冻盒、单颗暂存盒</ns0:v>
      </ns0:c>
      <ns0:c r="X49" s="123" t="str">
        <ns0:v>数字冰冻盒 1×2；单颗暂存盒预装1颗</ns0:v>
      </ns0:c>
      <ns0:c r="Y49" s="105" t="n">
        <ns0:f>SUMIFS('装量配置'!$I$6:$I$718,'装量配置'!$A$6:$A$718,A49)</ns0:f>
        <ns0:v>68</ns0:v>
      </ns0:c>
      <ns0:c r="Z49" s="105" t="str">
        <ns0:f>IF(AND(O49&lt;=25,N49=2,Y49=K49*4,H49&lt;=K49,P49+AT49&gt;=4,COUNTIFS('装量配置'!$A$6:$A$718,A49,'装量配置'!$O$6:$O$718,"需调整")=0),"装量通过；待逐味","需调整")</ns0:f>
        <ns0:v>装量通过；待逐味</ns0:v>
      </ns0:c>
      <ns0:c r="AA49" s="107" t="str">
        <ns0:v>已找到无辅助可行解 59 次；非最短</ns0:v>
      </ns0:c>
      <ns0:c r="AB49" s="107"/>
      <ns0:c r="AC49" s="107"/>
      <ns0:c r="AD49" s="106"/>
      <ns0:c r="AE49" s="108" t="n">
        <ns0:v>6</ns0:v>
      </ns0:c>
      <ns0:c r="AF49" s="109"/>
      <ns0:c r="AG49" s="109"/>
      <ns0:c r="AH49" s="110"/>
      <ns0:c r="AI49" s="131" t="str">
        <ns0:v>固定层序已制作；验收见实施记录</ns0:v>
      </ns0:c>
      <ns0:c r="AJ49" s="123" t="str">
        <ns0:v>已确认41–50关方案；目标难度4.8，待真人试玩校准；普通盒装量4/3/2/1/0：11/3/1/0/1</ns0:v>
      </ns0:c>
      <ns0:c r="AK49" s="123" t="str">
        <ns0:v>按实际盒数连续居中分排，上下可见留白对称</ns0:v>
      </ns0:c>
      <ns0:c r="AL49" s="105" t="n">
        <ns0:v>1</ns0:v>
      </ns0:c>
      <ns0:c r="AM49" s="106"/>
      <ns0:c r="AN49" s="107"/>
      <ns0:c r="AO49" s="110"/>
      <ns0:c r="AP49" s="123" t="str">
        <ns0:v>四条件可行路线已制作；见回放记录</ns0:v>
      </ns0:c>
      <ns0:c r="AQ49" s="107"/>
      <ns0:c r="AR49" s="121" t="n">
        <ns0:f>SUMIFS('装量配置'!$I$6:$I$718,'装量配置'!$A$6:$A$718,A49,'装量配置'!$B$6:$B$718,"开局")</ns0:f>
        <ns0:v>64</ns0:v>
      </ns0:c>
      <ns0:c r="AS49" s="133" t="n">
        <ns0:f>SUMIFS('装量配置'!$I$6:$I$718,'装量配置'!$A$6:$A$718,A49,'装量配置'!$B$6:$B$718,"开局",'装量配置'!$D$6:$D$718,"普通盒",'装量配置'!$G$6:$G$718,"&gt;0")/(4*SUMIFS('装量配置'!$E$6:$E$718,'装量配置'!$A$6:$A$718,A49,'装量配置'!$B$6:$B$718,"开局",'装量配置'!$D$6:$D$718,"普通盒",'装量配置'!$G$6:$G$718,"&gt;0"))</ns0:f>
        <ns0:v>0.9166666666666666</ns0:v>
      </ns0:c>
      <ns0:c r="AT49" s="121" t="n">
        <ns0:f>SUMIFS('装量配置'!$L$6:$L$718,'装量配置'!$A$6:$A$718,A49)</ns0:f>
        <ns0:v>5</ns0:v>
      </ns0:c>
      <ns0:c r="AU49" s="121" t="n">
        <ns0:f>SUMIFS('装量配置'!$M$6:$M$718,'装量配置'!$A$6:$A$718,A49)</ns0:f>
        <ns0:v>0</ns0:v>
      </ns0:c>
      <ns0:c r="AV49" s="121" t="n">
        <ns0:f>SUMIFS('装量配置'!$N$6:$N$718,'装量配置'!$A$6:$A$718,A49)</ns0:f>
        <ns0:v>0</ns0:v>
      </ns0:c>
      <ns0:c r="AW49" s="133" t="n">
        <ns0:v>0.18</ns0:v>
      </ns0:c>
      <ns0:c r="AX49" s="121" t="n">
        <ns0:v>4</ns0:v>
      </ns0:c>
      <ns0:c r="AY49" s="121" t="n">
        <ns0:f>IF(AX49=1,1,0)</ns0:f>
        <ns0:v>0</ns0:v>
      </ns0:c>
      <ns0:c r="AZ49" s="121" t="n">
        <ns0:f>SUMIFS('装量配置'!$E$6:$E$718,'装量配置'!$A$6:$A$718,A49,'装量配置'!$B$6:$B$718,"开局",'装量配置'!$D$6:$D$718,"&lt;&gt;普通盒",'装量配置'!$D$6:$D$718,"&lt;&gt;广告锁定周转盒")</ns0:f>
        <ns0:v>3</ns0:v>
      </ns0:c>
      <ns0:c r="BA49" s="150" t="n">
        <ns0:f>IF(COUNTIFS('装量配置'!$A$6:$A$718,A49,'装量配置'!$B$6:$B$718,"开局",'装量配置'!$D$6:$D$718,"数字盖盒",'装量配置'!$E$6:$E$718,"&gt;0")&gt;0,1,0)+IF(COUNTIFS('装量配置'!$A$6:$A$718,A49,'装量配置'!$B$6:$B$718,"开局",'装量配置'!$D$6:$D$718,"普通冰冻盒",'装量配置'!$E$6:$E$718,"&gt;0")&gt;0,1,0)+IF(COUNTIFS('装量配置'!$A$6:$A$718,A49,'装量配置'!$B$6:$B$718,"开局",'装量配置'!$D$6:$D$718,"单颗暂存盒",'装量配置'!$E$6:$E$718,"&gt;0")&gt;0,1,0)+IF(COUNTIFS('装量配置'!$A$6:$A$718,A49,'装量配置'!$B$6:$B$718,"开局",'装量配置'!$D$6:$D$718,"数字冰冻盒",'装量配置'!$E$6:$E$718,"&gt;0")&gt;0,1,0)+IF(COUNTIFS('装量配置'!$A$6:$A$718,A49,'装量配置'!$B$6:$B$718,"开局",'装量配置'!$D$6:$D$718,"固定颜色盒",'装量配置'!$E$6:$E$718,"&gt;0")&gt;0,1,0)+IF(COUNTIFS('装量配置'!$A$6:$A$718,A49,'装量配置'!$B$6:$B$718,"开局",'装量配置'!$D$6:$D$718,"单向收纳盒",'装量配置'!$E$6:$E$718,"&gt;0")&gt;0,1,0)+IF(COUNTIFS('装量配置'!$A$6:$A$718,A49,'装量配置'!$B$6:$B$718,"开局",'装量配置'!$D$6:$D$718,"底部置顶盒",'装量配置'!$E$6:$E$718,"&gt;0")&gt;0,1,0)+IF(COUNTIFS('装量配置'!$A$6:$A$718,A49,'装量配置'!$B$6:$B$718,"开局",'装量配置'!$D$6:$D$718,"炸弹盒",'装量配置'!$E$6:$E$718,"&gt;0")&gt;0,1,0)</ns0:f>
        <ns0:v>2</ns0:v>
      </ns0:c>
      <ns0:c r="BB49" s="150" t="n">
        <ns0:f>SUMIFS('装量配置'!$E$6:$E$718,'装量配置'!$A$6:$A$718,A49,'装量配置'!$B$6:$B$718,"开局",'装量配置'!$D$6:$D$718,"数字盖盒")+SUMIFS('装量配置'!$E$6:$E$718,'装量配置'!$A$6:$A$718,A49,'装量配置'!$B$6:$B$718,"开局",'装量配置'!$D$6:$D$718,"普通冰冻盒")+SUMIFS('装量配置'!$E$6:$E$718,'装量配置'!$A$6:$A$718,A49,'装量配置'!$B$6:$B$718,"开局",'装量配置'!$D$6:$D$718,"数字冰冻盒")</ns0:f>
        <ns0:v>2</ns0:v>
      </ns0:c>
      <ns0:c r="BC49" s="150" t="n">
        <ns0:f>SUMIFS('装量配置'!$R$6:$R$718,'装量配置'!$A$6:$A$718,A49,'装量配置'!$B$6:$B$718,"开局")</ns0:f>
        <ns0:v>2</ns0:v>
      </ns0:c>
      <ns0:c r="BD49" s="148" t="str">
        <ns0:v>预装暂存复用</ns0:v>
      </ns0:c>
      <ns0:c r="BE49" s="150" t="n">
        <ns0:v>2</ns0:v>
      </ns0:c>
      <ns0:c r="BF49" s="148" t="str">
        <ns0:v>基线路线中段腾位 2 段；非所有路径</ns0:v>
      </ns0:c>
    </ns0:row>
    <ns0:row r="50" ht="33" customHeight="1">
      <ns0:c r="A50" s="112" t="n">
        <ns0:v>45</ns0:v>
      </ns0:c>
      <ns0:c r="B50" s="119" t="str">
        <ns0:v>固定口味与已学机制</ns0:v>
      </ns0:c>
      <ns0:c r="C50" s="127" t="str">
        <ns0:v>揭示与受限周转</ns0:v>
      </ns0:c>
      <ns0:c r="D50" s="114" t="n">
        <ns0:v>4.9</ns0:v>
      </ns0:c>
      <ns0:c r="E50" s="124" t="str">
        <ns0:v>受限周转与归纳顺序</ns0:v>
      </ns0:c>
      <ns0:c r="F50" s="124" t="str">
        <ns0:v>机关与装量配合</ns0:v>
      </ns0:c>
      <ns0:c r="G50" s="112" t="str">
        <ns0:v>错落</ns0:v>
      </ns0:c>
      <ns0:c r="H50" s="112" t="n">
        <ns0:v>8</ns0:v>
      </ns0:c>
      <ns0:c r="I50" s="112" t="n">
        <ns0:f>SUMIFS('装量配置'!$E$6:$E$718,'装量配置'!$A$6:$A$718,A50,'装量配置'!$B$6:$B$718,"开局",'装量配置'!$F$6:$F$718,4,'装量配置'!$G$6:$G$718,"&gt;0")</ns0:f>
        <ns0:v>18</ns0:v>
      </ns0:c>
      <ns0:c r="J50" s="112" t="n">
        <ns0:f>SUMIFS('装量配置'!$E$6:$E$718,'装量配置'!$A$6:$A$718,A50,'装量配置'!$B$6:$B$718,"备货")</ns0:f>
        <ns0:v>0</ns0:v>
      </ns0:c>
      <ns0:c r="K50" s="112" t="n">
        <ns0:v>17</ns0:v>
      </ns0:c>
      <ns0:c r="L50" s="112" t="n">
        <ns0:f>SUMIFS('装量配置'!$E$6:$E$718,'装量配置'!$A$6:$A$718,A50,'装量配置'!$B$6:$B$718,"开局",'装量配置'!$F$6:$F$718,4,'装量配置'!$G$6:$G$718,0,'装量配置'!$D$6:$D$718,"&lt;&gt;广告锁定周转盒")</ns0:f>
        <ns0:v>1</ns0:v>
      </ns0:c>
      <ns0:c r="M50" s="112" t="n">
        <ns0:f>SUMIFS('装量配置'!$E$6:$E$718,'装量配置'!$A$6:$A$718,A50,'装量配置'!$B$6:$B$718,"开局",'装量配置'!$F$6:$F$718,1)</ns0:f>
        <ns0:v>0</ns0:v>
      </ns0:c>
      <ns0:c r="N50" s="112" t="n">
        <ns0:f>SUMIFS('装量配置'!$E$6:$E$718,'装量配置'!$A$6:$A$718,A50,'装量配置'!$B$6:$B$718,"开局",'装量配置'!$D$6:$D$718,"广告锁定周转盒")</ns0:f>
        <ns0:v>2</ns0:v>
      </ns0:c>
      <ns0:c r="O50" s="112" t="n">
        <ns0:f>SUMIFS('装量配置'!$E$6:$E$718,'装量配置'!$A$6:$A$718,A50,'装量配置'!$B$6:$B$718,"开局")</ns0:f>
        <ns0:v>21</ns0:v>
      </ns0:c>
      <ns0:c r="P50" s="112" t="n">
        <ns0:f>SUMIFS('装量配置'!$K$6:$K$718,'装量配置'!$A$6:$A$718,A50)</ns0:f>
        <ns0:v>0</ns0:v>
      </ns0:c>
      <ns0:c r="Q50" s="112" t="n">
        <ns0:v>4</ns0:v>
      </ns0:c>
      <ns0:c r="R50" s="113" t="n">
        <ns0:v>0.04411764705882353</ns0:v>
      </ns0:c>
      <ns0:c r="S50" s="113" t="n">
        <ns0:v>0.12</ns0:v>
      </ns0:c>
      <ns0:c r="T50" s="112" t="n">
        <ns0:v>3</ns0:v>
      </ns0:c>
      <ns0:c r="U50" s="112" t="n">
        <ns0:v>0</ns0:v>
      </ns0:c>
      <ns0:c r="V50" s="124" t="str">
        <ns0:v>固定颜色盒</ns0:v>
      </ns0:c>
      <ns0:c r="W50" s="124"/>
      <ns0:c r="X50" s="124" t="str">
        <ns0:v>固定颜色盒×1</ns0:v>
      </ns0:c>
      <ns0:c r="Y50" s="112" t="n">
        <ns0:f>SUMIFS('装量配置'!$I$6:$I$718,'装量配置'!$A$6:$A$718,A50)</ns0:f>
        <ns0:v>68</ns0:v>
      </ns0:c>
      <ns0:c r="Z50" s="112" t="str">
        <ns0:f>IF(AND(O50&lt;=25,N50=2,Y50=K50*4,H50&lt;=K50,P50+AT50&gt;=4,COUNTIFS('装量配置'!$A$6:$A$718,A50,'装量配置'!$O$6:$O$718,"需调整")=0),"装量通过；待逐味","需调整")</ns0:f>
        <ns0:v>装量通过；待逐味</ns0:v>
      </ns0:c>
      <ns0:c r="AA50" s="107" t="str">
        <ns0:v>已找到无辅助可行解 59 次；非最短</ns0:v>
      </ns0:c>
      <ns0:c r="AB50" s="107"/>
      <ns0:c r="AC50" s="107"/>
      <ns0:c r="AD50" s="113"/>
      <ns0:c r="AE50" s="114" t="n">
        <ns0:v>6</ns0:v>
      </ns0:c>
      <ns0:c r="AF50" s="109"/>
      <ns0:c r="AG50" s="109"/>
      <ns0:c r="AH50" s="110"/>
      <ns0:c r="AI50" s="131" t="str">
        <ns0:v>固定层序已制作；验收见实施记录</ns0:v>
      </ns0:c>
      <ns0:c r="AJ50" s="124" t="str">
        <ns0:v>已确认41–50关方案；目标难度4.9，待真人试玩校准；普通盒装量4/3/2/1/0：15/2/1/0/0</ns0:v>
      </ns0:c>
      <ns0:c r="AK50" s="124" t="str">
        <ns0:v>按实际盒数连续居中分排，上下可见留白对称</ns0:v>
      </ns0:c>
      <ns0:c r="AL50" s="112" t="n">
        <ns0:v>1</ns0:v>
      </ns0:c>
      <ns0:c r="AM50" s="113"/>
      <ns0:c r="AN50" s="112"/>
      <ns0:c r="AO50" s="113"/>
      <ns0:c r="AP50" s="124" t="str">
        <ns0:v>四条件可行路线已制作；见回放记录</ns0:v>
      </ns0:c>
      <ns0:c r="AQ50" s="107"/>
      <ns0:c r="AR50" s="120" t="n">
        <ns0:f>SUMIFS('装量配置'!$I$6:$I$718,'装量配置'!$A$6:$A$718,A50,'装量配置'!$B$6:$B$718,"开局")</ns0:f>
        <ns0:v>68</ns0:v>
      </ns0:c>
      <ns0:c r="AS50" s="132" t="n">
        <ns0:f>SUMIFS('装量配置'!$I$6:$I$718,'装量配置'!$A$6:$A$718,A50,'装量配置'!$B$6:$B$718,"开局",'装量配置'!$D$6:$D$718,"普通盒",'装量配置'!$G$6:$G$718,"&gt;0")/(4*SUMIFS('装量配置'!$E$6:$E$718,'装量配置'!$A$6:$A$718,A50,'装量配置'!$B$6:$B$718,"开局",'装量配置'!$D$6:$D$718,"普通盒",'装量配置'!$G$6:$G$718,"&gt;0"))</ns0:f>
        <ns0:v>0.9444444444444444</ns0:v>
      </ns0:c>
      <ns0:c r="AT50" s="120" t="n">
        <ns0:f>SUMIFS('装量配置'!$L$6:$L$718,'装量配置'!$A$6:$A$718,A50)</ns0:f>
        <ns0:v>4</ns0:v>
      </ns0:c>
      <ns0:c r="AU50" s="120" t="n">
        <ns0:f>SUMIFS('装量配置'!$M$6:$M$718,'装量配置'!$A$6:$A$718,A50)</ns0:f>
        <ns0:v>4</ns0:v>
      </ns0:c>
      <ns0:c r="AV50" s="120" t="n">
        <ns0:f>SUMIFS('装量配置'!$N$6:$N$718,'装量配置'!$A$6:$A$718,A50)</ns0:f>
        <ns0:v>0</ns0:v>
      </ns0:c>
      <ns0:c r="AW50" s="132" t="n">
        <ns0:v>0.18</ns0:v>
      </ns0:c>
      <ns0:c r="AX50" s="120" t="n">
        <ns0:v>5</ns0:v>
      </ns0:c>
      <ns0:c r="AY50" s="120" t="n">
        <ns0:f>IF(AX50=1,1,0)</ns0:f>
        <ns0:v>0</ns0:v>
      </ns0:c>
      <ns0:c r="AZ50" s="120" t="n">
        <ns0:f>SUMIFS('装量配置'!$E$6:$E$718,'装量配置'!$A$6:$A$718,A50,'装量配置'!$B$6:$B$718,"开局",'装量配置'!$D$6:$D$718,"&lt;&gt;普通盒",'装量配置'!$D$6:$D$718,"&lt;&gt;广告锁定周转盒")</ns0:f>
        <ns0:v>1</ns0:v>
      </ns0:c>
      <ns0:c r="BA50" s="149" t="n">
        <ns0:f>IF(COUNTIFS('装量配置'!$A$6:$A$718,A50,'装量配置'!$B$6:$B$718,"开局",'装量配置'!$D$6:$D$718,"数字盖盒",'装量配置'!$E$6:$E$718,"&gt;0")&gt;0,1,0)+IF(COUNTIFS('装量配置'!$A$6:$A$718,A50,'装量配置'!$B$6:$B$718,"开局",'装量配置'!$D$6:$D$718,"普通冰冻盒",'装量配置'!$E$6:$E$718,"&gt;0")&gt;0,1,0)+IF(COUNTIFS('装量配置'!$A$6:$A$718,A50,'装量配置'!$B$6:$B$718,"开局",'装量配置'!$D$6:$D$718,"单颗暂存盒",'装量配置'!$E$6:$E$718,"&gt;0")&gt;0,1,0)+IF(COUNTIFS('装量配置'!$A$6:$A$718,A50,'装量配置'!$B$6:$B$718,"开局",'装量配置'!$D$6:$D$718,"数字冰冻盒",'装量配置'!$E$6:$E$718,"&gt;0")&gt;0,1,0)+IF(COUNTIFS('装量配置'!$A$6:$A$718,A50,'装量配置'!$B$6:$B$718,"开局",'装量配置'!$D$6:$D$718,"固定颜色盒",'装量配置'!$E$6:$E$718,"&gt;0")&gt;0,1,0)+IF(COUNTIFS('装量配置'!$A$6:$A$718,A50,'装量配置'!$B$6:$B$718,"开局",'装量配置'!$D$6:$D$718,"单向收纳盒",'装量配置'!$E$6:$E$718,"&gt;0")&gt;0,1,0)+IF(COUNTIFS('装量配置'!$A$6:$A$718,A50,'装量配置'!$B$6:$B$718,"开局",'装量配置'!$D$6:$D$718,"底部置顶盒",'装量配置'!$E$6:$E$718,"&gt;0")&gt;0,1,0)+IF(COUNTIFS('装量配置'!$A$6:$A$718,A50,'装量配置'!$B$6:$B$718,"开局",'装量配置'!$D$6:$D$718,"炸弹盒",'装量配置'!$E$6:$E$718,"&gt;0")&gt;0,1,0)</ns0:f>
        <ns0:v>1</ns0:v>
      </ns0:c>
      <ns0:c r="BB50" s="149" t="n">
        <ns0:f>SUMIFS('装量配置'!$E$6:$E$718,'装量配置'!$A$6:$A$718,A50,'装量配置'!$B$6:$B$718,"开局",'装量配置'!$D$6:$D$718,"数字盖盒")+SUMIFS('装量配置'!$E$6:$E$718,'装量配置'!$A$6:$A$718,A50,'装量配置'!$B$6:$B$718,"开局",'装量配置'!$D$6:$D$718,"普通冰冻盒")+SUMIFS('装量配置'!$E$6:$E$718,'装量配置'!$A$6:$A$718,A50,'装量配置'!$B$6:$B$718,"开局",'装量配置'!$D$6:$D$718,"数字冰冻盒")</ns0:f>
        <ns0:v>0</ns0:v>
      </ns0:c>
      <ns0:c r="BC50" s="149" t="n">
        <ns0:f>SUMIFS('装量配置'!$R$6:$R$718,'装量配置'!$A$6:$A$718,A50,'装量配置'!$B$6:$B$718,"开局")</ns0:f>
        <ns0:v>0</ns0:v>
      </ns0:c>
      <ns0:c r="BD50" s="146" t="str">
        <ns0:v>揭示与受限周转</ns0:v>
      </ns0:c>
      <ns0:c r="BE50" s="149" t="n">
        <ns0:v>3</ns0:v>
      </ns0:c>
      <ns0:c r="BF50" s="146" t="str">
        <ns0:v>基线路线中段腾位 4 段；非所有路径</ns0:v>
      </ns0:c>
    </ns0:row>
    <ns0:row r="51" ht="33" customHeight="1">
      <ns0:c r="A51" s="105" t="n">
        <ns0:v>46</ns0:v>
      </ns0:c>
      <ns0:c r="B51" s="117" t="str">
        <ns0:v>固定口味与已学机制</ns0:v>
      </ns0:c>
      <ns0:c r="C51" s="126" t="str">
        <ns0:v>交付解冻与分批补货</ns0:v>
      </ns0:c>
      <ns0:c r="D51" s="108" t="n">
        <ns0:v>4.9</ns0:v>
      </ns0:c>
      <ns0:c r="E51" s="123" t="str">
        <ns0:v>受限周转与归纳顺序</ns0:v>
      </ns0:c>
      <ns0:c r="F51" s="123" t="str">
        <ns0:v>机关与装量配合</ns0:v>
      </ns0:c>
      <ns0:c r="G51" s="105" t="str">
        <ns0:v>整齐</ns0:v>
      </ns0:c>
      <ns0:c r="H51" s="105" t="n">
        <ns0:v>8</ns0:v>
      </ns0:c>
      <ns0:c r="I51" s="105" t="n">
        <ns0:f>SUMIFS('装量配置'!$E$6:$E$718,'装量配置'!$A$6:$A$718,A51,'装量配置'!$B$6:$B$718,"开局",'装量配置'!$F$6:$F$718,4,'装量配置'!$G$6:$G$718,"&gt;0")</ns0:f>
        <ns0:v>17</ns0:v>
      </ns0:c>
      <ns0:c r="J51" s="105" t="n">
        <ns0:f>SUMIFS('装量配置'!$E$6:$E$718,'装量配置'!$A$6:$A$718,A51,'装量配置'!$B$6:$B$718,"备货")</ns0:f>
        <ns0:v>2</ns0:v>
      </ns0:c>
      <ns0:c r="K51" s="105" t="n">
        <ns0:v>19</ns0:v>
      </ns0:c>
      <ns0:c r="L51" s="105" t="n">
        <ns0:f>SUMIFS('装量配置'!$E$6:$E$718,'装量配置'!$A$6:$A$718,A51,'装量配置'!$B$6:$B$718,"开局",'装量配置'!$F$6:$F$718,4,'装量配置'!$G$6:$G$718,0,'装量配置'!$D$6:$D$718,"&lt;&gt;广告锁定周转盒")</ns0:f>
        <ns0:v>2</ns0:v>
      </ns0:c>
      <ns0:c r="M51" s="105" t="n">
        <ns0:f>SUMIFS('装量配置'!$E$6:$E$718,'装量配置'!$A$6:$A$718,A51,'装量配置'!$B$6:$B$718,"开局",'装量配置'!$F$6:$F$718,1)</ns0:f>
        <ns0:v>0</ns0:v>
      </ns0:c>
      <ns0:c r="N51" s="105" t="n">
        <ns0:f>SUMIFS('装量配置'!$E$6:$E$718,'装量配置'!$A$6:$A$718,A51,'装量配置'!$B$6:$B$718,"开局",'装量配置'!$D$6:$D$718,"广告锁定周转盒")</ns0:f>
        <ns0:v>2</ns0:v>
      </ns0:c>
      <ns0:c r="O51" s="105" t="n">
        <ns0:f>SUMIFS('装量配置'!$E$6:$E$718,'装量配置'!$A$6:$A$718,A51,'装量配置'!$B$6:$B$718,"开局")</ns0:f>
        <ns0:v>21</ns0:v>
      </ns0:c>
      <ns0:c r="P51" s="105" t="n">
        <ns0:f>SUMIFS('装量配置'!$K$6:$K$718,'装量配置'!$A$6:$A$718,A51)</ns0:f>
        <ns0:v>4</ns0:v>
      </ns0:c>
      <ns0:c r="Q51" s="105" t="n">
        <ns0:v>4</ns0:v>
      </ns0:c>
      <ns0:c r="R51" s="106" t="n">
        <ns0:v>0</ns0:v>
      </ns0:c>
      <ns0:c r="S51" s="106" t="n">
        <ns0:v>0.12</ns0:v>
      </ns0:c>
      <ns0:c r="T51" s="105" t="n">
        <ns0:v>3</ns0:v>
      </ns0:c>
      <ns0:c r="U51" s="105" t="n">
        <ns0:v>1</ns0:v>
      </ns0:c>
      <ns0:c r="V51" s="123" t="str">
        <ns0:v>固定颜色盒</ns0:v>
      </ns0:c>
      <ns0:c r="W51" s="123" t="str">
        <ns0:v>普通冰冻盒</ns0:v>
      </ns0:c>
      <ns0:c r="X51" s="123" t="str">
        <ns0:v>普通冰冻盒 0×2；固定颜色盒×1</ns0:v>
      </ns0:c>
      <ns0:c r="Y51" s="105" t="n">
        <ns0:f>SUMIFS('装量配置'!$I$6:$I$718,'装量配置'!$A$6:$A$718,A51)</ns0:f>
        <ns0:v>76</ns0:v>
      </ns0:c>
      <ns0:c r="Z51" s="105" t="str">
        <ns0:f>IF(AND(O51&lt;=25,N51=2,Y51=K51*4,H51&lt;=K51,P51+AT51&gt;=4,COUNTIFS('装量配置'!$A$6:$A$718,A51,'装量配置'!$O$6:$O$718,"需调整")=0),"装量通过；待逐味","需调整")</ns0:f>
        <ns0:v>装量通过；待逐味</ns0:v>
      </ns0:c>
      <ns0:c r="AA51" s="107" t="str">
        <ns0:v>已找到无辅助可行解 55 次；非最短</ns0:v>
      </ns0:c>
      <ns0:c r="AB51" s="107"/>
      <ns0:c r="AC51" s="107"/>
      <ns0:c r="AD51" s="106"/>
      <ns0:c r="AE51" s="108" t="n">
        <ns0:v>6</ns0:v>
      </ns0:c>
      <ns0:c r="AF51" s="109"/>
      <ns0:c r="AG51" s="109"/>
      <ns0:c r="AH51" s="110"/>
      <ns0:c r="AI51" s="131" t="str">
        <ns0:v>固定层序已制作；验收见实施记录</ns0:v>
      </ns0:c>
      <ns0:c r="AJ51" s="123" t="str">
        <ns0:v>已确认41–50关方案；目标难度4.9，待真人试玩校准；普通盒装量4/3/2/1/0：15/0/0/0/1</ns0:v>
      </ns0:c>
      <ns0:c r="AK51" s="123" t="str">
        <ns0:v>按实际盒数连续居中分排，上下可见留白对称</ns0:v>
      </ns0:c>
      <ns0:c r="AL51" s="105" t="n">
        <ns0:v>1</ns0:v>
      </ns0:c>
      <ns0:c r="AM51" s="106"/>
      <ns0:c r="AN51" s="107"/>
      <ns0:c r="AO51" s="110"/>
      <ns0:c r="AP51" s="123" t="str">
        <ns0:v>四条件可行路线已制作；见回放记录</ns0:v>
      </ns0:c>
      <ns0:c r="AQ51" s="107"/>
      <ns0:c r="AR51" s="121" t="n">
        <ns0:f>SUMIFS('装量配置'!$I$6:$I$718,'装量配置'!$A$6:$A$718,A51,'装量配置'!$B$6:$B$718,"开局")</ns0:f>
        <ns0:v>68</ns0:v>
      </ns0:c>
      <ns0:c r="AS51" s="133" t="n">
        <ns0:f>SUMIFS('装量配置'!$I$6:$I$718,'装量配置'!$A$6:$A$718,A51,'装量配置'!$B$6:$B$718,"开局",'装量配置'!$D$6:$D$718,"普通盒",'装量配置'!$G$6:$G$718,"&gt;0")/(4*SUMIFS('装量配置'!$E$6:$E$718,'装量配置'!$A$6:$A$718,A51,'装量配置'!$B$6:$B$718,"开局",'装量配置'!$D$6:$D$718,"普通盒",'装量配置'!$G$6:$G$718,"&gt;0"))</ns0:f>
        <ns0:v>1</ns0:v>
      </ns0:c>
      <ns0:c r="AT51" s="121" t="n">
        <ns0:f>SUMIFS('装量配置'!$L$6:$L$718,'装量配置'!$A$6:$A$718,A51)</ns0:f>
        <ns0:v>0</ns0:v>
      </ns0:c>
      <ns0:c r="AU51" s="121" t="n">
        <ns0:f>SUMIFS('装量配置'!$M$6:$M$718,'装量配置'!$A$6:$A$718,A51)</ns0:f>
        <ns0:v>4</ns0:v>
      </ns0:c>
      <ns0:c r="AV51" s="121" t="n">
        <ns0:f>SUMIFS('装量配置'!$N$6:$N$718,'装量配置'!$A$6:$A$718,A51)</ns0:f>
        <ns0:v>0</ns0:v>
      </ns0:c>
      <ns0:c r="AW51" s="133" t="n">
        <ns0:v>0.18</ns0:v>
      </ns0:c>
      <ns0:c r="AX51" s="121" t="n">
        <ns0:v>5</ns0:v>
      </ns0:c>
      <ns0:c r="AY51" s="121" t="n">
        <ns0:f>IF(AX51=1,1,0)</ns0:f>
        <ns0:v>0</ns0:v>
      </ns0:c>
      <ns0:c r="AZ51" s="121" t="n">
        <ns0:f>SUMIFS('装量配置'!$E$6:$E$718,'装量配置'!$A$6:$A$718,A51,'装量配置'!$B$6:$B$718,"开局",'装量配置'!$D$6:$D$718,"&lt;&gt;普通盒",'装量配置'!$D$6:$D$718,"&lt;&gt;广告锁定周转盒")</ns0:f>
        <ns0:v>3</ns0:v>
      </ns0:c>
      <ns0:c r="BA51" s="150" t="n">
        <ns0:f>IF(COUNTIFS('装量配置'!$A$6:$A$718,A51,'装量配置'!$B$6:$B$718,"开局",'装量配置'!$D$6:$D$718,"数字盖盒",'装量配置'!$E$6:$E$718,"&gt;0")&gt;0,1,0)+IF(COUNTIFS('装量配置'!$A$6:$A$718,A51,'装量配置'!$B$6:$B$718,"开局",'装量配置'!$D$6:$D$718,"普通冰冻盒",'装量配置'!$E$6:$E$718,"&gt;0")&gt;0,1,0)+IF(COUNTIFS('装量配置'!$A$6:$A$718,A51,'装量配置'!$B$6:$B$718,"开局",'装量配置'!$D$6:$D$718,"单颗暂存盒",'装量配置'!$E$6:$E$718,"&gt;0")&gt;0,1,0)+IF(COUNTIFS('装量配置'!$A$6:$A$718,A51,'装量配置'!$B$6:$B$718,"开局",'装量配置'!$D$6:$D$718,"数字冰冻盒",'装量配置'!$E$6:$E$718,"&gt;0")&gt;0,1,0)+IF(COUNTIFS('装量配置'!$A$6:$A$718,A51,'装量配置'!$B$6:$B$718,"开局",'装量配置'!$D$6:$D$718,"固定颜色盒",'装量配置'!$E$6:$E$718,"&gt;0")&gt;0,1,0)+IF(COUNTIFS('装量配置'!$A$6:$A$718,A51,'装量配置'!$B$6:$B$718,"开局",'装量配置'!$D$6:$D$718,"单向收纳盒",'装量配置'!$E$6:$E$718,"&gt;0")&gt;0,1,0)+IF(COUNTIFS('装量配置'!$A$6:$A$718,A51,'装量配置'!$B$6:$B$718,"开局",'装量配置'!$D$6:$D$718,"底部置顶盒",'装量配置'!$E$6:$E$718,"&gt;0")&gt;0,1,0)+IF(COUNTIFS('装量配置'!$A$6:$A$718,A51,'装量配置'!$B$6:$B$718,"开局",'装量配置'!$D$6:$D$718,"炸弹盒",'装量配置'!$E$6:$E$718,"&gt;0")&gt;0,1,0)</ns0:f>
        <ns0:v>2</ns0:v>
      </ns0:c>
      <ns0:c r="BB51" s="150" t="n">
        <ns0:f>SUMIFS('装量配置'!$E$6:$E$718,'装量配置'!$A$6:$A$718,A51,'装量配置'!$B$6:$B$718,"开局",'装量配置'!$D$6:$D$718,"数字盖盒")+SUMIFS('装量配置'!$E$6:$E$718,'装量配置'!$A$6:$A$718,A51,'装量配置'!$B$6:$B$718,"开局",'装量配置'!$D$6:$D$718,"普通冰冻盒")+SUMIFS('装量配置'!$E$6:$E$718,'装量配置'!$A$6:$A$718,A51,'装量配置'!$B$6:$B$718,"开局",'装量配置'!$D$6:$D$718,"数字冰冻盒")</ns0:f>
        <ns0:v>2</ns0:v>
      </ns0:c>
      <ns0:c r="BC51" s="150" t="n">
        <ns0:f>SUMIFS('装量配置'!$R$6:$R$718,'装量配置'!$A$6:$A$718,A51,'装量配置'!$B$6:$B$718,"开局")</ns0:f>
        <ns0:v>0</ns0:v>
      </ns0:c>
      <ns0:c r="BD51" s="148" t="str">
        <ns0:v>交付解冻与分批补货</ns0:v>
      </ns0:c>
      <ns0:c r="BE51" s="150" t="n">
        <ns0:v>3</ns0:v>
      </ns0:c>
      <ns0:c r="BF51" s="148" t="str">
        <ns0:v>基线路线中段腾位 3 段；非所有路径</ns0:v>
      </ns0:c>
    </ns0:row>
    <ns0:row r="52" ht="33" customHeight="1">
      <ns0:c r="A52" s="112" t="n">
        <ns0:v>47</ns0:v>
      </ns0:c>
      <ns0:c r="B52" s="119" t="str">
        <ns0:v>固定口味与已学机制</ns0:v>
      </ns0:c>
      <ns0:c r="C52" s="127" t="str">
        <ns0:v>明牌暂存缓和</ns0:v>
      </ns0:c>
      <ns0:c r="D52" s="114" t="n">
        <ns0:v>4.7</ns0:v>
      </ns0:c>
      <ns0:c r="E52" s="124" t="str">
        <ns0:v>受限周转与归纳顺序</ns0:v>
      </ns0:c>
      <ns0:c r="F52" s="124" t="str">
        <ns0:v>机关与装量配合</ns0:v>
      </ns0:c>
      <ns0:c r="G52" s="112" t="str">
        <ns0:v>错落</ns0:v>
      </ns0:c>
      <ns0:c r="H52" s="112" t="n">
        <ns0:v>8</ns0:v>
      </ns0:c>
      <ns0:c r="I52" s="112" t="n">
        <ns0:f>SUMIFS('装量配置'!$E$6:$E$718,'装量配置'!$A$6:$A$718,A52,'装量配置'!$B$6:$B$718,"开局",'装量配置'!$F$6:$F$718,4,'装量配置'!$G$6:$G$718,"&gt;0")</ns0:f>
        <ns0:v>16</ns0:v>
      </ns0:c>
      <ns0:c r="J52" s="112" t="n">
        <ns0:f>SUMIFS('装量配置'!$E$6:$E$718,'装量配置'!$A$6:$A$718,A52,'装量配置'!$B$6:$B$718,"备货")</ns0:f>
        <ns0:v>0</ns0:v>
      </ns0:c>
      <ns0:c r="K52" s="112" t="n">
        <ns0:v>15</ns0:v>
      </ns0:c>
      <ns0:c r="L52" s="112" t="n">
        <ns0:f>SUMIFS('装量配置'!$E$6:$E$718,'装量配置'!$A$6:$A$718,A52,'装量配置'!$B$6:$B$718,"开局",'装量配置'!$F$6:$F$718,4,'装量配置'!$G$6:$G$718,0,'装量配置'!$D$6:$D$718,"&lt;&gt;广告锁定周转盒")</ns0:f>
        <ns0:v>1</ns0:v>
      </ns0:c>
      <ns0:c r="M52" s="112" t="n">
        <ns0:f>SUMIFS('装量配置'!$E$6:$E$718,'装量配置'!$A$6:$A$718,A52,'装量配置'!$B$6:$B$718,"开局",'装量配置'!$F$6:$F$718,1)</ns0:f>
        <ns0:v>1</ns0:v>
      </ns0:c>
      <ns0:c r="N52" s="112" t="n">
        <ns0:f>SUMIFS('装量配置'!$E$6:$E$718,'装量配置'!$A$6:$A$718,A52,'装量配置'!$B$6:$B$718,"开局",'装量配置'!$D$6:$D$718,"广告锁定周转盒")</ns0:f>
        <ns0:v>2</ns0:v>
      </ns0:c>
      <ns0:c r="O52" s="112" t="n">
        <ns0:f>SUMIFS('装量配置'!$E$6:$E$718,'装量配置'!$A$6:$A$718,A52,'装量配置'!$B$6:$B$718,"开局")</ns0:f>
        <ns0:v>20</ns0:v>
      </ns0:c>
      <ns0:c r="P52" s="112" t="n">
        <ns0:f>SUMIFS('装量配置'!$K$6:$K$718,'装量配置'!$A$6:$A$718,A52)</ns0:f>
        <ns0:v>5</ns0:v>
      </ns0:c>
      <ns0:c r="Q52" s="112" t="n">
        <ns0:v>4</ns0:v>
      </ns0:c>
      <ns0:c r="R52" s="113" t="n">
        <ns0:v>0</ns0:v>
      </ns0:c>
      <ns0:c r="S52" s="113" t="n">
        <ns0:v>0.12</ns0:v>
      </ns0:c>
      <ns0:c r="T52" s="112" t="n">
        <ns0:v>2</ns0:v>
      </ns0:c>
      <ns0:c r="U52" s="112" t="n">
        <ns0:v>0</ns0:v>
      </ns0:c>
      <ns0:c r="V52" s="124" t="str">
        <ns0:v>普通冰冻盒</ns0:v>
      </ns0:c>
      <ns0:c r="W52" s="124" t="str">
        <ns0:v>普通冰冻盒、单颗暂存盒</ns0:v>
      </ns0:c>
      <ns0:c r="X52" s="124" t="str">
        <ns0:v>普通冰冻盒 0×1；单颗暂存盒预装0颗</ns0:v>
      </ns0:c>
      <ns0:c r="Y52" s="112" t="n">
        <ns0:f>SUMIFS('装量配置'!$I$6:$I$718,'装量配置'!$A$6:$A$718,A52)</ns0:f>
        <ns0:v>60</ns0:v>
      </ns0:c>
      <ns0:c r="Z52" s="112" t="str">
        <ns0:f>IF(AND(O52&lt;=25,N52=2,Y52=K52*4,H52&lt;=K52,P52+AT52&gt;=4,COUNTIFS('装量配置'!$A$6:$A$718,A52,'装量配置'!$O$6:$O$718,"需调整")=0),"装量通过；待逐味","需调整")</ns0:f>
        <ns0:v>装量通过；待逐味</ns0:v>
      </ns0:c>
      <ns0:c r="AA52" s="107" t="str">
        <ns0:v>已找到无辅助可行解 49 次；非最短</ns0:v>
      </ns0:c>
      <ns0:c r="AB52" s="107"/>
      <ns0:c r="AC52" s="107"/>
      <ns0:c r="AD52" s="113"/>
      <ns0:c r="AE52" s="114" t="n">
        <ns0:v>6</ns0:v>
      </ns0:c>
      <ns0:c r="AF52" s="109"/>
      <ns0:c r="AG52" s="109"/>
      <ns0:c r="AH52" s="110"/>
      <ns0:c r="AI52" s="131" t="str">
        <ns0:v>固定层序已制作；验收见实施记录</ns0:v>
      </ns0:c>
      <ns0:c r="AJ52" s="124" t="str">
        <ns0:v>已确认41–50关方案；目标难度4.7，待真人试玩校准；普通盒装量4/3/2/1/0：12/2/1/0/1</ns0:v>
      </ns0:c>
      <ns0:c r="AK52" s="124" t="str">
        <ns0:v>按实际盒数连续居中分排，上下可见留白对称</ns0:v>
      </ns0:c>
      <ns0:c r="AL52" s="112" t="n">
        <ns0:v>1</ns0:v>
      </ns0:c>
      <ns0:c r="AM52" s="113"/>
      <ns0:c r="AN52" s="112"/>
      <ns0:c r="AO52" s="113"/>
      <ns0:c r="AP52" s="124" t="str">
        <ns0:v>四条件可行路线已制作；见回放记录</ns0:v>
      </ns0:c>
      <ns0:c r="AQ52" s="107"/>
      <ns0:c r="AR52" s="120" t="n">
        <ns0:f>SUMIFS('装量配置'!$I$6:$I$718,'装量配置'!$A$6:$A$718,A52,'装量配置'!$B$6:$B$718,"开局")</ns0:f>
        <ns0:v>60</ns0:v>
      </ns0:c>
      <ns0:c r="AS52" s="132" t="n">
        <ns0:f>SUMIFS('装量配置'!$I$6:$I$718,'装量配置'!$A$6:$A$718,A52,'装量配置'!$B$6:$B$718,"开局",'装量配置'!$D$6:$D$718,"普通盒",'装量配置'!$G$6:$G$718,"&gt;0")/(4*SUMIFS('装量配置'!$E$6:$E$718,'装量配置'!$A$6:$A$718,A52,'装量配置'!$B$6:$B$718,"开局",'装量配置'!$D$6:$D$718,"普通盒",'装量配置'!$G$6:$G$718,"&gt;0"))</ns0:f>
        <ns0:v>0.9333333333333333</ns0:v>
      </ns0:c>
      <ns0:c r="AT52" s="120" t="n">
        <ns0:f>SUMIFS('装量配置'!$L$6:$L$718,'装量配置'!$A$6:$A$718,A52)</ns0:f>
        <ns0:v>4</ns0:v>
      </ns0:c>
      <ns0:c r="AU52" s="120" t="n">
        <ns0:f>SUMIFS('装量配置'!$M$6:$M$718,'装量配置'!$A$6:$A$718,A52)</ns0:f>
        <ns0:v>0</ns0:v>
      </ns0:c>
      <ns0:c r="AV52" s="120" t="n">
        <ns0:f>SUMIFS('装量配置'!$N$6:$N$718,'装量配置'!$A$6:$A$718,A52)</ns0:f>
        <ns0:v>0</ns0:v>
      </ns0:c>
      <ns0:c r="AW52" s="132" t="n">
        <ns0:v>0.18</ns0:v>
      </ns0:c>
      <ns0:c r="AX52" s="120" t="n">
        <ns0:v>4</ns0:v>
      </ns0:c>
      <ns0:c r="AY52" s="120" t="n">
        <ns0:f>IF(AX52=1,1,0)</ns0:f>
        <ns0:v>0</ns0:v>
      </ns0:c>
      <ns0:c r="AZ52" s="120" t="n">
        <ns0:f>SUMIFS('装量配置'!$E$6:$E$718,'装量配置'!$A$6:$A$718,A52,'装量配置'!$B$6:$B$718,"开局",'装量配置'!$D$6:$D$718,"&lt;&gt;普通盒",'装量配置'!$D$6:$D$718,"&lt;&gt;广告锁定周转盒")</ns0:f>
        <ns0:v>2</ns0:v>
      </ns0:c>
      <ns0:c r="BA52" s="149" t="n">
        <ns0:f>IF(COUNTIFS('装量配置'!$A$6:$A$718,A52,'装量配置'!$B$6:$B$718,"开局",'装量配置'!$D$6:$D$718,"数字盖盒",'装量配置'!$E$6:$E$718,"&gt;0")&gt;0,1,0)+IF(COUNTIFS('装量配置'!$A$6:$A$718,A52,'装量配置'!$B$6:$B$718,"开局",'装量配置'!$D$6:$D$718,"普通冰冻盒",'装量配置'!$E$6:$E$718,"&gt;0")&gt;0,1,0)+IF(COUNTIFS('装量配置'!$A$6:$A$718,A52,'装量配置'!$B$6:$B$718,"开局",'装量配置'!$D$6:$D$718,"单颗暂存盒",'装量配置'!$E$6:$E$718,"&gt;0")&gt;0,1,0)+IF(COUNTIFS('装量配置'!$A$6:$A$718,A52,'装量配置'!$B$6:$B$718,"开局",'装量配置'!$D$6:$D$718,"数字冰冻盒",'装量配置'!$E$6:$E$718,"&gt;0")&gt;0,1,0)+IF(COUNTIFS('装量配置'!$A$6:$A$718,A52,'装量配置'!$B$6:$B$718,"开局",'装量配置'!$D$6:$D$718,"固定颜色盒",'装量配置'!$E$6:$E$718,"&gt;0")&gt;0,1,0)+IF(COUNTIFS('装量配置'!$A$6:$A$718,A52,'装量配置'!$B$6:$B$718,"开局",'装量配置'!$D$6:$D$718,"单向收纳盒",'装量配置'!$E$6:$E$718,"&gt;0")&gt;0,1,0)+IF(COUNTIFS('装量配置'!$A$6:$A$718,A52,'装量配置'!$B$6:$B$718,"开局",'装量配置'!$D$6:$D$718,"底部置顶盒",'装量配置'!$E$6:$E$718,"&gt;0")&gt;0,1,0)+IF(COUNTIFS('装量配置'!$A$6:$A$718,A52,'装量配置'!$B$6:$B$718,"开局",'装量配置'!$D$6:$D$718,"炸弹盒",'装量配置'!$E$6:$E$718,"&gt;0")&gt;0,1,0)</ns0:f>
        <ns0:v>2</ns0:v>
      </ns0:c>
      <ns0:c r="BB52" s="149" t="n">
        <ns0:f>SUMIFS('装量配置'!$E$6:$E$718,'装量配置'!$A$6:$A$718,A52,'装量配置'!$B$6:$B$718,"开局",'装量配置'!$D$6:$D$718,"数字盖盒")+SUMIFS('装量配置'!$E$6:$E$718,'装量配置'!$A$6:$A$718,A52,'装量配置'!$B$6:$B$718,"开局",'装量配置'!$D$6:$D$718,"普通冰冻盒")+SUMIFS('装量配置'!$E$6:$E$718,'装量配置'!$A$6:$A$718,A52,'装量配置'!$B$6:$B$718,"开局",'装量配置'!$D$6:$D$718,"数字冰冻盒")</ns0:f>
        <ns0:v>1</ns0:v>
      </ns0:c>
      <ns0:c r="BC52" s="149" t="n">
        <ns0:f>SUMIFS('装量配置'!$R$6:$R$718,'装量配置'!$A$6:$A$718,A52,'装量配置'!$B$6:$B$718,"开局")</ns0:f>
        <ns0:v>0</ns0:v>
      </ns0:c>
      <ns0:c r="BD52" s="146" t="str">
        <ns0:v>明牌暂存缓和</ns0:v>
      </ns0:c>
      <ns0:c r="BE52" s="149" t="n">
        <ns0:v>2</ns0:v>
      </ns0:c>
      <ns0:c r="BF52" s="146" t="str">
        <ns0:v>基线路线中段腾位 2 段；非所有路径</ns0:v>
      </ns0:c>
    </ns0:row>
    <ns0:row r="53" ht="33" customHeight="1">
      <ns0:c r="A53" s="105" t="n">
        <ns0:v>48</ns0:v>
      </ns0:c>
      <ns0:c r="B53" s="117" t="str">
        <ns0:v>固定口味与已学机制</ns0:v>
      </ns0:c>
      <ns0:c r="C53" s="126" t="str">
        <ns0:v>三类空间配合</ns0:v>
      </ns0:c>
      <ns0:c r="D53" s="108" t="n">
        <ns0:v>4.9</ns0:v>
      </ns0:c>
      <ns0:c r="E53" s="123" t="str">
        <ns0:v>受限周转与归纳顺序</ns0:v>
      </ns0:c>
      <ns0:c r="F53" s="123" t="str">
        <ns0:v>机关与装量配合</ns0:v>
      </ns0:c>
      <ns0:c r="G53" s="105" t="str">
        <ns0:v>整齐</ns0:v>
      </ns0:c>
      <ns0:c r="H53" s="105" t="n">
        <ns0:v>8</ns0:v>
      </ns0:c>
      <ns0:c r="I53" s="105" t="n">
        <ns0:f>SUMIFS('装量配置'!$E$6:$E$718,'装量配置'!$A$6:$A$718,A53,'装量配置'!$B$6:$B$718,"开局",'装量配置'!$F$6:$F$718,4,'装量配置'!$G$6:$G$718,"&gt;0")</ns0:f>
        <ns0:v>18</ns0:v>
      </ns0:c>
      <ns0:c r="J53" s="105" t="n">
        <ns0:f>SUMIFS('装量配置'!$E$6:$E$718,'装量配置'!$A$6:$A$718,A53,'装量配置'!$B$6:$B$718,"备货")</ns0:f>
        <ns0:v>1</ns0:v>
      </ns0:c>
      <ns0:c r="K53" s="105" t="n">
        <ns0:v>18</ns0:v>
      </ns0:c>
      <ns0:c r="L53" s="105" t="n">
        <ns0:f>SUMIFS('装量配置'!$E$6:$E$718,'装量配置'!$A$6:$A$718,A53,'装量配置'!$B$6:$B$718,"开局",'装量配置'!$F$6:$F$718,4,'装量配置'!$G$6:$G$718,0,'装量配置'!$D$6:$D$718,"&lt;&gt;广告锁定周转盒")</ns0:f>
        <ns0:v>1</ns0:v>
      </ns0:c>
      <ns0:c r="M53" s="105" t="n">
        <ns0:f>SUMIFS('装量配置'!$E$6:$E$718,'装量配置'!$A$6:$A$718,A53,'装量配置'!$B$6:$B$718,"开局",'装量配置'!$F$6:$F$718,1)</ns0:f>
        <ns0:v>1</ns0:v>
      </ns0:c>
      <ns0:c r="N53" s="105" t="n">
        <ns0:f>SUMIFS('装量配置'!$E$6:$E$718,'装量配置'!$A$6:$A$718,A53,'装量配置'!$B$6:$B$718,"开局",'装量配置'!$D$6:$D$718,"广告锁定周转盒")</ns0:f>
        <ns0:v>2</ns0:v>
      </ns0:c>
      <ns0:c r="O53" s="105" t="n">
        <ns0:f>SUMIFS('装量配置'!$E$6:$E$718,'装量配置'!$A$6:$A$718,A53,'装量配置'!$B$6:$B$718,"开局")</ns0:f>
        <ns0:v>22</ns0:v>
      </ns0:c>
      <ns0:c r="P53" s="105" t="n">
        <ns0:f>SUMIFS('装量配置'!$K$6:$K$718,'装量配置'!$A$6:$A$718,A53)</ns0:f>
        <ns0:v>1</ns0:v>
      </ns0:c>
      <ns0:c r="Q53" s="105" t="n">
        <ns0:v>4</ns0:v>
      </ns0:c>
      <ns0:c r="R53" s="106" t="n">
        <ns0:v>0</ns0:v>
      </ns0:c>
      <ns0:c r="S53" s="106" t="n">
        <ns0:v>0.12</ns0:v>
      </ns0:c>
      <ns0:c r="T53" s="105" t="n">
        <ns0:v>3</ns0:v>
      </ns0:c>
      <ns0:c r="U53" s="105" t="n">
        <ns0:v>1</ns0:v>
      </ns0:c>
      <ns0:c r="V53" s="123" t="str">
        <ns0:v>固定颜色盒</ns0:v>
      </ns0:c>
      <ns0:c r="W53" s="123" t="str">
        <ns0:v>数字盖盒、单颗暂存盒</ns0:v>
      </ns0:c>
      <ns0:c r="X53" s="123" t="str">
        <ns0:v>数字盖盒 1×1；固定颜色盒×1；单颗暂存盒预装0颗</ns0:v>
      </ns0:c>
      <ns0:c r="Y53" s="105" t="n">
        <ns0:f>SUMIFS('装量配置'!$I$6:$I$718,'装量配置'!$A$6:$A$718,A53)</ns0:f>
        <ns0:v>72</ns0:v>
      </ns0:c>
      <ns0:c r="Z53" s="105" t="str">
        <ns0:f>IF(AND(O53&lt;=25,N53=2,Y53=K53*4,H53&lt;=K53,P53+AT53&gt;=4,COUNTIFS('装量配置'!$A$6:$A$718,A53,'装量配置'!$O$6:$O$718,"需调整")=0),"装量通过；待逐味","需调整")</ns0:f>
        <ns0:v>装量通过；待逐味</ns0:v>
      </ns0:c>
      <ns0:c r="AA53" s="107" t="str">
        <ns0:v>已找到无辅助可行解 55 次；非最短</ns0:v>
      </ns0:c>
      <ns0:c r="AB53" s="107"/>
      <ns0:c r="AC53" s="107"/>
      <ns0:c r="AD53" s="106"/>
      <ns0:c r="AE53" s="108" t="n">
        <ns0:v>6</ns0:v>
      </ns0:c>
      <ns0:c r="AF53" s="109"/>
      <ns0:c r="AG53" s="109"/>
      <ns0:c r="AH53" s="110"/>
      <ns0:c r="AI53" s="131" t="str">
        <ns0:v>固定层序已制作；验收见实施记录</ns0:v>
      </ns0:c>
      <ns0:c r="AJ53" s="123" t="str">
        <ns0:v>已确认41–50关方案；目标难度4.9，待真人试玩校准；普通盒装量4/3/2/1/0：15/0/2/0/0</ns0:v>
      </ns0:c>
      <ns0:c r="AK53" s="123" t="str">
        <ns0:v>按实际盒数连续居中分排，上下可见留白对称</ns0:v>
      </ns0:c>
      <ns0:c r="AL53" s="105" t="n">
        <ns0:v>1</ns0:v>
      </ns0:c>
      <ns0:c r="AM53" s="106"/>
      <ns0:c r="AN53" s="107"/>
      <ns0:c r="AO53" s="110"/>
      <ns0:c r="AP53" s="123" t="str">
        <ns0:v>四条件可行路线已制作；见回放记录</ns0:v>
      </ns0:c>
      <ns0:c r="AQ53" s="107"/>
      <ns0:c r="AR53" s="121" t="n">
        <ns0:f>SUMIFS('装量配置'!$I$6:$I$718,'装量配置'!$A$6:$A$718,A53,'装量配置'!$B$6:$B$718,"开局")</ns0:f>
        <ns0:v>68</ns0:v>
      </ns0:c>
      <ns0:c r="AS53" s="133" t="n">
        <ns0:f>SUMIFS('装量配置'!$I$6:$I$718,'装量配置'!$A$6:$A$718,A53,'装量配置'!$B$6:$B$718,"开局",'装量配置'!$D$6:$D$718,"普通盒",'装量配置'!$G$6:$G$718,"&gt;0")/(4*SUMIFS('装量配置'!$E$6:$E$718,'装量配置'!$A$6:$A$718,A53,'装量配置'!$B$6:$B$718,"开局",'装量配置'!$D$6:$D$718,"普通盒",'装量配置'!$G$6:$G$718,"&gt;0"))</ns0:f>
        <ns0:v>0.9411764705882353</ns0:v>
      </ns0:c>
      <ns0:c r="AT53" s="121" t="n">
        <ns0:f>SUMIFS('装量配置'!$L$6:$L$718,'装量配置'!$A$6:$A$718,A53)</ns0:f>
        <ns0:v>4</ns0:v>
      </ns0:c>
      <ns0:c r="AU53" s="121" t="n">
        <ns0:f>SUMIFS('装量配置'!$M$6:$M$718,'装量配置'!$A$6:$A$718,A53)</ns0:f>
        <ns0:v>4</ns0:v>
      </ns0:c>
      <ns0:c r="AV53" s="121" t="n">
        <ns0:f>SUMIFS('装量配置'!$N$6:$N$718,'装量配置'!$A$6:$A$718,A53)</ns0:f>
        <ns0:v>0</ns0:v>
      </ns0:c>
      <ns0:c r="AW53" s="133" t="n">
        <ns0:v>0.18</ns0:v>
      </ns0:c>
      <ns0:c r="AX53" s="121" t="n">
        <ns0:v>5</ns0:v>
      </ns0:c>
      <ns0:c r="AY53" s="121" t="n">
        <ns0:f>IF(AX53=1,1,0)</ns0:f>
        <ns0:v>0</ns0:v>
      </ns0:c>
      <ns0:c r="AZ53" s="121" t="n">
        <ns0:f>SUMIFS('装量配置'!$E$6:$E$718,'装量配置'!$A$6:$A$718,A53,'装量配置'!$B$6:$B$718,"开局",'装量配置'!$D$6:$D$718,"&lt;&gt;普通盒",'装量配置'!$D$6:$D$718,"&lt;&gt;广告锁定周转盒")</ns0:f>
        <ns0:v>3</ns0:v>
      </ns0:c>
      <ns0:c r="BA53" s="150" t="n">
        <ns0:f>IF(COUNTIFS('装量配置'!$A$6:$A$718,A53,'装量配置'!$B$6:$B$718,"开局",'装量配置'!$D$6:$D$718,"数字盖盒",'装量配置'!$E$6:$E$718,"&gt;0")&gt;0,1,0)+IF(COUNTIFS('装量配置'!$A$6:$A$718,A53,'装量配置'!$B$6:$B$718,"开局",'装量配置'!$D$6:$D$718,"普通冰冻盒",'装量配置'!$E$6:$E$718,"&gt;0")&gt;0,1,0)+IF(COUNTIFS('装量配置'!$A$6:$A$718,A53,'装量配置'!$B$6:$B$718,"开局",'装量配置'!$D$6:$D$718,"单颗暂存盒",'装量配置'!$E$6:$E$718,"&gt;0")&gt;0,1,0)+IF(COUNTIFS('装量配置'!$A$6:$A$718,A53,'装量配置'!$B$6:$B$718,"开局",'装量配置'!$D$6:$D$718,"数字冰冻盒",'装量配置'!$E$6:$E$718,"&gt;0")&gt;0,1,0)+IF(COUNTIFS('装量配置'!$A$6:$A$718,A53,'装量配置'!$B$6:$B$718,"开局",'装量配置'!$D$6:$D$718,"固定颜色盒",'装量配置'!$E$6:$E$718,"&gt;0")&gt;0,1,0)+IF(COUNTIFS('装量配置'!$A$6:$A$718,A53,'装量配置'!$B$6:$B$718,"开局",'装量配置'!$D$6:$D$718,"单向收纳盒",'装量配置'!$E$6:$E$718,"&gt;0")&gt;0,1,0)+IF(COUNTIFS('装量配置'!$A$6:$A$718,A53,'装量配置'!$B$6:$B$718,"开局",'装量配置'!$D$6:$D$718,"底部置顶盒",'装量配置'!$E$6:$E$718,"&gt;0")&gt;0,1,0)+IF(COUNTIFS('装量配置'!$A$6:$A$718,A53,'装量配置'!$B$6:$B$718,"开局",'装量配置'!$D$6:$D$718,"炸弹盒",'装量配置'!$E$6:$E$718,"&gt;0")&gt;0,1,0)</ns0:f>
        <ns0:v>3</ns0:v>
      </ns0:c>
      <ns0:c r="BB53" s="150" t="n">
        <ns0:f>SUMIFS('装量配置'!$E$6:$E$718,'装量配置'!$A$6:$A$718,A53,'装量配置'!$B$6:$B$718,"开局",'装量配置'!$D$6:$D$718,"数字盖盒")+SUMIFS('装量配置'!$E$6:$E$718,'装量配置'!$A$6:$A$718,A53,'装量配置'!$B$6:$B$718,"开局",'装量配置'!$D$6:$D$718,"普通冰冻盒")+SUMIFS('装量配置'!$E$6:$E$718,'装量配置'!$A$6:$A$718,A53,'装量配置'!$B$6:$B$718,"开局",'装量配置'!$D$6:$D$718,"数字冰冻盒")</ns0:f>
        <ns0:v>1</ns0:v>
      </ns0:c>
      <ns0:c r="BC53" s="150" t="n">
        <ns0:f>SUMIFS('装量配置'!$R$6:$R$718,'装量配置'!$A$6:$A$718,A53,'装量配置'!$B$6:$B$718,"开局")</ns0:f>
        <ns0:v>1</ns0:v>
      </ns0:c>
      <ns0:c r="BD53" s="148" t="str">
        <ns0:v>三类空间配合</ns0:v>
      </ns0:c>
      <ns0:c r="BE53" s="150" t="n">
        <ns0:v>3</ns0:v>
      </ns0:c>
      <ns0:c r="BF53" s="148" t="str">
        <ns0:v>基线路线中段腾位 5 段；非所有路径</ns0:v>
      </ns0:c>
    </ns0:row>
    <ns0:row r="54" ht="33" customHeight="1">
      <ns0:c r="A54" s="112" t="n">
        <ns0:v>49</ns0:v>
      </ns0:c>
      <ns0:c r="B54" s="119" t="str">
        <ns0:v>固定口味与已学机制</ns0:v>
      </ns0:c>
      <ns0:c r="C54" s="127" t="str">
        <ns0:v>指定口味综合高点</ns0:v>
      </ns0:c>
      <ns0:c r="D54" s="114" t="n">
        <ns0:v>5</ns0:v>
      </ns0:c>
      <ns0:c r="E54" s="124" t="str">
        <ns0:v>受限周转与归纳顺序</ns0:v>
      </ns0:c>
      <ns0:c r="F54" s="124" t="str">
        <ns0:v>机关与装量配合</ns0:v>
      </ns0:c>
      <ns0:c r="G54" s="112" t="str">
        <ns0:v>错落</ns0:v>
      </ns0:c>
      <ns0:c r="H54" s="112" t="n">
        <ns0:v>8</ns0:v>
      </ns0:c>
      <ns0:c r="I54" s="112" t="n">
        <ns0:f>SUMIFS('装量配置'!$E$6:$E$718,'装量配置'!$A$6:$A$718,A54,'装量配置'!$B$6:$B$718,"开局",'装量配置'!$F$6:$F$718,4,'装量配置'!$G$6:$G$718,"&gt;0")</ns0:f>
        <ns0:v>19</ns0:v>
      </ns0:c>
      <ns0:c r="J54" s="112" t="n">
        <ns0:f>SUMIFS('装量配置'!$E$6:$E$718,'装量配置'!$A$6:$A$718,A54,'装量配置'!$B$6:$B$718,"备货")</ns0:f>
        <ns0:v>0</ns0:v>
      </ns0:c>
      <ns0:c r="K54" s="112" t="n">
        <ns0:v>17</ns0:v>
      </ns0:c>
      <ns0:c r="L54" s="112" t="n">
        <ns0:f>SUMIFS('装量配置'!$E$6:$E$718,'装量配置'!$A$6:$A$718,A54,'装量配置'!$B$6:$B$718,"开局",'装量配置'!$F$6:$F$718,4,'装量配置'!$G$6:$G$718,0,'装量配置'!$D$6:$D$718,"&lt;&gt;广告锁定周转盒")</ns0:f>
        <ns0:v>1</ns0:v>
      </ns0:c>
      <ns0:c r="M54" s="112" t="n">
        <ns0:f>SUMIFS('装量配置'!$E$6:$E$718,'装量配置'!$A$6:$A$718,A54,'装量配置'!$B$6:$B$718,"开局",'装量配置'!$F$6:$F$718,1)</ns0:f>
        <ns0:v>0</ns0:v>
      </ns0:c>
      <ns0:c r="N54" s="112" t="n">
        <ns0:f>SUMIFS('装量配置'!$E$6:$E$718,'装量配置'!$A$6:$A$718,A54,'装量配置'!$B$6:$B$718,"开局",'装量配置'!$D$6:$D$718,"广告锁定周转盒")</ns0:f>
        <ns0:v>2</ns0:v>
      </ns0:c>
      <ns0:c r="O54" s="112" t="n">
        <ns0:f>SUMIFS('装量配置'!$E$6:$E$718,'装量配置'!$A$6:$A$718,A54,'装量配置'!$B$6:$B$718,"开局")</ns0:f>
        <ns0:v>22</ns0:v>
      </ns0:c>
      <ns0:c r="P54" s="112" t="n">
        <ns0:f>SUMIFS('装量配置'!$K$6:$K$718,'装量配置'!$A$6:$A$718,A54)</ns0:f>
        <ns0:v>0</ns0:v>
      </ns0:c>
      <ns0:c r="Q54" s="112" t="n">
        <ns0:v>4</ns0:v>
      </ns0:c>
      <ns0:c r="R54" s="113" t="n">
        <ns0:v>0.08823529411764706</ns0:v>
      </ns0:c>
      <ns0:c r="S54" s="113" t="n">
        <ns0:v>0.12</ns0:v>
      </ns0:c>
      <ns0:c r="T54" s="112" t="n">
        <ns0:v>3</ns0:v>
      </ns0:c>
      <ns0:c r="U54" s="112" t="n">
        <ns0:v>0</ns0:v>
      </ns0:c>
      <ns0:c r="V54" s="124" t="str">
        <ns0:v>固定颜色盒</ns0:v>
      </ns0:c>
      <ns0:c r="W54" s="124" t="str">
        <ns0:v>数字冰冻盒、普通冰冻盒</ns0:v>
      </ns0:c>
      <ns0:c r="X54" s="124" t="str">
        <ns0:v>数字冰冻盒 2×1；普通冰冻盒 0×1；固定颜色盒×1</ns0:v>
      </ns0:c>
      <ns0:c r="Y54" s="112" t="n">
        <ns0:f>SUMIFS('装量配置'!$I$6:$I$718,'装量配置'!$A$6:$A$718,A54)</ns0:f>
        <ns0:v>68</ns0:v>
      </ns0:c>
      <ns0:c r="Z54" s="112" t="str">
        <ns0:f>IF(AND(O54&lt;=25,N54=2,Y54=K54*4,H54&lt;=K54,P54+AT54&gt;=4,COUNTIFS('装量配置'!$A$6:$A$718,A54,'装量配置'!$O$6:$O$718,"需调整")=0),"装量通过；待逐味","需调整")</ns0:f>
        <ns0:v>装量通过；待逐味</ns0:v>
      </ns0:c>
      <ns0:c r="AA54" s="107" t="str">
        <ns0:v>已找到无辅助可行解 56 次；非最短</ns0:v>
      </ns0:c>
      <ns0:c r="AB54" s="107"/>
      <ns0:c r="AC54" s="107"/>
      <ns0:c r="AD54" s="113"/>
      <ns0:c r="AE54" s="114" t="n">
        <ns0:v>8</ns0:v>
      </ns0:c>
      <ns0:c r="AF54" s="109"/>
      <ns0:c r="AG54" s="109"/>
      <ns0:c r="AH54" s="110"/>
      <ns0:c r="AI54" s="131" t="str">
        <ns0:v>固定层序已制作；验收见实施记录</ns0:v>
      </ns0:c>
      <ns0:c r="AJ54" s="124" t="str">
        <ns0:v>已确认41–50关方案；目标难度5.0，待真人试玩校准；普通盒装量4/3/2/1/0：12/2/3/0/0</ns0:v>
      </ns0:c>
      <ns0:c r="AK54" s="124" t="str">
        <ns0:v>按实际盒数连续居中分排，上下可见留白对称</ns0:v>
      </ns0:c>
      <ns0:c r="AL54" s="112" t="n">
        <ns0:v>2</ns0:v>
      </ns0:c>
      <ns0:c r="AM54" s="113"/>
      <ns0:c r="AN54" s="112"/>
      <ns0:c r="AO54" s="113"/>
      <ns0:c r="AP54" s="124" t="str">
        <ns0:v>四条件可行路线已制作；见回放记录</ns0:v>
      </ns0:c>
      <ns0:c r="AQ54" s="107"/>
      <ns0:c r="AR54" s="120" t="n">
        <ns0:f>SUMIFS('装量配置'!$I$6:$I$718,'装量配置'!$A$6:$A$718,A54,'装量配置'!$B$6:$B$718,"开局")</ns0:f>
        <ns0:v>68</ns0:v>
      </ns0:c>
      <ns0:c r="AS54" s="132" t="n">
        <ns0:f>SUMIFS('装量配置'!$I$6:$I$718,'装量配置'!$A$6:$A$718,A54,'装量配置'!$B$6:$B$718,"开局",'装量配置'!$D$6:$D$718,"普通盒",'装量配置'!$G$6:$G$718,"&gt;0")/(4*SUMIFS('装量配置'!$E$6:$E$718,'装量配置'!$A$6:$A$718,A54,'装量配置'!$B$6:$B$718,"开局",'装量配置'!$D$6:$D$718,"普通盒",'装量配置'!$G$6:$G$718,"&gt;0"))</ns0:f>
        <ns0:v>0.8823529411764706</ns0:v>
      </ns0:c>
      <ns0:c r="AT54" s="120" t="n">
        <ns0:f>SUMIFS('装量配置'!$L$6:$L$718,'装量配置'!$A$6:$A$718,A54)</ns0:f>
        <ns0:v>8</ns0:v>
      </ns0:c>
      <ns0:c r="AU54" s="120" t="n">
        <ns0:f>SUMIFS('装量配置'!$M$6:$M$718,'装量配置'!$A$6:$A$718,A54)</ns0:f>
        <ns0:v>4</ns0:v>
      </ns0:c>
      <ns0:c r="AV54" s="120" t="n">
        <ns0:f>SUMIFS('装量配置'!$N$6:$N$718,'装量配置'!$A$6:$A$718,A54)</ns0:f>
        <ns0:v>0</ns0:v>
      </ns0:c>
      <ns0:c r="AW54" s="132" t="n">
        <ns0:v>0.18</ns0:v>
      </ns0:c>
      <ns0:c r="AX54" s="120" t="n">
        <ns0:v>5</ns0:v>
      </ns0:c>
      <ns0:c r="AY54" s="120" t="n">
        <ns0:f>IF(AX54=1,1,0)</ns0:f>
        <ns0:v>0</ns0:v>
      </ns0:c>
      <ns0:c r="AZ54" s="120" t="n">
        <ns0:f>SUMIFS('装量配置'!$E$6:$E$718,'装量配置'!$A$6:$A$718,A54,'装量配置'!$B$6:$B$718,"开局",'装量配置'!$D$6:$D$718,"&lt;&gt;普通盒",'装量配置'!$D$6:$D$718,"&lt;&gt;广告锁定周转盒")</ns0:f>
        <ns0:v>3</ns0:v>
      </ns0:c>
      <ns0:c r="BA54" s="149" t="n">
        <ns0:f>IF(COUNTIFS('装量配置'!$A$6:$A$718,A54,'装量配置'!$B$6:$B$718,"开局",'装量配置'!$D$6:$D$718,"数字盖盒",'装量配置'!$E$6:$E$718,"&gt;0")&gt;0,1,0)+IF(COUNTIFS('装量配置'!$A$6:$A$718,A54,'装量配置'!$B$6:$B$718,"开局",'装量配置'!$D$6:$D$718,"普通冰冻盒",'装量配置'!$E$6:$E$718,"&gt;0")&gt;0,1,0)+IF(COUNTIFS('装量配置'!$A$6:$A$718,A54,'装量配置'!$B$6:$B$718,"开局",'装量配置'!$D$6:$D$718,"单颗暂存盒",'装量配置'!$E$6:$E$718,"&gt;0")&gt;0,1,0)+IF(COUNTIFS('装量配置'!$A$6:$A$718,A54,'装量配置'!$B$6:$B$718,"开局",'装量配置'!$D$6:$D$718,"数字冰冻盒",'装量配置'!$E$6:$E$718,"&gt;0")&gt;0,1,0)+IF(COUNTIFS('装量配置'!$A$6:$A$718,A54,'装量配置'!$B$6:$B$718,"开局",'装量配置'!$D$6:$D$718,"固定颜色盒",'装量配置'!$E$6:$E$718,"&gt;0")&gt;0,1,0)+IF(COUNTIFS('装量配置'!$A$6:$A$718,A54,'装量配置'!$B$6:$B$718,"开局",'装量配置'!$D$6:$D$718,"单向收纳盒",'装量配置'!$E$6:$E$718,"&gt;0")&gt;0,1,0)+IF(COUNTIFS('装量配置'!$A$6:$A$718,A54,'装量配置'!$B$6:$B$718,"开局",'装量配置'!$D$6:$D$718,"底部置顶盒",'装量配置'!$E$6:$E$718,"&gt;0")&gt;0,1,0)+IF(COUNTIFS('装量配置'!$A$6:$A$718,A54,'装量配置'!$B$6:$B$718,"开局",'装量配置'!$D$6:$D$718,"炸弹盒",'装量配置'!$E$6:$E$718,"&gt;0")&gt;0,1,0)</ns0:f>
        <ns0:v>3</ns0:v>
      </ns0:c>
      <ns0:c r="BB54" s="149" t="n">
        <ns0:f>SUMIFS('装量配置'!$E$6:$E$718,'装量配置'!$A$6:$A$718,A54,'装量配置'!$B$6:$B$718,"开局",'装量配置'!$D$6:$D$718,"数字盖盒")+SUMIFS('装量配置'!$E$6:$E$718,'装量配置'!$A$6:$A$718,A54,'装量配置'!$B$6:$B$718,"开局",'装量配置'!$D$6:$D$718,"普通冰冻盒")+SUMIFS('装量配置'!$E$6:$E$718,'装量配置'!$A$6:$A$718,A54,'装量配置'!$B$6:$B$718,"开局",'装量配置'!$D$6:$D$718,"数字冰冻盒")</ns0:f>
        <ns0:v>2</ns0:v>
      </ns0:c>
      <ns0:c r="BC54" s="149" t="n">
        <ns0:f>SUMIFS('装量配置'!$R$6:$R$718,'装量配置'!$A$6:$A$718,A54,'装量配置'!$B$6:$B$718,"开局")</ns0:f>
        <ns0:v>2</ns0:v>
      </ns0:c>
      <ns0:c r="BD54" s="146" t="str">
        <ns0:v>指定口味综合高点</ns0:v>
      </ns0:c>
      <ns0:c r="BE54" s="149" t="n">
        <ns0:v>4</ns0:v>
      </ns0:c>
      <ns0:c r="BF54" s="146" t="str">
        <ns0:v>基线路线中段腾位 4 段；非所有路径</ns0:v>
      </ns0:c>
    </ns0:row>
    <ns0:row r="55" ht="33" customHeight="1">
      <ns0:c r="A55" s="105" t="n">
        <ns0:v>50</ns0:v>
      </ns0:c>
      <ns0:c r="B55" s="117" t="str">
        <ns0:v>固定口味与已学机制</ns0:v>
      </ns0:c>
      <ns0:c r="C55" s="126" t="str">
        <ns0:v>明牌整理收束</ns0:v>
      </ns0:c>
      <ns0:c r="D55" s="108" t="n">
        <ns0:v>4.8</ns0:v>
      </ns0:c>
      <ns0:c r="E55" s="123" t="str">
        <ns0:v>受限周转与归纳顺序</ns0:v>
      </ns0:c>
      <ns0:c r="F55" s="123" t="str">
        <ns0:v>机关与装量配合</ns0:v>
      </ns0:c>
      <ns0:c r="G55" s="105" t="str">
        <ns0:v>整齐</ns0:v>
      </ns0:c>
      <ns0:c r="H55" s="105" t="n">
        <ns0:v>8</ns0:v>
      </ns0:c>
      <ns0:c r="I55" s="105" t="n">
        <ns0:f>SUMIFS('装量配置'!$E$6:$E$718,'装量配置'!$A$6:$A$718,A55,'装量配置'!$B$6:$B$718,"开局",'装量配置'!$F$6:$F$718,4,'装量配置'!$G$6:$G$718,"&gt;0")</ns0:f>
        <ns0:v>17</ns0:v>
      </ns0:c>
      <ns0:c r="J55" s="105" t="n">
        <ns0:f>SUMIFS('装量配置'!$E$6:$E$718,'装量配置'!$A$6:$A$718,A55,'装量配置'!$B$6:$B$718,"备货")</ns0:f>
        <ns0:v>0</ns0:v>
      </ns0:c>
      <ns0:c r="K55" s="105" t="n">
        <ns0:v>16</ns0:v>
      </ns0:c>
      <ns0:c r="L55" s="105" t="n">
        <ns0:f>SUMIFS('装量配置'!$E$6:$E$718,'装量配置'!$A$6:$A$718,A55,'装量配置'!$B$6:$B$718,"开局",'装量配置'!$F$6:$F$718,4,'装量配置'!$G$6:$G$718,0,'装量配置'!$D$6:$D$718,"&lt;&gt;广告锁定周转盒")</ns0:f>
        <ns0:v>2</ns0:v>
      </ns0:c>
      <ns0:c r="M55" s="105" t="n">
        <ns0:f>SUMIFS('装量配置'!$E$6:$E$718,'装量配置'!$A$6:$A$718,A55,'装量配置'!$B$6:$B$718,"开局",'装量配置'!$F$6:$F$718,1)</ns0:f>
        <ns0:v>0</ns0:v>
      </ns0:c>
      <ns0:c r="N55" s="105" t="n">
        <ns0:f>SUMIFS('装量配置'!$E$6:$E$718,'装量配置'!$A$6:$A$718,A55,'装量配置'!$B$6:$B$718,"开局",'装量配置'!$D$6:$D$718,"广告锁定周转盒")</ns0:f>
        <ns0:v>2</ns0:v>
      </ns0:c>
      <ns0:c r="O55" s="105" t="n">
        <ns0:f>SUMIFS('装量配置'!$E$6:$E$718,'装量配置'!$A$6:$A$718,A55,'装量配置'!$B$6:$B$718,"开局")</ns0:f>
        <ns0:v>21</ns0:v>
      </ns0:c>
      <ns0:c r="P55" s="105" t="n">
        <ns0:f>SUMIFS('装量配置'!$K$6:$K$718,'装量配置'!$A$6:$A$718,A55)</ns0:f>
        <ns0:v>4</ns0:v>
      </ns0:c>
      <ns0:c r="Q55" s="105" t="n">
        <ns0:v>4</ns0:v>
      </ns0:c>
      <ns0:c r="R55" s="106" t="n">
        <ns0:v>0</ns0:v>
      </ns0:c>
      <ns0:c r="S55" s="106" t="n">
        <ns0:v>0.12</ns0:v>
      </ns0:c>
      <ns0:c r="T55" s="105" t="n">
        <ns0:v>2</ns0:v>
      </ns0:c>
      <ns0:c r="U55" s="105" t="n">
        <ns0:v>0</ns0:v>
      </ns0:c>
      <ns0:c r="V55" s="123" t="str">
        <ns0:v>固定颜色盒</ns0:v>
      </ns0:c>
      <ns0:c r="W55" s="123" t="str">
        <ns0:v>普通冰冻盒</ns0:v>
      </ns0:c>
      <ns0:c r="X55" s="123" t="str">
        <ns0:v>普通冰冻盒 0×1；固定颜色盒×1</ns0:v>
      </ns0:c>
      <ns0:c r="Y55" s="105" t="n">
        <ns0:f>SUMIFS('装量配置'!$I$6:$I$718,'装量配置'!$A$6:$A$718,A55)</ns0:f>
        <ns0:v>64</ns0:v>
      </ns0:c>
      <ns0:c r="Z55" s="105" t="str">
        <ns0:f>IF(AND(O55&lt;=25,N55=2,Y55=K55*4,H55&lt;=K55,P55+AT55&gt;=4,COUNTIFS('装量配置'!$A$6:$A$718,A55,'装量配置'!$O$6:$O$718,"需调整")=0),"装量通过；待逐味","需调整")</ns0:f>
        <ns0:v>装量通过；待逐味</ns0:v>
      </ns0:c>
      <ns0:c r="AA55" s="107" t="str">
        <ns0:v>已找到无辅助可行解 50 次；非最短</ns0:v>
      </ns0:c>
      <ns0:c r="AB55" s="107"/>
      <ns0:c r="AC55" s="107"/>
      <ns0:c r="AD55" s="106"/>
      <ns0:c r="AE55" s="108" t="n">
        <ns0:v>6</ns0:v>
      </ns0:c>
      <ns0:c r="AF55" s="109"/>
      <ns0:c r="AG55" s="109"/>
      <ns0:c r="AH55" s="110"/>
      <ns0:c r="AI55" s="131" t="str">
        <ns0:v>固定层序已制作；验收见实施记录</ns0:v>
      </ns0:c>
      <ns0:c r="AJ55" s="123" t="str">
        <ns0:v>已确认41–50关方案；目标难度4.8，待真人试玩校准；普通盒装量4/3/2/1/0：13/2/1/0/1</ns0:v>
      </ns0:c>
      <ns0:c r="AK55" s="123" t="str">
        <ns0:v>按实际盒数连续居中分排，上下可见留白对称</ns0:v>
      </ns0:c>
      <ns0:c r="AL55" s="105" t="n">
        <ns0:v>1</ns0:v>
      </ns0:c>
      <ns0:c r="AM55" s="106"/>
      <ns0:c r="AN55" s="107"/>
      <ns0:c r="AO55" s="110"/>
      <ns0:c r="AP55" s="123" t="str">
        <ns0:v>四条件可行路线已制作；见回放记录</ns0:v>
      </ns0:c>
      <ns0:c r="AQ55" s="107"/>
      <ns0:c r="AR55" s="121" t="n">
        <ns0:f>SUMIFS('装量配置'!$I$6:$I$718,'装量配置'!$A$6:$A$718,A55,'装量配置'!$B$6:$B$718,"开局")</ns0:f>
        <ns0:v>64</ns0:v>
      </ns0:c>
      <ns0:c r="AS55" s="133" t="n">
        <ns0:f>SUMIFS('装量配置'!$I$6:$I$718,'装量配置'!$A$6:$A$718,A55,'装量配置'!$B$6:$B$718,"开局",'装量配置'!$D$6:$D$718,"普通盒",'装量配置'!$G$6:$G$718,"&gt;0")/(4*SUMIFS('装量配置'!$E$6:$E$718,'装量配置'!$A$6:$A$718,A55,'装量配置'!$B$6:$B$718,"开局",'装量配置'!$D$6:$D$718,"普通盒",'装量配置'!$G$6:$G$718,"&gt;0"))</ns0:f>
        <ns0:v>0.9375</ns0:v>
      </ns0:c>
      <ns0:c r="AT55" s="121" t="n">
        <ns0:f>SUMIFS('装量配置'!$L$6:$L$718,'装量配置'!$A$6:$A$718,A55)</ns0:f>
        <ns0:v>4</ns0:v>
      </ns0:c>
      <ns0:c r="AU55" s="121" t="n">
        <ns0:f>SUMIFS('装量配置'!$M$6:$M$718,'装量配置'!$A$6:$A$718,A55)</ns0:f>
        <ns0:v>4</ns0:v>
      </ns0:c>
      <ns0:c r="AV55" s="121" t="n">
        <ns0:f>SUMIFS('装量配置'!$N$6:$N$718,'装量配置'!$A$6:$A$718,A55)</ns0:f>
        <ns0:v>0</ns0:v>
      </ns0:c>
      <ns0:c r="AW55" s="133" t="n">
        <ns0:v>0.18</ns0:v>
      </ns0:c>
      <ns0:c r="AX55" s="121" t="n">
        <ns0:v>4</ns0:v>
      </ns0:c>
      <ns0:c r="AY55" s="121" t="n">
        <ns0:f>IF(AX55=1,1,0)</ns0:f>
        <ns0:v>0</ns0:v>
      </ns0:c>
      <ns0:c r="AZ55" s="121" t="n">
        <ns0:f>SUMIFS('装量配置'!$E$6:$E$718,'装量配置'!$A$6:$A$718,A55,'装量配置'!$B$6:$B$718,"开局",'装量配置'!$D$6:$D$718,"&lt;&gt;普通盒",'装量配置'!$D$6:$D$718,"&lt;&gt;广告锁定周转盒")</ns0:f>
        <ns0:v>2</ns0:v>
      </ns0:c>
      <ns0:c r="BA55" s="150" t="n">
        <ns0:f>IF(COUNTIFS('装量配置'!$A$6:$A$718,A55,'装量配置'!$B$6:$B$718,"开局",'装量配置'!$D$6:$D$718,"数字盖盒",'装量配置'!$E$6:$E$718,"&gt;0")&gt;0,1,0)+IF(COUNTIFS('装量配置'!$A$6:$A$718,A55,'装量配置'!$B$6:$B$718,"开局",'装量配置'!$D$6:$D$718,"普通冰冻盒",'装量配置'!$E$6:$E$718,"&gt;0")&gt;0,1,0)+IF(COUNTIFS('装量配置'!$A$6:$A$718,A55,'装量配置'!$B$6:$B$718,"开局",'装量配置'!$D$6:$D$718,"单颗暂存盒",'装量配置'!$E$6:$E$718,"&gt;0")&gt;0,1,0)+IF(COUNTIFS('装量配置'!$A$6:$A$718,A55,'装量配置'!$B$6:$B$718,"开局",'装量配置'!$D$6:$D$718,"数字冰冻盒",'装量配置'!$E$6:$E$718,"&gt;0")&gt;0,1,0)+IF(COUNTIFS('装量配置'!$A$6:$A$718,A55,'装量配置'!$B$6:$B$718,"开局",'装量配置'!$D$6:$D$718,"固定颜色盒",'装量配置'!$E$6:$E$718,"&gt;0")&gt;0,1,0)+IF(COUNTIFS('装量配置'!$A$6:$A$718,A55,'装量配置'!$B$6:$B$718,"开局",'装量配置'!$D$6:$D$718,"单向收纳盒",'装量配置'!$E$6:$E$718,"&gt;0")&gt;0,1,0)+IF(COUNTIFS('装量配置'!$A$6:$A$718,A55,'装量配置'!$B$6:$B$718,"开局",'装量配置'!$D$6:$D$718,"底部置顶盒",'装量配置'!$E$6:$E$718,"&gt;0")&gt;0,1,0)+IF(COUNTIFS('装量配置'!$A$6:$A$718,A55,'装量配置'!$B$6:$B$718,"开局",'装量配置'!$D$6:$D$718,"炸弹盒",'装量配置'!$E$6:$E$718,"&gt;0")&gt;0,1,0)</ns0:f>
        <ns0:v>2</ns0:v>
      </ns0:c>
      <ns0:c r="BB55" s="150" t="n">
        <ns0:f>SUMIFS('装量配置'!$E$6:$E$718,'装量配置'!$A$6:$A$718,A55,'装量配置'!$B$6:$B$718,"开局",'装量配置'!$D$6:$D$718,"数字盖盒")+SUMIFS('装量配置'!$E$6:$E$718,'装量配置'!$A$6:$A$718,A55,'装量配置'!$B$6:$B$718,"开局",'装量配置'!$D$6:$D$718,"普通冰冻盒")+SUMIFS('装量配置'!$E$6:$E$718,'装量配置'!$A$6:$A$718,A55,'装量配置'!$B$6:$B$718,"开局",'装量配置'!$D$6:$D$718,"数字冰冻盒")</ns0:f>
        <ns0:v>1</ns0:v>
      </ns0:c>
      <ns0:c r="BC55" s="150" t="n">
        <ns0:f>SUMIFS('装量配置'!$R$6:$R$718,'装量配置'!$A$6:$A$718,A55,'装量配置'!$B$6:$B$718,"开局")</ns0:f>
        <ns0:v>0</ns0:v>
      </ns0:c>
      <ns0:c r="BD55" s="148" t="str">
        <ns0:v>明牌整理收束</ns0:v>
      </ns0:c>
      <ns0:c r="BE55" s="150" t="n">
        <ns0:v>2</ns0:v>
      </ns0:c>
      <ns0:c r="BF55" s="148" t="str">
        <ns0:v>基线路线中段腾位 4 段；非所有路径</ns0:v>
      </ns0:c>
    </ns0:row>
    <ns0:row r="56" ht="33" customHeight="1">
      <ns0:c r="A56" s="97" t="n">
        <ns0:v>51</ns0:v>
      </ns0:c>
      <ns0:c r="B56" s="115" t="str">
        <ns0:v>单向收纳与已学机制</ns0:v>
      </ns0:c>
      <ns0:c r="C56" s="125" t="str">
        <ns0:v>单向收纳学习</ns0:v>
      </ns0:c>
      <ns0:c r="D56" s="100" t="n">
        <ns0:v>4.7</ns0:v>
      </ns0:c>
      <ns0:c r="E56" s="122" t="str">
        <ns0:v>受限周转与归纳顺序</ns0:v>
      </ns0:c>
      <ns0:c r="F56" s="122" t="str">
        <ns0:v>机关与装量配合</ns0:v>
      </ns0:c>
      <ns0:c r="G56" s="97" t="str">
        <ns0:v>整齐</ns0:v>
      </ns0:c>
      <ns0:c r="H56" s="97" t="n">
        <ns0:v>7</ns0:v>
      </ns0:c>
      <ns0:c r="I56" s="97" t="n">
        <ns0:f>SUMIFS('装量配置'!$E$6:$E$718,'装量配置'!$A$6:$A$718,A56,'装量配置'!$B$6:$B$718,"开局",'装量配置'!$F$6:$F$718,4,'装量配置'!$G$6:$G$718,"&gt;0")</ns0:f>
        <ns0:v>16</ns0:v>
      </ns0:c>
      <ns0:c r="J56" s="97" t="n">
        <ns0:f>SUMIFS('装量配置'!$E$6:$E$718,'装量配置'!$A$6:$A$718,A56,'装量配置'!$B$6:$B$718,"备货")</ns0:f>
        <ns0:v>0</ns0:v>
      </ns0:c>
      <ns0:c r="K56" s="97" t="n">
        <ns0:v>15</ns0:v>
      </ns0:c>
      <ns0:c r="L56" s="97" t="n">
        <ns0:f>SUMIFS('装量配置'!$E$6:$E$718,'装量配置'!$A$6:$A$718,A56,'装量配置'!$B$6:$B$718,"开局",'装量配置'!$F$6:$F$718,4,'装量配置'!$G$6:$G$718,0,'装量配置'!$D$6:$D$718,"&lt;&gt;广告锁定周转盒")</ns0:f>
        <ns0:v>2</ns0:v>
      </ns0:c>
      <ns0:c r="M56" s="97" t="n">
        <ns0:f>SUMIFS('装量配置'!$E$6:$E$718,'装量配置'!$A$6:$A$718,A56,'装量配置'!$B$6:$B$718,"开局",'装量配置'!$F$6:$F$718,1)</ns0:f>
        <ns0:v>0</ns0:v>
      </ns0:c>
      <ns0:c r="N56" s="97" t="n">
        <ns0:f>SUMIFS('装量配置'!$E$6:$E$718,'装量配置'!$A$6:$A$718,A56,'装量配置'!$B$6:$B$718,"开局",'装量配置'!$D$6:$D$718,"广告锁定周转盒")</ns0:f>
        <ns0:v>2</ns0:v>
      </ns0:c>
      <ns0:c r="O56" s="97" t="n">
        <ns0:f>SUMIFS('装量配置'!$E$6:$E$718,'装量配置'!$A$6:$A$718,A56,'装量配置'!$B$6:$B$718,"开局")</ns0:f>
        <ns0:v>20</ns0:v>
      </ns0:c>
      <ns0:c r="P56" s="97" t="n">
        <ns0:f>SUMIFS('装量配置'!$K$6:$K$718,'装量配置'!$A$6:$A$718,A56)</ns0:f>
        <ns0:v>4</ns0:v>
      </ns0:c>
      <ns0:c r="Q56" s="97" t="n">
        <ns0:v>4</ns0:v>
      </ns0:c>
      <ns0:c r="R56" s="98" t="n">
        <ns0:v>0</ns0:v>
      </ns0:c>
      <ns0:c r="S56" s="98" t="n">
        <ns0:v>0.12</ns0:v>
      </ns0:c>
      <ns0:c r="T56" s="97" t="n">
        <ns0:v>3</ns0:v>
      </ns0:c>
      <ns0:c r="U56" s="97" t="n">
        <ns0:v>0</ns0:v>
      </ns0:c>
      <ns0:c r="V56" s="122" t="str">
        <ns0:v>单向收纳盒</ns0:v>
      </ns0:c>
      <ns0:c r="W56" s="122"/>
      <ns0:c r="X56" s="122" t="str">
        <ns0:v>单向收纳盒×1</ns0:v>
      </ns0:c>
      <ns0:c r="Y56" s="97" t="n">
        <ns0:f>SUMIFS('装量配置'!$I$6:$I$718,'装量配置'!$A$6:$A$718,A56)</ns0:f>
        <ns0:v>60</ns0:v>
      </ns0:c>
      <ns0:c r="Z56" s="97" t="str">
        <ns0:f>IF(AND(O56&lt;=25,N56=2,Y56=K56*4,H56&lt;=K56,P56+AT56&gt;=4,COUNTIFS('装量配置'!$A$6:$A$718,A56,'装量配置'!$O$6:$O$718,"需调整")=0),"装量通过；待逐味","需调整")</ns0:f>
        <ns0:v>装量通过；待逐味</ns0:v>
      </ns0:c>
      <ns0:c r="AA56" s="99" t="str">
        <ns0:v>四条件可行路线已保存（非最短解）</ns0:v>
      </ns0:c>
      <ns0:c r="AB56" s="99"/>
      <ns0:c r="AC56" s="99"/>
      <ns0:c r="AD56" s="98" t="n">
        <ns0:v>0.55</ns0:v>
      </ns0:c>
      <ns0:c r="AE56" s="100" t="n">
        <ns0:v>6.5</ns0:v>
      </ns0:c>
      <ns0:c r="AF56" s="101"/>
      <ns0:c r="AG56" s="101"/>
      <ns0:c r="AH56" s="102"/>
      <ns0:c r="AI56" s="130" t="str">
        <ns0:v>固定层序；待连续真人试玩</ns0:v>
      </ns0:c>
      <ns0:c r="AJ56" s="122" t="str">
        <ns0:v>单向空盒先选口味，四同味后按订单回收；只练这一种特殊盒。</ns0:v>
      </ns0:c>
      <ns0:c r="AK56" s="122" t="str">
        <ns0:v>连续居中，按盒数分排</ns0:v>
      </ns0:c>
      <ns0:c r="AL56" s="97" t="n">
        <ns0:v>1</ns0:v>
      </ns0:c>
      <ns0:c r="AM56" s="98" t="n">
        <ns0:v>0.78</ns0:v>
      </ns0:c>
      <ns0:c r="AN56" s="97"/>
      <ns0:c r="AO56" s="98"/>
      <ns0:c r="AP56" s="122" t="str">
        <ns0:v>双锁／单开A／单开B／双开完整回放</ns0:v>
      </ns0:c>
      <ns0:c r="AQ56" s="99"/>
      <ns0:c r="AR56" s="120" t="n">
        <ns0:f>SUMIFS('装量配置'!$I$6:$I$718,'装量配置'!$A$6:$A$718,A56,'装量配置'!$B$6:$B$718,"开局")</ns0:f>
        <ns0:v>60</ns0:v>
      </ns0:c>
      <ns0:c r="AS56" s="132" t="n">
        <ns0:f>SUMIFS('装量配置'!$I$6:$I$718,'装量配置'!$A$6:$A$718,A56,'装量配置'!$B$6:$B$718,"开局",'装量配置'!$D$6:$D$718,"普通盒",'装量配置'!$G$6:$G$718,"&gt;0")/(4*SUMIFS('装量配置'!$E$6:$E$718,'装量配置'!$A$6:$A$718,A56,'装量配置'!$B$6:$B$718,"开局",'装量配置'!$D$6:$D$718,"普通盒",'装量配置'!$G$6:$G$718,"&gt;0"))</ns0:f>
        <ns0:v>0.9375</ns0:v>
      </ns0:c>
      <ns0:c r="AT56" s="120" t="n">
        <ns0:f>SUMIFS('装量配置'!$L$6:$L$718,'装量配置'!$A$6:$A$718,A56)</ns0:f>
        <ns0:v>4</ns0:v>
      </ns0:c>
      <ns0:c r="AU56" s="120" t="n">
        <ns0:f>SUMIFS('装量配置'!$M$6:$M$718,'装量配置'!$A$6:$A$718,A56)</ns0:f>
        <ns0:v>4</ns0:v>
      </ns0:c>
      <ns0:c r="AV56" s="120" t="n">
        <ns0:f>SUMIFS('装量配置'!$N$6:$N$718,'装量配置'!$A$6:$A$718,A56)</ns0:f>
        <ns0:v>0</ns0:v>
      </ns0:c>
      <ns0:c r="AW56" s="132" t="n">
        <ns0:v>0.18</ns0:v>
      </ns0:c>
      <ns0:c r="AX56" s="120" t="n">
        <ns0:v>4</ns0:v>
      </ns0:c>
      <ns0:c r="AY56" s="120" t="n">
        <ns0:f>IF(AX56=1,1,0)</ns0:f>
        <ns0:v>0</ns0:v>
      </ns0:c>
      <ns0:c r="AZ56" s="120" t="n">
        <ns0:f>SUMIFS('装量配置'!$E$6:$E$718,'装量配置'!$A$6:$A$718,A56,'装量配置'!$B$6:$B$718,"开局",'装量配置'!$D$6:$D$718,"&lt;&gt;普通盒",'装量配置'!$D$6:$D$718,"&lt;&gt;广告锁定周转盒")</ns0:f>
        <ns0:v>1</ns0:v>
      </ns0:c>
      <ns0:c r="BA56" s="149" t="n">
        <ns0:f>IF(COUNTIFS('装量配置'!$A$6:$A$718,A56,'装量配置'!$B$6:$B$718,"开局",'装量配置'!$D$6:$D$718,"数字盖盒",'装量配置'!$E$6:$E$718,"&gt;0")&gt;0,1,0)+IF(COUNTIFS('装量配置'!$A$6:$A$718,A56,'装量配置'!$B$6:$B$718,"开局",'装量配置'!$D$6:$D$718,"普通冰冻盒",'装量配置'!$E$6:$E$718,"&gt;0")&gt;0,1,0)+IF(COUNTIFS('装量配置'!$A$6:$A$718,A56,'装量配置'!$B$6:$B$718,"开局",'装量配置'!$D$6:$D$718,"单颗暂存盒",'装量配置'!$E$6:$E$718,"&gt;0")&gt;0,1,0)+IF(COUNTIFS('装量配置'!$A$6:$A$718,A56,'装量配置'!$B$6:$B$718,"开局",'装量配置'!$D$6:$D$718,"数字冰冻盒",'装量配置'!$E$6:$E$718,"&gt;0")&gt;0,1,0)+IF(COUNTIFS('装量配置'!$A$6:$A$718,A56,'装量配置'!$B$6:$B$718,"开局",'装量配置'!$D$6:$D$718,"固定颜色盒",'装量配置'!$E$6:$E$718,"&gt;0")&gt;0,1,0)+IF(COUNTIFS('装量配置'!$A$6:$A$718,A56,'装量配置'!$B$6:$B$718,"开局",'装量配置'!$D$6:$D$718,"单向收纳盒",'装量配置'!$E$6:$E$718,"&gt;0")&gt;0,1,0)+IF(COUNTIFS('装量配置'!$A$6:$A$718,A56,'装量配置'!$B$6:$B$718,"开局",'装量配置'!$D$6:$D$718,"底部置顶盒",'装量配置'!$E$6:$E$718,"&gt;0")&gt;0,1,0)+IF(COUNTIFS('装量配置'!$A$6:$A$718,A56,'装量配置'!$B$6:$B$718,"开局",'装量配置'!$D$6:$D$718,"炸弹盒",'装量配置'!$E$6:$E$718,"&gt;0")&gt;0,1,0)</ns0:f>
        <ns0:v>1</ns0:v>
      </ns0:c>
      <ns0:c r="BB56" s="149" t="n">
        <ns0:f>SUMIFS('装量配置'!$E$6:$E$718,'装量配置'!$A$6:$A$718,A56,'装量配置'!$B$6:$B$718,"开局",'装量配置'!$D$6:$D$718,"数字盖盒")+SUMIFS('装量配置'!$E$6:$E$718,'装量配置'!$A$6:$A$718,A56,'装量配置'!$B$6:$B$718,"开局",'装量配置'!$D$6:$D$718,"普通冰冻盒")+SUMIFS('装量配置'!$E$6:$E$718,'装量配置'!$A$6:$A$718,A56,'装量配置'!$B$6:$B$718,"开局",'装量配置'!$D$6:$D$718,"数字冰冻盒")</ns0:f>
        <ns0:v>0</ns0:v>
      </ns0:c>
      <ns0:c r="BC56" s="149" t="n">
        <ns0:f>SUMIFS('装量配置'!$R$6:$R$718,'装量配置'!$A$6:$A$718,A56,'装量配置'!$B$6:$B$718,"开局")</ns0:f>
        <ns0:v>0</ns0:v>
      </ns0:c>
      <ns0:c r="BD56" s="146" t="str">
        <ns0:v>单向空盒先选口味，四同味后按订单回收；只练这一种特殊盒。</ns0:v>
      </ns0:c>
      <ns0:c r="BE56" s="149" t="n">
        <ns0:v>2</ns0:v>
      </ns0:c>
      <ns0:c r="BF56" s="146" t="str">
        <ns0:v>首归纳及时交付，逐关检查机关参与与补货余量</ns0:v>
      </ns0:c>
    </ns0:row>
    <ns0:row r="57" ht="33" customHeight="1">
      <ns0:c r="A57" s="105" t="n">
        <ns0:v>52</ns0:v>
      </ns0:c>
      <ns0:c r="B57" s="117" t="str">
        <ns0:v>单向收纳与已学机制</ns0:v>
      </ns0:c>
      <ns0:c r="C57" s="126" t="str">
        <ns0:v>单向收纳学习</ns0:v>
      </ns0:c>
      <ns0:c r="D57" s="108" t="n">
        <ns0:v>4.8</ns0:v>
      </ns0:c>
      <ns0:c r="E57" s="123" t="str">
        <ns0:v>受限周转与归纳顺序</ns0:v>
      </ns0:c>
      <ns0:c r="F57" s="123" t="str">
        <ns0:v>机关与装量配合</ns0:v>
      </ns0:c>
      <ns0:c r="G57" s="105" t="str">
        <ns0:v>错落</ns0:v>
      </ns0:c>
      <ns0:c r="H57" s="105" t="n">
        <ns0:v>8</ns0:v>
      </ns0:c>
      <ns0:c r="I57" s="105" t="n">
        <ns0:f>SUMIFS('装量配置'!$E$6:$E$718,'装量配置'!$A$6:$A$718,A57,'装量配置'!$B$6:$B$718,"开局",'装量配置'!$F$6:$F$718,4,'装量配置'!$G$6:$G$718,"&gt;0")</ns0:f>
        <ns0:v>18</ns0:v>
      </ns0:c>
      <ns0:c r="J57" s="105" t="n">
        <ns0:f>SUMIFS('装量配置'!$E$6:$E$718,'装量配置'!$A$6:$A$718,A57,'装量配置'!$B$6:$B$718,"备货")</ns0:f>
        <ns0:v>0</ns0:v>
      </ns0:c>
      <ns0:c r="K57" s="105" t="n">
        <ns0:v>16</ns0:v>
      </ns0:c>
      <ns0:c r="L57" s="105" t="n">
        <ns0:f>SUMIFS('装量配置'!$E$6:$E$718,'装量配置'!$A$6:$A$718,A57,'装量配置'!$B$6:$B$718,"开局",'装量配置'!$F$6:$F$718,4,'装量配置'!$G$6:$G$718,0,'装量配置'!$D$6:$D$718,"&lt;&gt;广告锁定周转盒")</ns0:f>
        <ns0:v>0</ns0:v>
      </ns0:c>
      <ns0:c r="M57" s="105" t="n">
        <ns0:f>SUMIFS('装量配置'!$E$6:$E$718,'装量配置'!$A$6:$A$718,A57,'装量配置'!$B$6:$B$718,"开局",'装量配置'!$F$6:$F$718,1)</ns0:f>
        <ns0:v>0</ns0:v>
      </ns0:c>
      <ns0:c r="N57" s="105" t="n">
        <ns0:f>SUMIFS('装量配置'!$E$6:$E$718,'装量配置'!$A$6:$A$718,A57,'装量配置'!$B$6:$B$718,"开局",'装量配置'!$D$6:$D$718,"广告锁定周转盒")</ns0:f>
        <ns0:v>2</ns0:v>
      </ns0:c>
      <ns0:c r="O57" s="105" t="n">
        <ns0:f>SUMIFS('装量配置'!$E$6:$E$718,'装量配置'!$A$6:$A$718,A57,'装量配置'!$B$6:$B$718,"开局")</ns0:f>
        <ns0:v>20</ns0:v>
      </ns0:c>
      <ns0:c r="P57" s="105" t="n">
        <ns0:f>SUMIFS('装量配置'!$K$6:$K$718,'装量配置'!$A$6:$A$718,A57)</ns0:f>
        <ns0:v>0</ns0:v>
      </ns0:c>
      <ns0:c r="Q57" s="105" t="n">
        <ns0:v>4</ns0:v>
      </ns0:c>
      <ns0:c r="R57" s="106" t="n">
        <ns0:v>0</ns0:v>
      </ns0:c>
      <ns0:c r="S57" s="106" t="n">
        <ns0:v>0.12</ns0:v>
      </ns0:c>
      <ns0:c r="T57" s="105" t="n">
        <ns0:v>3</ns0:v>
      </ns0:c>
      <ns0:c r="U57" s="105" t="n">
        <ns0:v>0</ns0:v>
      </ns0:c>
      <ns0:c r="V57" s="123" t="str">
        <ns0:v>单向收纳盒</ns0:v>
      </ns0:c>
      <ns0:c r="W57" s="123"/>
      <ns0:c r="X57" s="123" t="str">
        <ns0:v>单向收纳盒×1</ns0:v>
      </ns0:c>
      <ns0:c r="Y57" s="105" t="n">
        <ns0:f>SUMIFS('装量配置'!$I$6:$I$718,'装量配置'!$A$6:$A$718,A57)</ns0:f>
        <ns0:v>64</ns0:v>
      </ns0:c>
      <ns0:c r="Z57" s="105" t="str">
        <ns0:f>IF(AND(O57&lt;=25,N57=2,Y57=K57*4,H57&lt;=K57,P57+AT57&gt;=4,COUNTIFS('装量配置'!$A$6:$A$718,A57,'装量配置'!$O$6:$O$718,"需调整")=0),"装量通过；待逐味","需调整")</ns0:f>
        <ns0:v>装量通过；待逐味</ns0:v>
      </ns0:c>
      <ns0:c r="AA57" s="107" t="str">
        <ns0:v>四条件可行路线已保存（非最短解）</ns0:v>
      </ns0:c>
      <ns0:c r="AB57" s="107"/>
      <ns0:c r="AC57" s="107"/>
      <ns0:c r="AD57" s="106" t="n">
        <ns0:v>0.48</ns0:v>
      </ns0:c>
      <ns0:c r="AE57" s="108" t="n">
        <ns0:v>6.5</ns0:v>
      </ns0:c>
      <ns0:c r="AF57" s="109"/>
      <ns0:c r="AG57" s="109"/>
      <ns0:c r="AH57" s="110"/>
      <ns0:c r="AI57" s="131" t="str">
        <ns0:v>固定层序；待连续真人试玩</ns0:v>
      </ns0:c>
      <ns0:c r="AJ57" s="123" t="str">
        <ns0:v>单向盒预装一颗，借三颗与半满普通盒周转；没有普通完整空盒。</ns0:v>
      </ns0:c>
      <ns0:c r="AK57" s="123" t="str">
        <ns0:v>连续居中，按盒数分排</ns0:v>
      </ns0:c>
      <ns0:c r="AL57" s="105" t="n">
        <ns0:v>1</ns0:v>
      </ns0:c>
      <ns0:c r="AM57" s="106" t="n">
        <ns0:v>0.78</ns0:v>
      </ns0:c>
      <ns0:c r="AN57" s="107"/>
      <ns0:c r="AO57" s="110"/>
      <ns0:c r="AP57" s="123" t="str">
        <ns0:v>双锁／单开A／单开B／双开完整回放</ns0:v>
      </ns0:c>
      <ns0:c r="AQ57" s="107"/>
      <ns0:c r="AR57" s="121" t="n">
        <ns0:f>SUMIFS('装量配置'!$I$6:$I$718,'装量配置'!$A$6:$A$718,A57,'装量配置'!$B$6:$B$718,"开局")</ns0:f>
        <ns0:v>64</ns0:v>
      </ns0:c>
      <ns0:c r="AS57" s="133" t="n">
        <ns0:f>SUMIFS('装量配置'!$I$6:$I$718,'装量配置'!$A$6:$A$718,A57,'装量配置'!$B$6:$B$718,"开局",'装量配置'!$D$6:$D$718,"普通盒",'装量配置'!$G$6:$G$718,"&gt;0")/(4*SUMIFS('装量配置'!$E$6:$E$718,'装量配置'!$A$6:$A$718,A57,'装量配置'!$B$6:$B$718,"开局",'装量配置'!$D$6:$D$718,"普通盒",'装量配置'!$G$6:$G$718,"&gt;0"))</ns0:f>
        <ns0:v>0.9264705882352942</ns0:v>
      </ns0:c>
      <ns0:c r="AT57" s="121" t="n">
        <ns0:f>SUMIFS('装量配置'!$L$6:$L$718,'装量配置'!$A$6:$A$718,A57)</ns0:f>
        <ns0:v>5</ns0:v>
      </ns0:c>
      <ns0:c r="AU57" s="121" t="n">
        <ns0:f>SUMIFS('装量配置'!$M$6:$M$718,'装量配置'!$A$6:$A$718,A57)</ns0:f>
        <ns0:v>3</ns0:v>
      </ns0:c>
      <ns0:c r="AV57" s="121" t="n">
        <ns0:f>SUMIFS('装量配置'!$N$6:$N$718,'装量配置'!$A$6:$A$718,A57)</ns0:f>
        <ns0:v>0</ns0:v>
      </ns0:c>
      <ns0:c r="AW57" s="133" t="n">
        <ns0:v>0.18</ns0:v>
      </ns0:c>
      <ns0:c r="AX57" s="121" t="n">
        <ns0:v>4</ns0:v>
      </ns0:c>
      <ns0:c r="AY57" s="121" t="n">
        <ns0:f>IF(AX57=1,1,0)</ns0:f>
        <ns0:v>0</ns0:v>
      </ns0:c>
      <ns0:c r="AZ57" s="121" t="n">
        <ns0:f>SUMIFS('装量配置'!$E$6:$E$718,'装量配置'!$A$6:$A$718,A57,'装量配置'!$B$6:$B$718,"开局",'装量配置'!$D$6:$D$718,"&lt;&gt;普通盒",'装量配置'!$D$6:$D$718,"&lt;&gt;广告锁定周转盒")</ns0:f>
        <ns0:v>1</ns0:v>
      </ns0:c>
      <ns0:c r="BA57" s="150" t="n">
        <ns0:f>IF(COUNTIFS('装量配置'!$A$6:$A$718,A57,'装量配置'!$B$6:$B$718,"开局",'装量配置'!$D$6:$D$718,"数字盖盒",'装量配置'!$E$6:$E$718,"&gt;0")&gt;0,1,0)+IF(COUNTIFS('装量配置'!$A$6:$A$718,A57,'装量配置'!$B$6:$B$718,"开局",'装量配置'!$D$6:$D$718,"普通冰冻盒",'装量配置'!$E$6:$E$718,"&gt;0")&gt;0,1,0)+IF(COUNTIFS('装量配置'!$A$6:$A$718,A57,'装量配置'!$B$6:$B$718,"开局",'装量配置'!$D$6:$D$718,"单颗暂存盒",'装量配置'!$E$6:$E$718,"&gt;0")&gt;0,1,0)+IF(COUNTIFS('装量配置'!$A$6:$A$718,A57,'装量配置'!$B$6:$B$718,"开局",'装量配置'!$D$6:$D$718,"数字冰冻盒",'装量配置'!$E$6:$E$718,"&gt;0")&gt;0,1,0)+IF(COUNTIFS('装量配置'!$A$6:$A$718,A57,'装量配置'!$B$6:$B$718,"开局",'装量配置'!$D$6:$D$718,"固定颜色盒",'装量配置'!$E$6:$E$718,"&gt;0")&gt;0,1,0)+IF(COUNTIFS('装量配置'!$A$6:$A$718,A57,'装量配置'!$B$6:$B$718,"开局",'装量配置'!$D$6:$D$718,"单向收纳盒",'装量配置'!$E$6:$E$718,"&gt;0")&gt;0,1,0)+IF(COUNTIFS('装量配置'!$A$6:$A$718,A57,'装量配置'!$B$6:$B$718,"开局",'装量配置'!$D$6:$D$718,"底部置顶盒",'装量配置'!$E$6:$E$718,"&gt;0")&gt;0,1,0)+IF(COUNTIFS('装量配置'!$A$6:$A$718,A57,'装量配置'!$B$6:$B$718,"开局",'装量配置'!$D$6:$D$718,"炸弹盒",'装量配置'!$E$6:$E$718,"&gt;0")&gt;0,1,0)</ns0:f>
        <ns0:v>1</ns0:v>
      </ns0:c>
      <ns0:c r="BB57" s="150" t="n">
        <ns0:f>SUMIFS('装量配置'!$E$6:$E$718,'装量配置'!$A$6:$A$718,A57,'装量配置'!$B$6:$B$718,"开局",'装量配置'!$D$6:$D$718,"数字盖盒")+SUMIFS('装量配置'!$E$6:$E$718,'装量配置'!$A$6:$A$718,A57,'装量配置'!$B$6:$B$718,"开局",'装量配置'!$D$6:$D$718,"普通冰冻盒")+SUMIFS('装量配置'!$E$6:$E$718,'装量配置'!$A$6:$A$718,A57,'装量配置'!$B$6:$B$718,"开局",'装量配置'!$D$6:$D$718,"数字冰冻盒")</ns0:f>
        <ns0:v>0</ns0:v>
      </ns0:c>
      <ns0:c r="BC57" s="150" t="n">
        <ns0:f>SUMIFS('装量配置'!$R$6:$R$718,'装量配置'!$A$6:$A$718,A57,'装量配置'!$B$6:$B$718,"开局")</ns0:f>
        <ns0:v>0</ns0:v>
      </ns0:c>
      <ns0:c r="BD57" s="148" t="str">
        <ns0:v>单向盒预装一颗，借三颗与半满普通盒周转；没有普通完整空盒。</ns0:v>
      </ns0:c>
      <ns0:c r="BE57" s="150" t="n">
        <ns0:v>3</ns0:v>
      </ns0:c>
      <ns0:c r="BF57" s="148" t="str">
        <ns0:v>首归纳及时交付，逐关检查机关参与与补货余量</ns0:v>
      </ns0:c>
    </ns0:row>
    <ns0:row r="58" ht="33" customHeight="1">
      <ns0:c r="A58" s="112" t="n">
        <ns0:v>53</ns0:v>
      </ns0:c>
      <ns0:c r="B58" s="119" t="str">
        <ns0:v>单向收纳与已学机制</ns0:v>
      </ns0:c>
      <ns0:c r="C58" s="127" t="str">
        <ns0:v>机制组合</ns0:v>
      </ns0:c>
      <ns0:c r="D58" s="114" t="n">
        <ns0:v>4.9</ns0:v>
      </ns0:c>
      <ns0:c r="E58" s="124" t="str">
        <ns0:v>受限周转与归纳顺序</ns0:v>
      </ns0:c>
      <ns0:c r="F58" s="124" t="str">
        <ns0:v>机关与装量配合</ns0:v>
      </ns0:c>
      <ns0:c r="G58" s="112" t="str">
        <ns0:v>错落</ns0:v>
      </ns0:c>
      <ns0:c r="H58" s="112" t="n">
        <ns0:v>8</ns0:v>
      </ns0:c>
      <ns0:c r="I58" s="112" t="n">
        <ns0:f>SUMIFS('装量配置'!$E$6:$E$718,'装量配置'!$A$6:$A$718,A58,'装量配置'!$B$6:$B$718,"开局",'装量配置'!$F$6:$F$718,4,'装量配置'!$G$6:$G$718,"&gt;0")</ns0:f>
        <ns0:v>17</ns0:v>
      </ns0:c>
      <ns0:c r="J58" s="112" t="n">
        <ns0:f>SUMIFS('装量配置'!$E$6:$E$718,'装量配置'!$A$6:$A$718,A58,'装量配置'!$B$6:$B$718,"备货")</ns0:f>
        <ns0:v>0</ns0:v>
      </ns0:c>
      <ns0:c r="K58" s="112" t="n">
        <ns0:v>17</ns0:v>
      </ns0:c>
      <ns0:c r="L58" s="112" t="n">
        <ns0:f>SUMIFS('装量配置'!$E$6:$E$718,'装量配置'!$A$6:$A$718,A58,'装量配置'!$B$6:$B$718,"开局",'装量配置'!$F$6:$F$718,4,'装量配置'!$G$6:$G$718,0,'装量配置'!$D$6:$D$718,"&lt;&gt;广告锁定周转盒")</ns0:f>
        <ns0:v>2</ns0:v>
      </ns0:c>
      <ns0:c r="M58" s="112" t="n">
        <ns0:f>SUMIFS('装量配置'!$E$6:$E$718,'装量配置'!$A$6:$A$718,A58,'装量配置'!$B$6:$B$718,"开局",'装量配置'!$F$6:$F$718,1)</ns0:f>
        <ns0:v>0</ns0:v>
      </ns0:c>
      <ns0:c r="N58" s="112" t="n">
        <ns0:f>SUMIFS('装量配置'!$E$6:$E$718,'装量配置'!$A$6:$A$718,A58,'装量配置'!$B$6:$B$718,"开局",'装量配置'!$D$6:$D$718,"广告锁定周转盒")</ns0:f>
        <ns0:v>2</ns0:v>
      </ns0:c>
      <ns0:c r="O58" s="112" t="n">
        <ns0:f>SUMIFS('装量配置'!$E$6:$E$718,'装量配置'!$A$6:$A$718,A58,'装量配置'!$B$6:$B$718,"开局")</ns0:f>
        <ns0:v>21</ns0:v>
      </ns0:c>
      <ns0:c r="P58" s="112" t="n">
        <ns0:f>SUMIFS('装量配置'!$K$6:$K$718,'装量配置'!$A$6:$A$718,A58)</ns0:f>
        <ns0:v>4</ns0:v>
      </ns0:c>
      <ns0:c r="Q58" s="112" t="n">
        <ns0:v>4</ns0:v>
      </ns0:c>
      <ns0:c r="R58" s="113" t="n">
        <ns0:v>0</ns0:v>
      </ns0:c>
      <ns0:c r="S58" s="113" t="n">
        <ns0:v>0.12</ns0:v>
      </ns0:c>
      <ns0:c r="T58" s="112" t="n">
        <ns0:v>4</ns0:v>
      </ns0:c>
      <ns0:c r="U58" s="112" t="n">
        <ns0:v>0</ns0:v>
      </ns0:c>
      <ns0:c r="V58" s="124" t="str">
        <ns0:v>单向收纳盒</ns0:v>
      </ns0:c>
      <ns0:c r="W58" s="124" t="str">
        <ns0:v>数字冰冻盒</ns0:v>
      </ns0:c>
      <ns0:c r="X58" s="124" t="str">
        <ns0:v>数字冰冻盒×1；单向收纳盒×1</ns0:v>
      </ns0:c>
      <ns0:c r="Y58" s="112" t="n">
        <ns0:f>SUMIFS('装量配置'!$I$6:$I$718,'装量配置'!$A$6:$A$718,A58)</ns0:f>
        <ns0:v>68</ns0:v>
      </ns0:c>
      <ns0:c r="Z58" s="112" t="str">
        <ns0:f>IF(AND(O58&lt;=25,N58=2,Y58=K58*4,H58&lt;=K58,P58+AT58&gt;=4,COUNTIFS('装量配置'!$A$6:$A$718,A58,'装量配置'!$O$6:$O$718,"需调整")=0),"装量通过；待逐味","需调整")</ns0:f>
        <ns0:v>装量通过；待逐味</ns0:v>
      </ns0:c>
      <ns0:c r="AA58" s="107" t="str">
        <ns0:v>四条件可行路线已保存（非最短解）</ns0:v>
      </ns0:c>
      <ns0:c r="AB58" s="107"/>
      <ns0:c r="AC58" s="107"/>
      <ns0:c r="AD58" s="113" t="n">
        <ns0:v>0.45</ns0:v>
      </ns0:c>
      <ns0:c r="AE58" s="114" t="n">
        <ns0:v>6.5</ns0:v>
      </ns0:c>
      <ns0:c r="AF58" s="109"/>
      <ns0:c r="AG58" s="109"/>
      <ns0:c r="AH58" s="110"/>
      <ns0:c r="AI58" s="131" t="str">
        <ns0:v>固定层序；待连续真人试玩</ns0:v>
      </ns0:c>
      <ns0:c r="AJ58" s="124" t="str">
        <ns0:v>先归纳推动数字冰冻，再接续单向收纳。</ns0:v>
      </ns0:c>
      <ns0:c r="AK58" s="124" t="str">
        <ns0:v>连续居中，按盒数分排</ns0:v>
      </ns0:c>
      <ns0:c r="AL58" s="112" t="n">
        <ns0:v>1</ns0:v>
      </ns0:c>
      <ns0:c r="AM58" s="113" t="n">
        <ns0:v>0.78</ns0:v>
      </ns0:c>
      <ns0:c r="AN58" s="112"/>
      <ns0:c r="AO58" s="113"/>
      <ns0:c r="AP58" s="124" t="str">
        <ns0:v>双锁／单开A／单开B／双开完整回放</ns0:v>
      </ns0:c>
      <ns0:c r="AQ58" s="107"/>
      <ns0:c r="AR58" s="120" t="n">
        <ns0:f>SUMIFS('装量配置'!$I$6:$I$718,'装量配置'!$A$6:$A$718,A58,'装量配置'!$B$6:$B$718,"开局")</ns0:f>
        <ns0:v>68</ns0:v>
      </ns0:c>
      <ns0:c r="AS58" s="132" t="n">
        <ns0:f>SUMIFS('装量配置'!$I$6:$I$718,'装量配置'!$A$6:$A$718,A58,'装量配置'!$B$6:$B$718,"开局",'装量配置'!$D$6:$D$718,"普通盒",'装量配置'!$G$6:$G$718,"&gt;0")/(4*SUMIFS('装量配置'!$E$6:$E$718,'装量配置'!$A$6:$A$718,A58,'装量配置'!$B$6:$B$718,"开局",'装量配置'!$D$6:$D$718,"普通盒",'装量配置'!$G$6:$G$718,"&gt;0"))</ns0:f>
        <ns0:v>1</ns0:v>
      </ns0:c>
      <ns0:c r="AT58" s="120" t="n">
        <ns0:f>SUMIFS('装量配置'!$L$6:$L$718,'装量配置'!$A$6:$A$718,A58)</ns0:f>
        <ns0:v>0</ns0:v>
      </ns0:c>
      <ns0:c r="AU58" s="120" t="n">
        <ns0:f>SUMIFS('装量配置'!$M$6:$M$718,'装量配置'!$A$6:$A$718,A58)</ns0:f>
        <ns0:v>4</ns0:v>
      </ns0:c>
      <ns0:c r="AV58" s="120" t="n">
        <ns0:f>SUMIFS('装量配置'!$N$6:$N$718,'装量配置'!$A$6:$A$718,A58)</ns0:f>
        <ns0:v>0</ns0:v>
      </ns0:c>
      <ns0:c r="AW58" s="132" t="n">
        <ns0:v>0.18</ns0:v>
      </ns0:c>
      <ns0:c r="AX58" s="120" t="n">
        <ns0:v>5</ns0:v>
      </ns0:c>
      <ns0:c r="AY58" s="120" t="n">
        <ns0:f>IF(AX58=1,1,0)</ns0:f>
        <ns0:v>0</ns0:v>
      </ns0:c>
      <ns0:c r="AZ58" s="120" t="n">
        <ns0:f>SUMIFS('装量配置'!$E$6:$E$718,'装量配置'!$A$6:$A$718,A58,'装量配置'!$B$6:$B$718,"开局",'装量配置'!$D$6:$D$718,"&lt;&gt;普通盒",'装量配置'!$D$6:$D$718,"&lt;&gt;广告锁定周转盒")</ns0:f>
        <ns0:v>2</ns0:v>
      </ns0:c>
      <ns0:c r="BA58" s="149" t="n">
        <ns0:f>IF(COUNTIFS('装量配置'!$A$6:$A$718,A58,'装量配置'!$B$6:$B$718,"开局",'装量配置'!$D$6:$D$718,"数字盖盒",'装量配置'!$E$6:$E$718,"&gt;0")&gt;0,1,0)+IF(COUNTIFS('装量配置'!$A$6:$A$718,A58,'装量配置'!$B$6:$B$718,"开局",'装量配置'!$D$6:$D$718,"普通冰冻盒",'装量配置'!$E$6:$E$718,"&gt;0")&gt;0,1,0)+IF(COUNTIFS('装量配置'!$A$6:$A$718,A58,'装量配置'!$B$6:$B$718,"开局",'装量配置'!$D$6:$D$718,"单颗暂存盒",'装量配置'!$E$6:$E$718,"&gt;0")&gt;0,1,0)+IF(COUNTIFS('装量配置'!$A$6:$A$718,A58,'装量配置'!$B$6:$B$718,"开局",'装量配置'!$D$6:$D$718,"数字冰冻盒",'装量配置'!$E$6:$E$718,"&gt;0")&gt;0,1,0)+IF(COUNTIFS('装量配置'!$A$6:$A$718,A58,'装量配置'!$B$6:$B$718,"开局",'装量配置'!$D$6:$D$718,"固定颜色盒",'装量配置'!$E$6:$E$718,"&gt;0")&gt;0,1,0)+IF(COUNTIFS('装量配置'!$A$6:$A$718,A58,'装量配置'!$B$6:$B$718,"开局",'装量配置'!$D$6:$D$718,"单向收纳盒",'装量配置'!$E$6:$E$718,"&gt;0")&gt;0,1,0)+IF(COUNTIFS('装量配置'!$A$6:$A$718,A58,'装量配置'!$B$6:$B$718,"开局",'装量配置'!$D$6:$D$718,"底部置顶盒",'装量配置'!$E$6:$E$718,"&gt;0")&gt;0,1,0)+IF(COUNTIFS('装量配置'!$A$6:$A$718,A58,'装量配置'!$B$6:$B$718,"开局",'装量配置'!$D$6:$D$718,"炸弹盒",'装量配置'!$E$6:$E$718,"&gt;0")&gt;0,1,0)</ns0:f>
        <ns0:v>2</ns0:v>
      </ns0:c>
      <ns0:c r="BB58" s="149" t="n">
        <ns0:f>SUMIFS('装量配置'!$E$6:$E$718,'装量配置'!$A$6:$A$718,A58,'装量配置'!$B$6:$B$718,"开局",'装量配置'!$D$6:$D$718,"数字盖盒")+SUMIFS('装量配置'!$E$6:$E$718,'装量配置'!$A$6:$A$718,A58,'装量配置'!$B$6:$B$718,"开局",'装量配置'!$D$6:$D$718,"普通冰冻盒")+SUMIFS('装量配置'!$E$6:$E$718,'装量配置'!$A$6:$A$718,A58,'装量配置'!$B$6:$B$718,"开局",'装量配置'!$D$6:$D$718,"数字冰冻盒")</ns0:f>
        <ns0:v>1</ns0:v>
      </ns0:c>
      <ns0:c r="BC58" s="149" t="n">
        <ns0:f>SUMIFS('装量配置'!$R$6:$R$718,'装量配置'!$A$6:$A$718,A58,'装量配置'!$B$6:$B$718,"开局")</ns0:f>
        <ns0:v>1</ns0:v>
      </ns0:c>
      <ns0:c r="BD58" s="146" t="str">
        <ns0:v>先归纳推动数字冰冻，再接续单向收纳。</ns0:v>
      </ns0:c>
      <ns0:c r="BE58" s="149" t="n">
        <ns0:v>3</ns0:v>
      </ns0:c>
      <ns0:c r="BF58" s="146" t="str">
        <ns0:v>首归纳及时交付，逐关检查机关参与与补货余量</ns0:v>
      </ns0:c>
    </ns0:row>
    <ns0:row r="59" ht="33" customHeight="1">
      <ns0:c r="A59" s="105" t="n">
        <ns0:v>54</ns0:v>
      </ns0:c>
      <ns0:c r="B59" s="117" t="str">
        <ns0:v>单向收纳与已学机制</ns0:v>
      </ns0:c>
      <ns0:c r="C59" s="126" t="str">
        <ns0:v>缓和巩固</ns0:v>
      </ns0:c>
      <ns0:c r="D59" s="108" t="n">
        <ns0:v>4.8</ns0:v>
      </ns0:c>
      <ns0:c r="E59" s="123" t="str">
        <ns0:v>受限周转与归纳顺序</ns0:v>
      </ns0:c>
      <ns0:c r="F59" s="123" t="str">
        <ns0:v>机关与装量配合</ns0:v>
      </ns0:c>
      <ns0:c r="G59" s="105" t="str">
        <ns0:v>整齐</ns0:v>
      </ns0:c>
      <ns0:c r="H59" s="105" t="n">
        <ns0:v>8</ns0:v>
      </ns0:c>
      <ns0:c r="I59" s="105" t="n">
        <ns0:f>SUMIFS('装量配置'!$E$6:$E$718,'装量配置'!$A$6:$A$718,A59,'装量配置'!$B$6:$B$718,"开局",'装量配置'!$F$6:$F$718,4,'装量配置'!$G$6:$G$718,"&gt;0")</ns0:f>
        <ns0:v>17</ns0:v>
      </ns0:c>
      <ns0:c r="J59" s="105" t="n">
        <ns0:f>SUMIFS('装量配置'!$E$6:$E$718,'装量配置'!$A$6:$A$718,A59,'装量配置'!$B$6:$B$718,"备货")</ns0:f>
        <ns0:v>1</ns0:v>
      </ns0:c>
      <ns0:c r="K59" s="105" t="n">
        <ns0:v>17</ns0:v>
      </ns0:c>
      <ns0:c r="L59" s="105" t="n">
        <ns0:f>SUMIFS('装量配置'!$E$6:$E$718,'装量配置'!$A$6:$A$718,A59,'装量配置'!$B$6:$B$718,"开局",'装量配置'!$F$6:$F$718,4,'装量配置'!$G$6:$G$718,0,'装量配置'!$D$6:$D$718,"&lt;&gt;广告锁定周转盒")</ns0:f>
        <ns0:v>1</ns0:v>
      </ns0:c>
      <ns0:c r="M59" s="105" t="n">
        <ns0:f>SUMIFS('装量配置'!$E$6:$E$718,'装量配置'!$A$6:$A$718,A59,'装量配置'!$B$6:$B$718,"开局",'装量配置'!$F$6:$F$718,1)</ns0:f>
        <ns0:v>0</ns0:v>
      </ns0:c>
      <ns0:c r="N59" s="105" t="n">
        <ns0:f>SUMIFS('装量配置'!$E$6:$E$718,'装量配置'!$A$6:$A$718,A59,'装量配置'!$B$6:$B$718,"开局",'装量配置'!$D$6:$D$718,"广告锁定周转盒")</ns0:f>
        <ns0:v>2</ns0:v>
      </ns0:c>
      <ns0:c r="O59" s="105" t="n">
        <ns0:f>SUMIFS('装量配置'!$E$6:$E$718,'装量配置'!$A$6:$A$718,A59,'装量配置'!$B$6:$B$718,"开局")</ns0:f>
        <ns0:v>20</ns0:v>
      </ns0:c>
      <ns0:c r="P59" s="105" t="n">
        <ns0:f>SUMIFS('装量配置'!$K$6:$K$718,'装量配置'!$A$6:$A$718,A59)</ns0:f>
        <ns0:v>4</ns0:v>
      </ns0:c>
      <ns0:c r="Q59" s="105" t="n">
        <ns0:v>4</ns0:v>
      </ns0:c>
      <ns0:c r="R59" s="106" t="n">
        <ns0:v>0</ns0:v>
      </ns0:c>
      <ns0:c r="S59" s="106" t="n">
        <ns0:v>0.12</ns0:v>
      </ns0:c>
      <ns0:c r="T59" s="105" t="n">
        <ns0:v>3</ns0:v>
      </ns0:c>
      <ns0:c r="U59" s="105" t="n">
        <ns0:v>3</ns0:v>
      </ns0:c>
      <ns0:c r="V59" s="123" t="str">
        <ns0:v>数字冰冻盒</ns0:v>
      </ns0:c>
      <ns0:c r="W59" s="123"/>
      <ns0:c r="X59" s="123" t="str">
        <ns0:v>数字冰冻盒×2</ns0:v>
      </ns0:c>
      <ns0:c r="Y59" s="105" t="n">
        <ns0:f>SUMIFS('装量配置'!$I$6:$I$718,'装量配置'!$A$6:$A$718,A59)</ns0:f>
        <ns0:v>68</ns0:v>
      </ns0:c>
      <ns0:c r="Z59" s="105" t="str">
        <ns0:f>IF(AND(O59&lt;=25,N59=2,Y59=K59*4,H59&lt;=K59,P59+AT59&gt;=4,COUNTIFS('装量配置'!$A$6:$A$718,A59,'装量配置'!$O$6:$O$718,"需调整")=0),"装量通过；待逐味","需调整")</ns0:f>
        <ns0:v>装量通过；待逐味</ns0:v>
      </ns0:c>
      <ns0:c r="AA59" s="107" t="str">
        <ns0:v>四条件可行路线已保存（非最短解）</ns0:v>
      </ns0:c>
      <ns0:c r="AB59" s="107"/>
      <ns0:c r="AC59" s="107"/>
      <ns0:c r="AD59" s="106" t="n">
        <ns0:v>0.52</ns0:v>
      </ns0:c>
      <ns0:c r="AE59" s="108" t="n">
        <ns0:v>6.5</ns0:v>
      </ns0:c>
      <ns0:c r="AF59" s="109"/>
      <ns0:c r="AG59" s="109"/>
      <ns0:c r="AH59" s="110"/>
      <ns0:c r="AI59" s="131" t="str">
        <ns0:v>固定层序；待连续真人试玩</ns0:v>
      </ns0:c>
      <ns0:c r="AJ59" s="123" t="str">
        <ns0:v>双数字冰冻逐只解开，一次补货；留普通空盒缓和。</ns0:v>
      </ns0:c>
      <ns0:c r="AK59" s="123" t="str">
        <ns0:v>连续居中，按盒数分排</ns0:v>
      </ns0:c>
      <ns0:c r="AL59" s="105" t="n">
        <ns0:v>1</ns0:v>
      </ns0:c>
      <ns0:c r="AM59" s="106" t="n">
        <ns0:v>0.78</ns0:v>
      </ns0:c>
      <ns0:c r="AN59" s="107"/>
      <ns0:c r="AO59" s="110"/>
      <ns0:c r="AP59" s="123" t="str">
        <ns0:v>双锁／单开A／单开B／双开完整回放</ns0:v>
      </ns0:c>
      <ns0:c r="AQ59" s="107"/>
      <ns0:c r="AR59" s="121" t="n">
        <ns0:f>SUMIFS('装量配置'!$I$6:$I$718,'装量配置'!$A$6:$A$718,A59,'装量配置'!$B$6:$B$718,"开局")</ns0:f>
        <ns0:v>64</ns0:v>
      </ns0:c>
      <ns0:c r="AS59" s="133" t="n">
        <ns0:f>SUMIFS('装量配置'!$I$6:$I$718,'装量配置'!$A$6:$A$718,A59,'装量配置'!$B$6:$B$718,"开局",'装量配置'!$D$6:$D$718,"普通盒",'装量配置'!$G$6:$G$718,"&gt;0")/(4*SUMIFS('装量配置'!$E$6:$E$718,'装量配置'!$A$6:$A$718,A59,'装量配置'!$B$6:$B$718,"开局",'装量配置'!$D$6:$D$718,"普通盒",'装量配置'!$G$6:$G$718,"&gt;0"))</ns0:f>
        <ns0:v>0.9333333333333333</ns0:v>
      </ns0:c>
      <ns0:c r="AT59" s="121" t="n">
        <ns0:f>SUMIFS('装量配置'!$L$6:$L$718,'装量配置'!$A$6:$A$718,A59)</ns0:f>
        <ns0:v>4</ns0:v>
      </ns0:c>
      <ns0:c r="AU59" s="121" t="n">
        <ns0:f>SUMIFS('装量配置'!$M$6:$M$718,'装量配置'!$A$6:$A$718,A59)</ns0:f>
        <ns0:v>0</ns0:v>
      </ns0:c>
      <ns0:c r="AV59" s="121" t="n">
        <ns0:f>SUMIFS('装量配置'!$N$6:$N$718,'装量配置'!$A$6:$A$718,A59)</ns0:f>
        <ns0:v>0</ns0:v>
      </ns0:c>
      <ns0:c r="AW59" s="133" t="n">
        <ns0:v>0.18</ns0:v>
      </ns0:c>
      <ns0:c r="AX59" s="121" t="n">
        <ns0:v>4</ns0:v>
      </ns0:c>
      <ns0:c r="AY59" s="121" t="n">
        <ns0:f>IF(AX59=1,1,0)</ns0:f>
        <ns0:v>0</ns0:v>
      </ns0:c>
      <ns0:c r="AZ59" s="121" t="n">
        <ns0:f>SUMIFS('装量配置'!$E$6:$E$718,'装量配置'!$A$6:$A$718,A59,'装量配置'!$B$6:$B$718,"开局",'装量配置'!$D$6:$D$718,"&lt;&gt;普通盒",'装量配置'!$D$6:$D$718,"&lt;&gt;广告锁定周转盒")</ns0:f>
        <ns0:v>2</ns0:v>
      </ns0:c>
      <ns0:c r="BA59" s="150" t="n">
        <ns0:f>IF(COUNTIFS('装量配置'!$A$6:$A$718,A59,'装量配置'!$B$6:$B$718,"开局",'装量配置'!$D$6:$D$718,"数字盖盒",'装量配置'!$E$6:$E$718,"&gt;0")&gt;0,1,0)+IF(COUNTIFS('装量配置'!$A$6:$A$718,A59,'装量配置'!$B$6:$B$718,"开局",'装量配置'!$D$6:$D$718,"普通冰冻盒",'装量配置'!$E$6:$E$718,"&gt;0")&gt;0,1,0)+IF(COUNTIFS('装量配置'!$A$6:$A$718,A59,'装量配置'!$B$6:$B$718,"开局",'装量配置'!$D$6:$D$718,"单颗暂存盒",'装量配置'!$E$6:$E$718,"&gt;0")&gt;0,1,0)+IF(COUNTIFS('装量配置'!$A$6:$A$718,A59,'装量配置'!$B$6:$B$718,"开局",'装量配置'!$D$6:$D$718,"数字冰冻盒",'装量配置'!$E$6:$E$718,"&gt;0")&gt;0,1,0)+IF(COUNTIFS('装量配置'!$A$6:$A$718,A59,'装量配置'!$B$6:$B$718,"开局",'装量配置'!$D$6:$D$718,"固定颜色盒",'装量配置'!$E$6:$E$718,"&gt;0")&gt;0,1,0)+IF(COUNTIFS('装量配置'!$A$6:$A$718,A59,'装量配置'!$B$6:$B$718,"开局",'装量配置'!$D$6:$D$718,"单向收纳盒",'装量配置'!$E$6:$E$718,"&gt;0")&gt;0,1,0)+IF(COUNTIFS('装量配置'!$A$6:$A$718,A59,'装量配置'!$B$6:$B$718,"开局",'装量配置'!$D$6:$D$718,"底部置顶盒",'装量配置'!$E$6:$E$718,"&gt;0")&gt;0,1,0)+IF(COUNTIFS('装量配置'!$A$6:$A$718,A59,'装量配置'!$B$6:$B$718,"开局",'装量配置'!$D$6:$D$718,"炸弹盒",'装量配置'!$E$6:$E$718,"&gt;0")&gt;0,1,0)</ns0:f>
        <ns0:v>1</ns0:v>
      </ns0:c>
      <ns0:c r="BB59" s="150" t="n">
        <ns0:f>SUMIFS('装量配置'!$E$6:$E$718,'装量配置'!$A$6:$A$718,A59,'装量配置'!$B$6:$B$718,"开局",'装量配置'!$D$6:$D$718,"数字盖盒")+SUMIFS('装量配置'!$E$6:$E$718,'装量配置'!$A$6:$A$718,A59,'装量配置'!$B$6:$B$718,"开局",'装量配置'!$D$6:$D$718,"普通冰冻盒")+SUMIFS('装量配置'!$E$6:$E$718,'装量配置'!$A$6:$A$718,A59,'装量配置'!$B$6:$B$718,"开局",'装量配置'!$D$6:$D$718,"数字冰冻盒")</ns0:f>
        <ns0:v>2</ns0:v>
      </ns0:c>
      <ns0:c r="BC59" s="150" t="n">
        <ns0:f>SUMIFS('装量配置'!$R$6:$R$718,'装量配置'!$A$6:$A$718,A59,'装量配置'!$B$6:$B$718,"开局")</ns0:f>
        <ns0:v>2</ns0:v>
      </ns0:c>
      <ns0:c r="BD59" s="148" t="str">
        <ns0:v>双数字冰冻逐只解开，一次补货；留普通空盒缓和。</ns0:v>
      </ns0:c>
      <ns0:c r="BE59" s="150" t="n">
        <ns0:v>2</ns0:v>
      </ns0:c>
      <ns0:c r="BF59" s="148" t="str">
        <ns0:v>首归纳及时交付，逐关检查机关参与与补货余量</ns0:v>
      </ns0:c>
    </ns0:row>
    <ns0:row r="60" ht="33" customHeight="1">
      <ns0:c r="A60" s="112" t="n">
        <ns0:v>55</ns0:v>
      </ns0:c>
      <ns0:c r="B60" s="119" t="str">
        <ns0:v>单向收纳与已学机制</ns0:v>
      </ns0:c>
      <ns0:c r="C60" s="127" t="str">
        <ns0:v>机制组合</ns0:v>
      </ns0:c>
      <ns0:c r="D60" s="114" t="n">
        <ns0:v>4.9</ns0:v>
      </ns0:c>
      <ns0:c r="E60" s="124" t="str">
        <ns0:v>受限周转与归纳顺序</ns0:v>
      </ns0:c>
      <ns0:c r="F60" s="124" t="str">
        <ns0:v>机关与装量配合</ns0:v>
      </ns0:c>
      <ns0:c r="G60" s="112" t="str">
        <ns0:v>错落</ns0:v>
      </ns0:c>
      <ns0:c r="H60" s="112" t="n">
        <ns0:v>8</ns0:v>
      </ns0:c>
      <ns0:c r="I60" s="112" t="n">
        <ns0:f>SUMIFS('装量配置'!$E$6:$E$718,'装量配置'!$A$6:$A$718,A60,'装量配置'!$B$6:$B$718,"开局",'装量配置'!$F$6:$F$718,4,'装量配置'!$G$6:$G$718,"&gt;0")</ns0:f>
        <ns0:v>19</ns0:v>
      </ns0:c>
      <ns0:c r="J60" s="112" t="n">
        <ns0:f>SUMIFS('装量配置'!$E$6:$E$718,'装量配置'!$A$6:$A$718,A60,'装量配置'!$B$6:$B$718,"备货")</ns0:f>
        <ns0:v>0</ns0:v>
      </ns0:c>
      <ns0:c r="K60" s="112" t="n">
        <ns0:v>17</ns0:v>
      </ns0:c>
      <ns0:c r="L60" s="112" t="n">
        <ns0:f>SUMIFS('装量配置'!$E$6:$E$718,'装量配置'!$A$6:$A$718,A60,'装量配置'!$B$6:$B$718,"开局",'装量配置'!$F$6:$F$718,4,'装量配置'!$G$6:$G$718,0,'装量配置'!$D$6:$D$718,"&lt;&gt;广告锁定周转盒")</ns0:f>
        <ns0:v>0</ns0:v>
      </ns0:c>
      <ns0:c r="M60" s="112" t="n">
        <ns0:f>SUMIFS('装量配置'!$E$6:$E$718,'装量配置'!$A$6:$A$718,A60,'装量配置'!$B$6:$B$718,"开局",'装量配置'!$F$6:$F$718,1)</ns0:f>
        <ns0:v>0</ns0:v>
      </ns0:c>
      <ns0:c r="N60" s="112" t="n">
        <ns0:f>SUMIFS('装量配置'!$E$6:$E$718,'装量配置'!$A$6:$A$718,A60,'装量配置'!$B$6:$B$718,"开局",'装量配置'!$D$6:$D$718,"广告锁定周转盒")</ns0:f>
        <ns0:v>2</ns0:v>
      </ns0:c>
      <ns0:c r="O60" s="112" t="n">
        <ns0:f>SUMIFS('装量配置'!$E$6:$E$718,'装量配置'!$A$6:$A$718,A60,'装量配置'!$B$6:$B$718,"开局")</ns0:f>
        <ns0:v>21</ns0:v>
      </ns0:c>
      <ns0:c r="P60" s="112" t="n">
        <ns0:f>SUMIFS('装量配置'!$K$6:$K$718,'装量配置'!$A$6:$A$718,A60)</ns0:f>
        <ns0:v>0</ns0:v>
      </ns0:c>
      <ns0:c r="Q60" s="112" t="n">
        <ns0:v>4</ns0:v>
      </ns0:c>
      <ns0:c r="R60" s="113" t="n">
        <ns0:v>0.04411764705882353</ns0:v>
      </ns0:c>
      <ns0:c r="S60" s="113" t="n">
        <ns0:v>0.12</ns0:v>
      </ns0:c>
      <ns0:c r="T60" s="112" t="n">
        <ns0:v>4</ns0:v>
      </ns0:c>
      <ns0:c r="U60" s="112" t="n">
        <ns0:v>0</ns0:v>
      </ns0:c>
      <ns0:c r="V60" s="124" t="str">
        <ns0:v>单向收纳盒</ns0:v>
      </ns0:c>
      <ns0:c r="W60" s="124"/>
      <ns0:c r="X60" s="124" t="str">
        <ns0:v>单向收纳盒×1</ns0:v>
      </ns0:c>
      <ns0:c r="Y60" s="112" t="n">
        <ns0:f>SUMIFS('装量配置'!$I$6:$I$718,'装量配置'!$A$6:$A$718,A60)</ns0:f>
        <ns0:v>68</ns0:v>
      </ns0:c>
      <ns0:c r="Z60" s="112" t="str">
        <ns0:f>IF(AND(O60&lt;=25,N60=2,Y60=K60*4,H60&lt;=K60,P60+AT60&gt;=4,COUNTIFS('装量配置'!$A$6:$A$718,A60,'装量配置'!$O$6:$O$718,"需调整")=0),"装量通过；待逐味","需调整")</ns0:f>
        <ns0:v>装量通过；待逐味</ns0:v>
      </ns0:c>
      <ns0:c r="AA60" s="107" t="str">
        <ns0:v>四条件可行路线已保存（非最短解）</ns0:v>
      </ns0:c>
      <ns0:c r="AB60" s="107"/>
      <ns0:c r="AC60" s="107"/>
      <ns0:c r="AD60" s="113" t="n">
        <ns0:v>0.44</ns0:v>
      </ns0:c>
      <ns0:c r="AE60" s="114" t="n">
        <ns0:v>6.5</ns0:v>
      </ns0:c>
      <ns0:c r="AF60" s="109"/>
      <ns0:c r="AG60" s="109"/>
      <ns0:c r="AH60" s="110"/>
      <ns0:c r="AI60" s="131" t="str">
        <ns0:v>固定层序；待连续真人试玩</ns0:v>
      </ns0:c>
      <ns0:c r="AJ60" s="124" t="str">
        <ns0:v>下层隐藏只在普通满盒；先揭示，再决定单向盒投入。</ns0:v>
      </ns0:c>
      <ns0:c r="AK60" s="124" t="str">
        <ns0:v>连续居中，按盒数分排</ns0:v>
      </ns0:c>
      <ns0:c r="AL60" s="112" t="n">
        <ns0:v>1</ns0:v>
      </ns0:c>
      <ns0:c r="AM60" s="113" t="n">
        <ns0:v>0.78</ns0:v>
      </ns0:c>
      <ns0:c r="AN60" s="112"/>
      <ns0:c r="AO60" s="113"/>
      <ns0:c r="AP60" s="124" t="str">
        <ns0:v>双锁／单开A／单开B／双开完整回放</ns0:v>
      </ns0:c>
      <ns0:c r="AQ60" s="107"/>
      <ns0:c r="AR60" s="120" t="n">
        <ns0:f>SUMIFS('装量配置'!$I$6:$I$718,'装量配置'!$A$6:$A$718,A60,'装量配置'!$B$6:$B$718,"开局")</ns0:f>
        <ns0:v>68</ns0:v>
      </ns0:c>
      <ns0:c r="AS60" s="132" t="n">
        <ns0:f>SUMIFS('装量配置'!$I$6:$I$718,'装量配置'!$A$6:$A$718,A60,'装量配置'!$B$6:$B$718,"开局",'装量配置'!$D$6:$D$718,"普通盒",'装量配置'!$G$6:$G$718,"&gt;0")/(4*SUMIFS('装量配置'!$E$6:$E$718,'装量配置'!$A$6:$A$718,A60,'装量配置'!$B$6:$B$718,"开局",'装量配置'!$D$6:$D$718,"普通盒",'装量配置'!$G$6:$G$718,"&gt;0"))</ns0:f>
        <ns0:v>0.9305555555555556</ns0:v>
      </ns0:c>
      <ns0:c r="AT60" s="120" t="n">
        <ns0:f>SUMIFS('装量配置'!$L$6:$L$718,'装量配置'!$A$6:$A$718,A60)</ns0:f>
        <ns0:v>5</ns0:v>
      </ns0:c>
      <ns0:c r="AU60" s="120" t="n">
        <ns0:f>SUMIFS('装量配置'!$M$6:$M$718,'装量配置'!$A$6:$A$718,A60)</ns0:f>
        <ns0:v>3</ns0:v>
      </ns0:c>
      <ns0:c r="AV60" s="120" t="n">
        <ns0:f>SUMIFS('装量配置'!$N$6:$N$718,'装量配置'!$A$6:$A$718,A60)</ns0:f>
        <ns0:v>0</ns0:v>
      </ns0:c>
      <ns0:c r="AW60" s="132" t="n">
        <ns0:v>0.18</ns0:v>
      </ns0:c>
      <ns0:c r="AX60" s="120" t="n">
        <ns0:v>5</ns0:v>
      </ns0:c>
      <ns0:c r="AY60" s="120" t="n">
        <ns0:f>IF(AX60=1,1,0)</ns0:f>
        <ns0:v>0</ns0:v>
      </ns0:c>
      <ns0:c r="AZ60" s="120" t="n">
        <ns0:f>SUMIFS('装量配置'!$E$6:$E$718,'装量配置'!$A$6:$A$718,A60,'装量配置'!$B$6:$B$718,"开局",'装量配置'!$D$6:$D$718,"&lt;&gt;普通盒",'装量配置'!$D$6:$D$718,"&lt;&gt;广告锁定周转盒")</ns0:f>
        <ns0:v>1</ns0:v>
      </ns0:c>
      <ns0:c r="BA60" s="149" t="n">
        <ns0:f>IF(COUNTIFS('装量配置'!$A$6:$A$718,A60,'装量配置'!$B$6:$B$718,"开局",'装量配置'!$D$6:$D$718,"数字盖盒",'装量配置'!$E$6:$E$718,"&gt;0")&gt;0,1,0)+IF(COUNTIFS('装量配置'!$A$6:$A$718,A60,'装量配置'!$B$6:$B$718,"开局",'装量配置'!$D$6:$D$718,"普通冰冻盒",'装量配置'!$E$6:$E$718,"&gt;0")&gt;0,1,0)+IF(COUNTIFS('装量配置'!$A$6:$A$718,A60,'装量配置'!$B$6:$B$718,"开局",'装量配置'!$D$6:$D$718,"单颗暂存盒",'装量配置'!$E$6:$E$718,"&gt;0")&gt;0,1,0)+IF(COUNTIFS('装量配置'!$A$6:$A$718,A60,'装量配置'!$B$6:$B$718,"开局",'装量配置'!$D$6:$D$718,"数字冰冻盒",'装量配置'!$E$6:$E$718,"&gt;0")&gt;0,1,0)+IF(COUNTIFS('装量配置'!$A$6:$A$718,A60,'装量配置'!$B$6:$B$718,"开局",'装量配置'!$D$6:$D$718,"固定颜色盒",'装量配置'!$E$6:$E$718,"&gt;0")&gt;0,1,0)+IF(COUNTIFS('装量配置'!$A$6:$A$718,A60,'装量配置'!$B$6:$B$718,"开局",'装量配置'!$D$6:$D$718,"单向收纳盒",'装量配置'!$E$6:$E$718,"&gt;0")&gt;0,1,0)+IF(COUNTIFS('装量配置'!$A$6:$A$718,A60,'装量配置'!$B$6:$B$718,"开局",'装量配置'!$D$6:$D$718,"底部置顶盒",'装量配置'!$E$6:$E$718,"&gt;0")&gt;0,1,0)+IF(COUNTIFS('装量配置'!$A$6:$A$718,A60,'装量配置'!$B$6:$B$718,"开局",'装量配置'!$D$6:$D$718,"炸弹盒",'装量配置'!$E$6:$E$718,"&gt;0")&gt;0,1,0)</ns0:f>
        <ns0:v>1</ns0:v>
      </ns0:c>
      <ns0:c r="BB60" s="149" t="n">
        <ns0:f>SUMIFS('装量配置'!$E$6:$E$718,'装量配置'!$A$6:$A$718,A60,'装量配置'!$B$6:$B$718,"开局",'装量配置'!$D$6:$D$718,"数字盖盒")+SUMIFS('装量配置'!$E$6:$E$718,'装量配置'!$A$6:$A$718,A60,'装量配置'!$B$6:$B$718,"开局",'装量配置'!$D$6:$D$718,"普通冰冻盒")+SUMIFS('装量配置'!$E$6:$E$718,'装量配置'!$A$6:$A$718,A60,'装量配置'!$B$6:$B$718,"开局",'装量配置'!$D$6:$D$718,"数字冰冻盒")</ns0:f>
        <ns0:v>0</ns0:v>
      </ns0:c>
      <ns0:c r="BC60" s="149" t="n">
        <ns0:f>SUMIFS('装量配置'!$R$6:$R$718,'装量配置'!$A$6:$A$718,A60,'装量配置'!$B$6:$B$718,"开局")</ns0:f>
        <ns0:v>0</ns0:v>
      </ns0:c>
      <ns0:c r="BD60" s="146" t="str">
        <ns0:v>下层隐藏只在普通满盒；先揭示，再决定单向盒投入。</ns0:v>
      </ns0:c>
      <ns0:c r="BE60" s="149" t="n">
        <ns0:v>3</ns0:v>
      </ns0:c>
      <ns0:c r="BF60" s="146" t="str">
        <ns0:v>首归纳及时交付，逐关检查机关参与与补货余量</ns0:v>
      </ns0:c>
    </ns0:row>
    <ns0:row r="61" ht="33" customHeight="1">
      <ns0:c r="A61" s="105" t="n">
        <ns0:v>56</ns0:v>
      </ns0:c>
      <ns0:c r="B61" s="117" t="str">
        <ns0:v>单向收纳与已学机制</ns0:v>
      </ns0:c>
      <ns0:c r="C61" s="126" t="str">
        <ns0:v>机制组合</ns0:v>
      </ns0:c>
      <ns0:c r="D61" s="108" t="n">
        <ns0:v>4.9</ns0:v>
      </ns0:c>
      <ns0:c r="E61" s="123" t="str">
        <ns0:v>受限周转与归纳顺序</ns0:v>
      </ns0:c>
      <ns0:c r="F61" s="123" t="str">
        <ns0:v>机关与装量配合</ns0:v>
      </ns0:c>
      <ns0:c r="G61" s="105" t="str">
        <ns0:v>错落</ns0:v>
      </ns0:c>
      <ns0:c r="H61" s="105" t="n">
        <ns0:v>8</ns0:v>
      </ns0:c>
      <ns0:c r="I61" s="105" t="n">
        <ns0:f>SUMIFS('装量配置'!$E$6:$E$718,'装量配置'!$A$6:$A$718,A61,'装量配置'!$B$6:$B$718,"开局",'装量配置'!$F$6:$F$718,4,'装量配置'!$G$6:$G$718,"&gt;0")</ns0:f>
        <ns0:v>17</ns0:v>
      </ns0:c>
      <ns0:c r="J61" s="105" t="n">
        <ns0:f>SUMIFS('装量配置'!$E$6:$E$718,'装量配置'!$A$6:$A$718,A61,'装量配置'!$B$6:$B$718,"备货")</ns0:f>
        <ns0:v>2</ns0:v>
      </ns0:c>
      <ns0:c r="K61" s="105" t="n">
        <ns0:v>19</ns0:v>
      </ns0:c>
      <ns0:c r="L61" s="105" t="n">
        <ns0:f>SUMIFS('装量配置'!$E$6:$E$718,'装量配置'!$A$6:$A$718,A61,'装量配置'!$B$6:$B$718,"开局",'装量配置'!$F$6:$F$718,4,'装量配置'!$G$6:$G$718,0,'装量配置'!$D$6:$D$718,"&lt;&gt;广告锁定周转盒")</ns0:f>
        <ns0:v>2</ns0:v>
      </ns0:c>
      <ns0:c r="M61" s="105" t="n">
        <ns0:f>SUMIFS('装量配置'!$E$6:$E$718,'装量配置'!$A$6:$A$718,A61,'装量配置'!$B$6:$B$718,"开局",'装量配置'!$F$6:$F$718,1)</ns0:f>
        <ns0:v>0</ns0:v>
      </ns0:c>
      <ns0:c r="N61" s="105" t="n">
        <ns0:f>SUMIFS('装量配置'!$E$6:$E$718,'装量配置'!$A$6:$A$718,A61,'装量配置'!$B$6:$B$718,"开局",'装量配置'!$D$6:$D$718,"广告锁定周转盒")</ns0:f>
        <ns0:v>2</ns0:v>
      </ns0:c>
      <ns0:c r="O61" s="105" t="n">
        <ns0:f>SUMIFS('装量配置'!$E$6:$E$718,'装量配置'!$A$6:$A$718,A61,'装量配置'!$B$6:$B$718,"开局")</ns0:f>
        <ns0:v>21</ns0:v>
      </ns0:c>
      <ns0:c r="P61" s="105" t="n">
        <ns0:f>SUMIFS('装量配置'!$K$6:$K$718,'装量配置'!$A$6:$A$718,A61)</ns0:f>
        <ns0:v>4</ns0:v>
      </ns0:c>
      <ns0:c r="Q61" s="105" t="n">
        <ns0:v>4</ns0:v>
      </ns0:c>
      <ns0:c r="R61" s="106" t="n">
        <ns0:v>0</ns0:v>
      </ns0:c>
      <ns0:c r="S61" s="106" t="n">
        <ns0:v>0.12</ns0:v>
      </ns0:c>
      <ns0:c r="T61" s="105" t="n">
        <ns0:v>4</ns0:v>
      </ns0:c>
      <ns0:c r="U61" s="105" t="n">
        <ns0:v>3</ns0:v>
      </ns0:c>
      <ns0:c r="V61" s="123" t="str">
        <ns0:v>单向收纳盒</ns0:v>
      </ns0:c>
      <ns0:c r="W61" s="123" t="str">
        <ns0:v>普通冰冻盒</ns0:v>
      </ns0:c>
      <ns0:c r="X61" s="123" t="str">
        <ns0:v>普通冰冻盒×2；单向收纳盒×1</ns0:v>
      </ns0:c>
      <ns0:c r="Y61" s="105" t="n">
        <ns0:f>SUMIFS('装量配置'!$I$6:$I$718,'装量配置'!$A$6:$A$718,A61)</ns0:f>
        <ns0:v>76</ns0:v>
      </ns0:c>
      <ns0:c r="Z61" s="105" t="str">
        <ns0:f>IF(AND(O61&lt;=25,N61=2,Y61=K61*4,H61&lt;=K61,P61+AT61&gt;=4,COUNTIFS('装量配置'!$A$6:$A$718,A61,'装量配置'!$O$6:$O$718,"需调整")=0),"装量通过；待逐味","需调整")</ns0:f>
        <ns0:v>装量通过；待逐味</ns0:v>
      </ns0:c>
      <ns0:c r="AA61" s="107" t="str">
        <ns0:v>四条件可行路线已保存（非最短解）</ns0:v>
      </ns0:c>
      <ns0:c r="AB61" s="107"/>
      <ns0:c r="AC61" s="107"/>
      <ns0:c r="AD61" s="106" t="n">
        <ns0:v>0.43</ns0:v>
      </ns0:c>
      <ns0:c r="AE61" s="108" t="n">
        <ns0:v>6.5</ns0:v>
      </ns0:c>
      <ns0:c r="AF61" s="109"/>
      <ns0:c r="AG61" s="109"/>
      <ns0:c r="AH61" s="110"/>
      <ns0:c r="AI61" s="131" t="str">
        <ns0:v>固定层序；待连续真人试玩</ns0:v>
      </ns0:c>
      <ns0:c r="AJ61" s="123" t="str">
        <ns0:v>单向归纳与真实回收配合普通冰冻；两次补货分开入场。</ns0:v>
      </ns0:c>
      <ns0:c r="AK61" s="123" t="str">
        <ns0:v>连续居中，按盒数分排</ns0:v>
      </ns0:c>
      <ns0:c r="AL61" s="105" t="n">
        <ns0:v>1</ns0:v>
      </ns0:c>
      <ns0:c r="AM61" s="106" t="n">
        <ns0:v>0.78</ns0:v>
      </ns0:c>
      <ns0:c r="AN61" s="107"/>
      <ns0:c r="AO61" s="110"/>
      <ns0:c r="AP61" s="123" t="str">
        <ns0:v>双锁／单开A／单开B／双开完整回放</ns0:v>
      </ns0:c>
      <ns0:c r="AQ61" s="107"/>
      <ns0:c r="AR61" s="121" t="n">
        <ns0:f>SUMIFS('装量配置'!$I$6:$I$718,'装量配置'!$A$6:$A$718,A61,'装量配置'!$B$6:$B$718,"开局")</ns0:f>
        <ns0:v>68</ns0:v>
      </ns0:c>
      <ns0:c r="AS61" s="133" t="n">
        <ns0:f>SUMIFS('装量配置'!$I$6:$I$718,'装量配置'!$A$6:$A$718,A61,'装量配置'!$B$6:$B$718,"开局",'装量配置'!$D$6:$D$718,"普通盒",'装量配置'!$G$6:$G$718,"&gt;0")/(4*SUMIFS('装量配置'!$E$6:$E$718,'装量配置'!$A$6:$A$718,A61,'装量配置'!$B$6:$B$718,"开局",'装量配置'!$D$6:$D$718,"普通盒",'装量配置'!$G$6:$G$718,"&gt;0"))</ns0:f>
        <ns0:v>1</ns0:v>
      </ns0:c>
      <ns0:c r="AT61" s="121" t="n">
        <ns0:f>SUMIFS('装量配置'!$L$6:$L$718,'装量配置'!$A$6:$A$718,A61)</ns0:f>
        <ns0:v>0</ns0:v>
      </ns0:c>
      <ns0:c r="AU61" s="121" t="n">
        <ns0:f>SUMIFS('装量配置'!$M$6:$M$718,'装量配置'!$A$6:$A$718,A61)</ns0:f>
        <ns0:v>4</ns0:v>
      </ns0:c>
      <ns0:c r="AV61" s="121" t="n">
        <ns0:f>SUMIFS('装量配置'!$N$6:$N$718,'装量配置'!$A$6:$A$718,A61)</ns0:f>
        <ns0:v>0</ns0:v>
      </ns0:c>
      <ns0:c r="AW61" s="133" t="n">
        <ns0:v>0.18</ns0:v>
      </ns0:c>
      <ns0:c r="AX61" s="121" t="n">
        <ns0:v>5</ns0:v>
      </ns0:c>
      <ns0:c r="AY61" s="121" t="n">
        <ns0:f>IF(AX61=1,1,0)</ns0:f>
        <ns0:v>0</ns0:v>
      </ns0:c>
      <ns0:c r="AZ61" s="121" t="n">
        <ns0:f>SUMIFS('装量配置'!$E$6:$E$718,'装量配置'!$A$6:$A$718,A61,'装量配置'!$B$6:$B$718,"开局",'装量配置'!$D$6:$D$718,"&lt;&gt;普通盒",'装量配置'!$D$6:$D$718,"&lt;&gt;广告锁定周转盒")</ns0:f>
        <ns0:v>3</ns0:v>
      </ns0:c>
      <ns0:c r="BA61" s="150" t="n">
        <ns0:f>IF(COUNTIFS('装量配置'!$A$6:$A$718,A61,'装量配置'!$B$6:$B$718,"开局",'装量配置'!$D$6:$D$718,"数字盖盒",'装量配置'!$E$6:$E$718,"&gt;0")&gt;0,1,0)+IF(COUNTIFS('装量配置'!$A$6:$A$718,A61,'装量配置'!$B$6:$B$718,"开局",'装量配置'!$D$6:$D$718,"普通冰冻盒",'装量配置'!$E$6:$E$718,"&gt;0")&gt;0,1,0)+IF(COUNTIFS('装量配置'!$A$6:$A$718,A61,'装量配置'!$B$6:$B$718,"开局",'装量配置'!$D$6:$D$718,"单颗暂存盒",'装量配置'!$E$6:$E$718,"&gt;0")&gt;0,1,0)+IF(COUNTIFS('装量配置'!$A$6:$A$718,A61,'装量配置'!$B$6:$B$718,"开局",'装量配置'!$D$6:$D$718,"数字冰冻盒",'装量配置'!$E$6:$E$718,"&gt;0")&gt;0,1,0)+IF(COUNTIFS('装量配置'!$A$6:$A$718,A61,'装量配置'!$B$6:$B$718,"开局",'装量配置'!$D$6:$D$718,"固定颜色盒",'装量配置'!$E$6:$E$718,"&gt;0")&gt;0,1,0)+IF(COUNTIFS('装量配置'!$A$6:$A$718,A61,'装量配置'!$B$6:$B$718,"开局",'装量配置'!$D$6:$D$718,"单向收纳盒",'装量配置'!$E$6:$E$718,"&gt;0")&gt;0,1,0)+IF(COUNTIFS('装量配置'!$A$6:$A$718,A61,'装量配置'!$B$6:$B$718,"开局",'装量配置'!$D$6:$D$718,"底部置顶盒",'装量配置'!$E$6:$E$718,"&gt;0")&gt;0,1,0)+IF(COUNTIFS('装量配置'!$A$6:$A$718,A61,'装量配置'!$B$6:$B$718,"开局",'装量配置'!$D$6:$D$718,"炸弹盒",'装量配置'!$E$6:$E$718,"&gt;0")&gt;0,1,0)</ns0:f>
        <ns0:v>2</ns0:v>
      </ns0:c>
      <ns0:c r="BB61" s="150" t="n">
        <ns0:f>SUMIFS('装量配置'!$E$6:$E$718,'装量配置'!$A$6:$A$718,A61,'装量配置'!$B$6:$B$718,"开局",'装量配置'!$D$6:$D$718,"数字盖盒")+SUMIFS('装量配置'!$E$6:$E$718,'装量配置'!$A$6:$A$718,A61,'装量配置'!$B$6:$B$718,"开局",'装量配置'!$D$6:$D$718,"普通冰冻盒")+SUMIFS('装量配置'!$E$6:$E$718,'装量配置'!$A$6:$A$718,A61,'装量配置'!$B$6:$B$718,"开局",'装量配置'!$D$6:$D$718,"数字冰冻盒")</ns0:f>
        <ns0:v>2</ns0:v>
      </ns0:c>
      <ns0:c r="BC61" s="150" t="n">
        <ns0:f>SUMIFS('装量配置'!$R$6:$R$718,'装量配置'!$A$6:$A$718,A61,'装量配置'!$B$6:$B$718,"开局")</ns0:f>
        <ns0:v>0</ns0:v>
      </ns0:c>
      <ns0:c r="BD61" s="148" t="str">
        <ns0:v>单向归纳与真实回收配合普通冰冻；两次补货分开入场。</ns0:v>
      </ns0:c>
      <ns0:c r="BE61" s="150" t="n">
        <ns0:v>3</ns0:v>
      </ns0:c>
      <ns0:c r="BF61" s="148" t="str">
        <ns0:v>首归纳及时交付，逐关检查机关参与与补货余量</ns0:v>
      </ns0:c>
    </ns0:row>
    <ns0:row r="62" ht="33" customHeight="1">
      <ns0:c r="A62" s="112" t="n">
        <ns0:v>57</ns0:v>
      </ns0:c>
      <ns0:c r="B62" s="119" t="str">
        <ns0:v>单向收纳与已学机制</ns0:v>
      </ns0:c>
      <ns0:c r="C62" s="127" t="str">
        <ns0:v>缓和巩固</ns0:v>
      </ns0:c>
      <ns0:c r="D62" s="114" t="n">
        <ns0:v>4.7</ns0:v>
      </ns0:c>
      <ns0:c r="E62" s="124" t="str">
        <ns0:v>受限周转与归纳顺序</ns0:v>
      </ns0:c>
      <ns0:c r="F62" s="124" t="str">
        <ns0:v>机关与装量配合</ns0:v>
      </ns0:c>
      <ns0:c r="G62" s="112" t="str">
        <ns0:v>整齐</ns0:v>
      </ns0:c>
      <ns0:c r="H62" s="112" t="n">
        <ns0:v>8</ns0:v>
      </ns0:c>
      <ns0:c r="I62" s="112" t="n">
        <ns0:f>SUMIFS('装量配置'!$E$6:$E$718,'装量配置'!$A$6:$A$718,A62,'装量配置'!$B$6:$B$718,"开局",'装量配置'!$F$6:$F$718,4,'装量配置'!$G$6:$G$718,"&gt;0")</ns0:f>
        <ns0:v>16</ns0:v>
      </ns0:c>
      <ns0:c r="J62" s="112" t="n">
        <ns0:f>SUMIFS('装量配置'!$E$6:$E$718,'装量配置'!$A$6:$A$718,A62,'装量配置'!$B$6:$B$718,"备货")</ns0:f>
        <ns0:v>0</ns0:v>
      </ns0:c>
      <ns0:c r="K62" s="112" t="n">
        <ns0:v>15</ns0:v>
      </ns0:c>
      <ns0:c r="L62" s="112" t="n">
        <ns0:f>SUMIFS('装量配置'!$E$6:$E$718,'装量配置'!$A$6:$A$718,A62,'装量配置'!$B$6:$B$718,"开局",'装量配置'!$F$6:$F$718,4,'装量配置'!$G$6:$G$718,0,'装量配置'!$D$6:$D$718,"&lt;&gt;广告锁定周转盒")</ns0:f>
        <ns0:v>1</ns0:v>
      </ns0:c>
      <ns0:c r="M62" s="112" t="n">
        <ns0:f>SUMIFS('装量配置'!$E$6:$E$718,'装量配置'!$A$6:$A$718,A62,'装量配置'!$B$6:$B$718,"开局",'装量配置'!$F$6:$F$718,1)</ns0:f>
        <ns0:v>1</ns0:v>
      </ns0:c>
      <ns0:c r="N62" s="112" t="n">
        <ns0:f>SUMIFS('装量配置'!$E$6:$E$718,'装量配置'!$A$6:$A$718,A62,'装量配置'!$B$6:$B$718,"开局",'装量配置'!$D$6:$D$718,"广告锁定周转盒")</ns0:f>
        <ns0:v>2</ns0:v>
      </ns0:c>
      <ns0:c r="O62" s="112" t="n">
        <ns0:f>SUMIFS('装量配置'!$E$6:$E$718,'装量配置'!$A$6:$A$718,A62,'装量配置'!$B$6:$B$718,"开局")</ns0:f>
        <ns0:v>20</ns0:v>
      </ns0:c>
      <ns0:c r="P62" s="112" t="n">
        <ns0:f>SUMIFS('装量配置'!$K$6:$K$718,'装量配置'!$A$6:$A$718,A62)</ns0:f>
        <ns0:v>5</ns0:v>
      </ns0:c>
      <ns0:c r="Q62" s="112" t="n">
        <ns0:v>4</ns0:v>
      </ns0:c>
      <ns0:c r="R62" s="113" t="n">
        <ns0:v>0</ns0:v>
      </ns0:c>
      <ns0:c r="S62" s="113" t="n">
        <ns0:v>0.12</ns0:v>
      </ns0:c>
      <ns0:c r="T62" s="112" t="n">
        <ns0:v>3</ns0:v>
      </ns0:c>
      <ns0:c r="U62" s="112" t="n">
        <ns0:v>0</ns0:v>
      </ns0:c>
      <ns0:c r="V62" s="124" t="str">
        <ns0:v>普通冰冻盒</ns0:v>
      </ns0:c>
      <ns0:c r="W62" s="124" t="str">
        <ns0:v>单颗暂存盒</ns0:v>
      </ns0:c>
      <ns0:c r="X62" s="124" t="str">
        <ns0:v>普通冰冻盒×1；单颗暂存盒×1</ns0:v>
      </ns0:c>
      <ns0:c r="Y62" s="112" t="n">
        <ns0:f>SUMIFS('装量配置'!$I$6:$I$718,'装量配置'!$A$6:$A$718,A62)</ns0:f>
        <ns0:v>60</ns0:v>
      </ns0:c>
      <ns0:c r="Z62" s="112" t="str">
        <ns0:f>IF(AND(O62&lt;=25,N62=2,Y62=K62*4,H62&lt;=K62,P62+AT62&gt;=4,COUNTIFS('装量配置'!$A$6:$A$718,A62,'装量配置'!$O$6:$O$718,"需调整")=0),"装量通过；待逐味","需调整")</ns0:f>
        <ns0:v>装量通过；待逐味</ns0:v>
      </ns0:c>
      <ns0:c r="AA62" s="107" t="str">
        <ns0:v>四条件可行路线已保存（非最短解）</ns0:v>
      </ns0:c>
      <ns0:c r="AB62" s="107"/>
      <ns0:c r="AC62" s="107"/>
      <ns0:c r="AD62" s="113" t="n">
        <ns0:v>0.55</ns0:v>
      </ns0:c>
      <ns0:c r="AE62" s="114" t="n">
        <ns0:v>6.5</ns0:v>
      </ns0:c>
      <ns0:c r="AF62" s="109"/>
      <ns0:c r="AG62" s="109"/>
      <ns0:c r="AH62" s="110"/>
      <ns0:c r="AI62" s="131" t="str">
        <ns0:v>固定层序；待连续真人试玩</ns0:v>
      </ns0:c>
      <ns0:c r="AJ62" s="124" t="str">
        <ns0:v>普通冰冻与单颗暂存复习，无补货和隐藏，降低信息压力。</ns0:v>
      </ns0:c>
      <ns0:c r="AK62" s="124" t="str">
        <ns0:v>连续居中，按盒数分排</ns0:v>
      </ns0:c>
      <ns0:c r="AL62" s="112" t="n">
        <ns0:v>1</ns0:v>
      </ns0:c>
      <ns0:c r="AM62" s="113" t="n">
        <ns0:v>0.78</ns0:v>
      </ns0:c>
      <ns0:c r="AN62" s="112"/>
      <ns0:c r="AO62" s="113"/>
      <ns0:c r="AP62" s="124" t="str">
        <ns0:v>双锁／单开A／单开B／双开完整回放</ns0:v>
      </ns0:c>
      <ns0:c r="AQ62" s="107"/>
      <ns0:c r="AR62" s="120" t="n">
        <ns0:f>SUMIFS('装量配置'!$I$6:$I$718,'装量配置'!$A$6:$A$718,A62,'装量配置'!$B$6:$B$718,"开局")</ns0:f>
        <ns0:v>60</ns0:v>
      </ns0:c>
      <ns0:c r="AS62" s="132" t="n">
        <ns0:f>SUMIFS('装量配置'!$I$6:$I$718,'装量配置'!$A$6:$A$718,A62,'装量配置'!$B$6:$B$718,"开局",'装量配置'!$D$6:$D$718,"普通盒",'装量配置'!$G$6:$G$718,"&gt;0")/(4*SUMIFS('装量配置'!$E$6:$E$718,'装量配置'!$A$6:$A$718,A62,'装量配置'!$B$6:$B$718,"开局",'装量配置'!$D$6:$D$718,"普通盒",'装量配置'!$G$6:$G$718,"&gt;0"))</ns0:f>
        <ns0:v>0.9333333333333333</ns0:v>
      </ns0:c>
      <ns0:c r="AT62" s="120" t="n">
        <ns0:f>SUMIFS('装量配置'!$L$6:$L$718,'装量配置'!$A$6:$A$718,A62)</ns0:f>
        <ns0:v>4</ns0:v>
      </ns0:c>
      <ns0:c r="AU62" s="120" t="n">
        <ns0:f>SUMIFS('装量配置'!$M$6:$M$718,'装量配置'!$A$6:$A$718,A62)</ns0:f>
        <ns0:v>0</ns0:v>
      </ns0:c>
      <ns0:c r="AV62" s="120" t="n">
        <ns0:f>SUMIFS('装量配置'!$N$6:$N$718,'装量配置'!$A$6:$A$718,A62)</ns0:f>
        <ns0:v>0</ns0:v>
      </ns0:c>
      <ns0:c r="AW62" s="132" t="n">
        <ns0:v>0.18</ns0:v>
      </ns0:c>
      <ns0:c r="AX62" s="120" t="n">
        <ns0:v>4</ns0:v>
      </ns0:c>
      <ns0:c r="AY62" s="120" t="n">
        <ns0:f>IF(AX62=1,1,0)</ns0:f>
        <ns0:v>0</ns0:v>
      </ns0:c>
      <ns0:c r="AZ62" s="120" t="n">
        <ns0:f>SUMIFS('装量配置'!$E$6:$E$718,'装量配置'!$A$6:$A$718,A62,'装量配置'!$B$6:$B$718,"开局",'装量配置'!$D$6:$D$718,"&lt;&gt;普通盒",'装量配置'!$D$6:$D$718,"&lt;&gt;广告锁定周转盒")</ns0:f>
        <ns0:v>2</ns0:v>
      </ns0:c>
      <ns0:c r="BA62" s="149" t="n">
        <ns0:f>IF(COUNTIFS('装量配置'!$A$6:$A$718,A62,'装量配置'!$B$6:$B$718,"开局",'装量配置'!$D$6:$D$718,"数字盖盒",'装量配置'!$E$6:$E$718,"&gt;0")&gt;0,1,0)+IF(COUNTIFS('装量配置'!$A$6:$A$718,A62,'装量配置'!$B$6:$B$718,"开局",'装量配置'!$D$6:$D$718,"普通冰冻盒",'装量配置'!$E$6:$E$718,"&gt;0")&gt;0,1,0)+IF(COUNTIFS('装量配置'!$A$6:$A$718,A62,'装量配置'!$B$6:$B$718,"开局",'装量配置'!$D$6:$D$718,"单颗暂存盒",'装量配置'!$E$6:$E$718,"&gt;0")&gt;0,1,0)+IF(COUNTIFS('装量配置'!$A$6:$A$718,A62,'装量配置'!$B$6:$B$718,"开局",'装量配置'!$D$6:$D$718,"数字冰冻盒",'装量配置'!$E$6:$E$718,"&gt;0")&gt;0,1,0)+IF(COUNTIFS('装量配置'!$A$6:$A$718,A62,'装量配置'!$B$6:$B$718,"开局",'装量配置'!$D$6:$D$718,"固定颜色盒",'装量配置'!$E$6:$E$718,"&gt;0")&gt;0,1,0)+IF(COUNTIFS('装量配置'!$A$6:$A$718,A62,'装量配置'!$B$6:$B$718,"开局",'装量配置'!$D$6:$D$718,"单向收纳盒",'装量配置'!$E$6:$E$718,"&gt;0")&gt;0,1,0)+IF(COUNTIFS('装量配置'!$A$6:$A$718,A62,'装量配置'!$B$6:$B$718,"开局",'装量配置'!$D$6:$D$718,"底部置顶盒",'装量配置'!$E$6:$E$718,"&gt;0")&gt;0,1,0)+IF(COUNTIFS('装量配置'!$A$6:$A$718,A62,'装量配置'!$B$6:$B$718,"开局",'装量配置'!$D$6:$D$718,"炸弹盒",'装量配置'!$E$6:$E$718,"&gt;0")&gt;0,1,0)</ns0:f>
        <ns0:v>2</ns0:v>
      </ns0:c>
      <ns0:c r="BB62" s="149" t="n">
        <ns0:f>SUMIFS('装量配置'!$E$6:$E$718,'装量配置'!$A$6:$A$718,A62,'装量配置'!$B$6:$B$718,"开局",'装量配置'!$D$6:$D$718,"数字盖盒")+SUMIFS('装量配置'!$E$6:$E$718,'装量配置'!$A$6:$A$718,A62,'装量配置'!$B$6:$B$718,"开局",'装量配置'!$D$6:$D$718,"普通冰冻盒")+SUMIFS('装量配置'!$E$6:$E$718,'装量配置'!$A$6:$A$718,A62,'装量配置'!$B$6:$B$718,"开局",'装量配置'!$D$6:$D$718,"数字冰冻盒")</ns0:f>
        <ns0:v>1</ns0:v>
      </ns0:c>
      <ns0:c r="BC62" s="149" t="n">
        <ns0:f>SUMIFS('装量配置'!$R$6:$R$718,'装量配置'!$A$6:$A$718,A62,'装量配置'!$B$6:$B$718,"开局")</ns0:f>
        <ns0:v>0</ns0:v>
      </ns0:c>
      <ns0:c r="BD62" s="146" t="str">
        <ns0:v>普通冰冻与单颗暂存复习，无补货和隐藏，降低信息压力。</ns0:v>
      </ns0:c>
      <ns0:c r="BE62" s="149" t="n">
        <ns0:v>2</ns0:v>
      </ns0:c>
      <ns0:c r="BF62" s="146" t="str">
        <ns0:v>首归纳及时交付，逐关检查机关参与与补货余量</ns0:v>
      </ns0:c>
    </ns0:row>
    <ns0:row r="63" ht="33" customHeight="1">
      <ns0:c r="A63" s="105" t="n">
        <ns0:v>58</ns0:v>
      </ns0:c>
      <ns0:c r="B63" s="117" t="str">
        <ns0:v>单向收纳与已学机制</ns0:v>
      </ns0:c>
      <ns0:c r="C63" s="126" t="str">
        <ns0:v>机制组合</ns0:v>
      </ns0:c>
      <ns0:c r="D63" s="108" t="n">
        <ns0:v>4.9</ns0:v>
      </ns0:c>
      <ns0:c r="E63" s="123" t="str">
        <ns0:v>受限周转与归纳顺序</ns0:v>
      </ns0:c>
      <ns0:c r="F63" s="123" t="str">
        <ns0:v>机关与装量配合</ns0:v>
      </ns0:c>
      <ns0:c r="G63" s="105" t="str">
        <ns0:v>错落</ns0:v>
      </ns0:c>
      <ns0:c r="H63" s="105" t="n">
        <ns0:v>8</ns0:v>
      </ns0:c>
      <ns0:c r="I63" s="105" t="n">
        <ns0:f>SUMIFS('装量配置'!$E$6:$E$718,'装量配置'!$A$6:$A$718,A63,'装量配置'!$B$6:$B$718,"开局",'装量配置'!$F$6:$F$718,4,'装量配置'!$G$6:$G$718,"&gt;0")</ns0:f>
        <ns0:v>18</ns0:v>
      </ns0:c>
      <ns0:c r="J63" s="105" t="n">
        <ns0:f>SUMIFS('装量配置'!$E$6:$E$718,'装量配置'!$A$6:$A$718,A63,'装量配置'!$B$6:$B$718,"备货")</ns0:f>
        <ns0:v>0</ns0:v>
      </ns0:c>
      <ns0:c r="K63" s="105" t="n">
        <ns0:v>17</ns0:v>
      </ns0:c>
      <ns0:c r="L63" s="105" t="n">
        <ns0:f>SUMIFS('装量配置'!$E$6:$E$718,'装量配置'!$A$6:$A$718,A63,'装量配置'!$B$6:$B$718,"开局",'装量配置'!$F$6:$F$718,4,'装量配置'!$G$6:$G$718,0,'装量配置'!$D$6:$D$718,"&lt;&gt;广告锁定周转盒")</ns0:f>
        <ns0:v>1</ns0:v>
      </ns0:c>
      <ns0:c r="M63" s="105" t="n">
        <ns0:f>SUMIFS('装量配置'!$E$6:$E$718,'装量配置'!$A$6:$A$718,A63,'装量配置'!$B$6:$B$718,"开局",'装量配置'!$F$6:$F$718,1)</ns0:f>
        <ns0:v>1</ns0:v>
      </ns0:c>
      <ns0:c r="N63" s="105" t="n">
        <ns0:f>SUMIFS('装量配置'!$E$6:$E$718,'装量配置'!$A$6:$A$718,A63,'装量配置'!$B$6:$B$718,"开局",'装量配置'!$D$6:$D$718,"广告锁定周转盒")</ns0:f>
        <ns0:v>2</ns0:v>
      </ns0:c>
      <ns0:c r="O63" s="105" t="n">
        <ns0:f>SUMIFS('装量配置'!$E$6:$E$718,'装量配置'!$A$6:$A$718,A63,'装量配置'!$B$6:$B$718,"开局")</ns0:f>
        <ns0:v>22</ns0:v>
      </ns0:c>
      <ns0:c r="P63" s="105" t="n">
        <ns0:f>SUMIFS('装量配置'!$K$6:$K$718,'装量配置'!$A$6:$A$718,A63)</ns0:f>
        <ns0:v>1</ns0:v>
      </ns0:c>
      <ns0:c r="Q63" s="105" t="n">
        <ns0:v>4</ns0:v>
      </ns0:c>
      <ns0:c r="R63" s="106" t="n">
        <ns0:v>0</ns0:v>
      </ns0:c>
      <ns0:c r="S63" s="106" t="n">
        <ns0:v>0.12</ns0:v>
      </ns0:c>
      <ns0:c r="T63" s="105" t="n">
        <ns0:v>3</ns0:v>
      </ns0:c>
      <ns0:c r="U63" s="105" t="n">
        <ns0:v>0</ns0:v>
      </ns0:c>
      <ns0:c r="V63" s="123" t="str">
        <ns0:v>单向收纳盒</ns0:v>
      </ns0:c>
      <ns0:c r="W63" s="123" t="str">
        <ns0:v>数字冰冻盒、单颗暂存盒</ns0:v>
      </ns0:c>
      <ns0:c r="X63" s="123" t="str">
        <ns0:v>数字冰冻盒×1；单向收纳盒×1；单颗暂存盒×1</ns0:v>
      </ns0:c>
      <ns0:c r="Y63" s="105" t="n">
        <ns0:f>SUMIFS('装量配置'!$I$6:$I$718,'装量配置'!$A$6:$A$718,A63)</ns0:f>
        <ns0:v>68</ns0:v>
      </ns0:c>
      <ns0:c r="Z63" s="105" t="str">
        <ns0:f>IF(AND(O63&lt;=25,N63=2,Y63=K63*4,H63&lt;=K63,P63+AT63&gt;=4,COUNTIFS('装量配置'!$A$6:$A$718,A63,'装量配置'!$O$6:$O$718,"需调整")=0),"装量通过；待逐味","需调整")</ns0:f>
        <ns0:v>装量通过；待逐味</ns0:v>
      </ns0:c>
      <ns0:c r="AA63" s="107" t="str">
        <ns0:v>四条件可行路线已保存（非最短解）</ns0:v>
      </ns0:c>
      <ns0:c r="AB63" s="107"/>
      <ns0:c r="AC63" s="107"/>
      <ns0:c r="AD63" s="106" t="n">
        <ns0:v>0.43</ns0:v>
      </ns0:c>
      <ns0:c r="AE63" s="108" t="n">
        <ns0:v>6.5</ns0:v>
      </ns0:c>
      <ns0:c r="AF63" s="109"/>
      <ns0:c r="AG63" s="109"/>
      <ns0:c r="AH63" s="110"/>
      <ns0:c r="AI63" s="131" t="str">
        <ns0:v>固定层序；待连续真人试玩</ns0:v>
      </ns0:c>
      <ns0:c r="AJ63" s="123" t="str">
        <ns0:v>没有普通完整空盒，利用部分装量接出首组，单颗盒用于后段周转。</ns0:v>
      </ns0:c>
      <ns0:c r="AK63" s="123" t="str">
        <ns0:v>连续居中，按盒数分排</ns0:v>
      </ns0:c>
      <ns0:c r="AL63" s="105" t="n">
        <ns0:v>1</ns0:v>
      </ns0:c>
      <ns0:c r="AM63" s="106" t="n">
        <ns0:v>0.78</ns0:v>
      </ns0:c>
      <ns0:c r="AN63" s="107"/>
      <ns0:c r="AO63" s="110"/>
      <ns0:c r="AP63" s="123" t="str">
        <ns0:v>双锁／单开A／单开B／双开完整回放</ns0:v>
      </ns0:c>
      <ns0:c r="AQ63" s="107"/>
      <ns0:c r="AR63" s="121" t="n">
        <ns0:f>SUMIFS('装量配置'!$I$6:$I$718,'装量配置'!$A$6:$A$718,A63,'装量配置'!$B$6:$B$718,"开局")</ns0:f>
        <ns0:v>68</ns0:v>
      </ns0:c>
      <ns0:c r="AS63" s="133" t="n">
        <ns0:f>SUMIFS('装量配置'!$I$6:$I$718,'装量配置'!$A$6:$A$718,A63,'装量配置'!$B$6:$B$718,"开局",'装量配置'!$D$6:$D$718,"普通盒",'装量配置'!$G$6:$G$718,"&gt;0")/(4*SUMIFS('装量配置'!$E$6:$E$718,'装量配置'!$A$6:$A$718,A63,'装量配置'!$B$6:$B$718,"开局",'装量配置'!$D$6:$D$718,"普通盒",'装量配置'!$G$6:$G$718,"&gt;0"))</ns0:f>
        <ns0:v>0.9411764705882353</ns0:v>
      </ns0:c>
      <ns0:c r="AT63" s="121" t="n">
        <ns0:f>SUMIFS('装量配置'!$L$6:$L$718,'装量配置'!$A$6:$A$718,A63)</ns0:f>
        <ns0:v>4</ns0:v>
      </ns0:c>
      <ns0:c r="AU63" s="121" t="n">
        <ns0:f>SUMIFS('装量配置'!$M$6:$M$718,'装量配置'!$A$6:$A$718,A63)</ns0:f>
        <ns0:v>4</ns0:v>
      </ns0:c>
      <ns0:c r="AV63" s="121" t="n">
        <ns0:f>SUMIFS('装量配置'!$N$6:$N$718,'装量配置'!$A$6:$A$718,A63)</ns0:f>
        <ns0:v>0</ns0:v>
      </ns0:c>
      <ns0:c r="AW63" s="133" t="n">
        <ns0:v>0.18</ns0:v>
      </ns0:c>
      <ns0:c r="AX63" s="121" t="n">
        <ns0:v>4</ns0:v>
      </ns0:c>
      <ns0:c r="AY63" s="121" t="n">
        <ns0:f>IF(AX63=1,1,0)</ns0:f>
        <ns0:v>0</ns0:v>
      </ns0:c>
      <ns0:c r="AZ63" s="121" t="n">
        <ns0:f>SUMIFS('装量配置'!$E$6:$E$718,'装量配置'!$A$6:$A$718,A63,'装量配置'!$B$6:$B$718,"开局",'装量配置'!$D$6:$D$718,"&lt;&gt;普通盒",'装量配置'!$D$6:$D$718,"&lt;&gt;广告锁定周转盒")</ns0:f>
        <ns0:v>3</ns0:v>
      </ns0:c>
      <ns0:c r="BA63" s="150" t="n">
        <ns0:f>IF(COUNTIFS('装量配置'!$A$6:$A$718,A63,'装量配置'!$B$6:$B$718,"开局",'装量配置'!$D$6:$D$718,"数字盖盒",'装量配置'!$E$6:$E$718,"&gt;0")&gt;0,1,0)+IF(COUNTIFS('装量配置'!$A$6:$A$718,A63,'装量配置'!$B$6:$B$718,"开局",'装量配置'!$D$6:$D$718,"普通冰冻盒",'装量配置'!$E$6:$E$718,"&gt;0")&gt;0,1,0)+IF(COUNTIFS('装量配置'!$A$6:$A$718,A63,'装量配置'!$B$6:$B$718,"开局",'装量配置'!$D$6:$D$718,"单颗暂存盒",'装量配置'!$E$6:$E$718,"&gt;0")&gt;0,1,0)+IF(COUNTIFS('装量配置'!$A$6:$A$718,A63,'装量配置'!$B$6:$B$718,"开局",'装量配置'!$D$6:$D$718,"数字冰冻盒",'装量配置'!$E$6:$E$718,"&gt;0")&gt;0,1,0)+IF(COUNTIFS('装量配置'!$A$6:$A$718,A63,'装量配置'!$B$6:$B$718,"开局",'装量配置'!$D$6:$D$718,"固定颜色盒",'装量配置'!$E$6:$E$718,"&gt;0")&gt;0,1,0)+IF(COUNTIFS('装量配置'!$A$6:$A$718,A63,'装量配置'!$B$6:$B$718,"开局",'装量配置'!$D$6:$D$718,"单向收纳盒",'装量配置'!$E$6:$E$718,"&gt;0")&gt;0,1,0)+IF(COUNTIFS('装量配置'!$A$6:$A$718,A63,'装量配置'!$B$6:$B$718,"开局",'装量配置'!$D$6:$D$718,"底部置顶盒",'装量配置'!$E$6:$E$718,"&gt;0")&gt;0,1,0)+IF(COUNTIFS('装量配置'!$A$6:$A$718,A63,'装量配置'!$B$6:$B$718,"开局",'装量配置'!$D$6:$D$718,"炸弹盒",'装量配置'!$E$6:$E$718,"&gt;0")&gt;0,1,0)</ns0:f>
        <ns0:v>3</ns0:v>
      </ns0:c>
      <ns0:c r="BB63" s="150" t="n">
        <ns0:f>SUMIFS('装量配置'!$E$6:$E$718,'装量配置'!$A$6:$A$718,A63,'装量配置'!$B$6:$B$718,"开局",'装量配置'!$D$6:$D$718,"数字盖盒")+SUMIFS('装量配置'!$E$6:$E$718,'装量配置'!$A$6:$A$718,A63,'装量配置'!$B$6:$B$718,"开局",'装量配置'!$D$6:$D$718,"普通冰冻盒")+SUMIFS('装量配置'!$E$6:$E$718,'装量配置'!$A$6:$A$718,A63,'装量配置'!$B$6:$B$718,"开局",'装量配置'!$D$6:$D$718,"数字冰冻盒")</ns0:f>
        <ns0:v>1</ns0:v>
      </ns0:c>
      <ns0:c r="BC63" s="150" t="n">
        <ns0:f>SUMIFS('装量配置'!$R$6:$R$718,'装量配置'!$A$6:$A$718,A63,'装量配置'!$B$6:$B$718,"开局")</ns0:f>
        <ns0:v>1</ns0:v>
      </ns0:c>
      <ns0:c r="BD63" s="148" t="str">
        <ns0:v>没有普通完整空盒，利用部分装量接出首组，单颗盒用于后段周转。</ns0:v>
      </ns0:c>
      <ns0:c r="BE63" s="150" t="n">
        <ns0:v>3</ns0:v>
      </ns0:c>
      <ns0:c r="BF63" s="148" t="str">
        <ns0:v>首归纳及时交付，逐关检查机关参与与补货余量</ns0:v>
      </ns0:c>
    </ns0:row>
    <ns0:row r="64" ht="33" customHeight="1">
      <ns0:c r="A64" s="112" t="n">
        <ns0:v>59</ns0:v>
      </ns0:c>
      <ns0:c r="B64" s="119" t="str">
        <ns0:v>单向收纳与已学机制</ns0:v>
      </ns0:c>
      <ns0:c r="C64" s="127" t="str">
        <ns0:v>阶段挑战</ns0:v>
      </ns0:c>
      <ns0:c r="D64" s="114" t="n">
        <ns0:v>5</ns0:v>
      </ns0:c>
      <ns0:c r="E64" s="124" t="str">
        <ns0:v>受限周转与归纳顺序</ns0:v>
      </ns0:c>
      <ns0:c r="F64" s="124" t="str">
        <ns0:v>机关与装量配合</ns0:v>
      </ns0:c>
      <ns0:c r="G64" s="112" t="str">
        <ns0:v>错落</ns0:v>
      </ns0:c>
      <ns0:c r="H64" s="112" t="n">
        <ns0:v>8</ns0:v>
      </ns0:c>
      <ns0:c r="I64" s="112" t="n">
        <ns0:f>SUMIFS('装量配置'!$E$6:$E$718,'装量配置'!$A$6:$A$718,A64,'装量配置'!$B$6:$B$718,"开局",'装量配置'!$F$6:$F$718,4,'装量配置'!$G$6:$G$718,"&gt;0")</ns0:f>
        <ns0:v>18</ns0:v>
      </ns0:c>
      <ns0:c r="J64" s="112" t="n">
        <ns0:f>SUMIFS('装量配置'!$E$6:$E$718,'装量配置'!$A$6:$A$718,A64,'装量配置'!$B$6:$B$718,"备货")</ns0:f>
        <ns0:v>2</ns0:v>
      </ns0:c>
      <ns0:c r="K64" s="112" t="n">
        <ns0:v>19</ns0:v>
      </ns0:c>
      <ns0:c r="L64" s="112" t="n">
        <ns0:f>SUMIFS('装量配置'!$E$6:$E$718,'装量配置'!$A$6:$A$718,A64,'装量配置'!$B$6:$B$718,"开局",'装量配置'!$F$6:$F$718,4,'装量配置'!$G$6:$G$718,0,'装量配置'!$D$6:$D$718,"&lt;&gt;广告锁定周转盒")</ns0:f>
        <ns0:v>1</ns0:v>
      </ns0:c>
      <ns0:c r="M64" s="112" t="n">
        <ns0:f>SUMIFS('装量配置'!$E$6:$E$718,'装量配置'!$A$6:$A$718,A64,'装量配置'!$B$6:$B$718,"开局",'装量配置'!$F$6:$F$718,1)</ns0:f>
        <ns0:v>1</ns0:v>
      </ns0:c>
      <ns0:c r="N64" s="112" t="n">
        <ns0:f>SUMIFS('装量配置'!$E$6:$E$718,'装量配置'!$A$6:$A$718,A64,'装量配置'!$B$6:$B$718,"开局",'装量配置'!$D$6:$D$718,"广告锁定周转盒")</ns0:f>
        <ns0:v>2</ns0:v>
      </ns0:c>
      <ns0:c r="O64" s="112" t="n">
        <ns0:f>SUMIFS('装量配置'!$E$6:$E$718,'装量配置'!$A$6:$A$718,A64,'装量配置'!$B$6:$B$718,"开局")</ns0:f>
        <ns0:v>22</ns0:v>
      </ns0:c>
      <ns0:c r="P64" s="112" t="n">
        <ns0:f>SUMIFS('装量配置'!$K$6:$K$718,'装量配置'!$A$6:$A$718,A64)</ns0:f>
        <ns0:v>0</ns0:v>
      </ns0:c>
      <ns0:c r="Q64" s="112" t="n">
        <ns0:v>4</ns0:v>
      </ns0:c>
      <ns0:c r="R64" s="113" t="n">
        <ns0:v>0.039473684210526314</ns0:v>
      </ns0:c>
      <ns0:c r="S64" s="113" t="n">
        <ns0:v>0.12</ns0:v>
      </ns0:c>
      <ns0:c r="T64" s="112" t="n">
        <ns0:v>3</ns0:v>
      </ns0:c>
      <ns0:c r="U64" s="112" t="n">
        <ns0:v>3</ns0:v>
      </ns0:c>
      <ns0:c r="V64" s="124" t="str">
        <ns0:v>单向收纳盒</ns0:v>
      </ns0:c>
      <ns0:c r="W64" s="124" t="str">
        <ns0:v>数字冰冻盒、单颗暂存盒</ns0:v>
      </ns0:c>
      <ns0:c r="X64" s="124" t="str">
        <ns0:v>数字冰冻盒×1；单向收纳盒×1；单颗暂存盒×1</ns0:v>
      </ns0:c>
      <ns0:c r="Y64" s="112" t="n">
        <ns0:f>SUMIFS('装量配置'!$I$6:$I$718,'装量配置'!$A$6:$A$718,A64)</ns0:f>
        <ns0:v>76</ns0:v>
      </ns0:c>
      <ns0:c r="Z64" s="112" t="str">
        <ns0:f>IF(AND(O64&lt;=25,N64=2,Y64=K64*4,H64&lt;=K64,P64+AT64&gt;=4,COUNTIFS('装量配置'!$A$6:$A$718,A64,'装量配置'!$O$6:$O$718,"需调整")=0),"装量通过；待逐味","需调整")</ns0:f>
        <ns0:v>装量通过；待逐味</ns0:v>
      </ns0:c>
      <ns0:c r="AA64" s="107" t="str">
        <ns0:v>四条件可行路线已保存（非最短解）</ns0:v>
      </ns0:c>
      <ns0:c r="AB64" s="107"/>
      <ns0:c r="AC64" s="107"/>
      <ns0:c r="AD64" s="113" t="n">
        <ns0:v>0.35</ns0:v>
      </ns0:c>
      <ns0:c r="AE64" s="114" t="n">
        <ns0:v>7.5</ns0:v>
      </ns0:c>
      <ns0:c r="AF64" s="109"/>
      <ns0:c r="AG64" s="109"/>
      <ns0:c r="AH64" s="110"/>
      <ns0:c r="AI64" s="131" t="str">
        <ns0:v>固定层序；待连续真人试玩</ns0:v>
      </ns0:c>
      <ns0:c r="AJ64" s="124" t="str">
        <ns0:v>预装暂存先移出再利用，数字冰冻2、单向收纳与一次下层隐藏形成阶段挑战；两次补货分开。</ns0:v>
      </ns0:c>
      <ns0:c r="AK64" s="124" t="str">
        <ns0:v>连续居中，按盒数分排</ns0:v>
      </ns0:c>
      <ns0:c r="AL64" s="112" t="n">
        <ns0:v>2</ns0:v>
      </ns0:c>
      <ns0:c r="AM64" s="113" t="n">
        <ns0:v>0.65</ns0:v>
      </ns0:c>
      <ns0:c r="AN64" s="112"/>
      <ns0:c r="AO64" s="113"/>
      <ns0:c r="AP64" s="124" t="str">
        <ns0:v>双锁／单开A／单开B／双开完整回放</ns0:v>
      </ns0:c>
      <ns0:c r="AQ64" s="107"/>
      <ns0:c r="AR64" s="120" t="n">
        <ns0:f>SUMIFS('装量配置'!$I$6:$I$718,'装量配置'!$A$6:$A$718,A64,'装量配置'!$B$6:$B$718,"开局")</ns0:f>
        <ns0:v>68</ns0:v>
      </ns0:c>
      <ns0:c r="AS64" s="132" t="n">
        <ns0:f>SUMIFS('装量配置'!$I$6:$I$718,'装量配置'!$A$6:$A$718,A64,'装量配置'!$B$6:$B$718,"开局",'装量配置'!$D$6:$D$718,"普通盒",'装量配置'!$G$6:$G$718,"&gt;0")/(4*SUMIFS('装量配置'!$E$6:$E$718,'装量配置'!$A$6:$A$718,A64,'装量配置'!$B$6:$B$718,"开局",'装量配置'!$D$6:$D$718,"普通盒",'装量配置'!$G$6:$G$718,"&gt;0"))</ns0:f>
        <ns0:v>0.9264705882352942</ns0:v>
      </ns0:c>
      <ns0:c r="AT64" s="120" t="n">
        <ns0:f>SUMIFS('装量配置'!$L$6:$L$718,'装量配置'!$A$6:$A$718,A64)</ns0:f>
        <ns0:v>5</ns0:v>
      </ns0:c>
      <ns0:c r="AU64" s="120" t="n">
        <ns0:f>SUMIFS('装量配置'!$M$6:$M$718,'装量配置'!$A$6:$A$718,A64)</ns0:f>
        <ns0:v>4</ns0:v>
      </ns0:c>
      <ns0:c r="AV64" s="120" t="n">
        <ns0:f>SUMIFS('装量配置'!$N$6:$N$718,'装量配置'!$A$6:$A$718,A64)</ns0:f>
        <ns0:v>0</ns0:v>
      </ns0:c>
      <ns0:c r="AW64" s="132" t="n">
        <ns0:v>0.18</ns0:v>
      </ns0:c>
      <ns0:c r="AX64" s="120" t="n">
        <ns0:v>4</ns0:v>
      </ns0:c>
      <ns0:c r="AY64" s="120" t="n">
        <ns0:f>IF(AX64=1,1,0)</ns0:f>
        <ns0:v>0</ns0:v>
      </ns0:c>
      <ns0:c r="AZ64" s="120" t="n">
        <ns0:f>SUMIFS('装量配置'!$E$6:$E$718,'装量配置'!$A$6:$A$718,A64,'装量配置'!$B$6:$B$718,"开局",'装量配置'!$D$6:$D$718,"&lt;&gt;普通盒",'装量配置'!$D$6:$D$718,"&lt;&gt;广告锁定周转盒")</ns0:f>
        <ns0:v>3</ns0:v>
      </ns0:c>
      <ns0:c r="BA64" s="149" t="n">
        <ns0:f>IF(COUNTIFS('装量配置'!$A$6:$A$718,A64,'装量配置'!$B$6:$B$718,"开局",'装量配置'!$D$6:$D$718,"数字盖盒",'装量配置'!$E$6:$E$718,"&gt;0")&gt;0,1,0)+IF(COUNTIFS('装量配置'!$A$6:$A$718,A64,'装量配置'!$B$6:$B$718,"开局",'装量配置'!$D$6:$D$718,"普通冰冻盒",'装量配置'!$E$6:$E$718,"&gt;0")&gt;0,1,0)+IF(COUNTIFS('装量配置'!$A$6:$A$718,A64,'装量配置'!$B$6:$B$718,"开局",'装量配置'!$D$6:$D$718,"单颗暂存盒",'装量配置'!$E$6:$E$718,"&gt;0")&gt;0,1,0)+IF(COUNTIFS('装量配置'!$A$6:$A$718,A64,'装量配置'!$B$6:$B$718,"开局",'装量配置'!$D$6:$D$718,"数字冰冻盒",'装量配置'!$E$6:$E$718,"&gt;0")&gt;0,1,0)+IF(COUNTIFS('装量配置'!$A$6:$A$718,A64,'装量配置'!$B$6:$B$718,"开局",'装量配置'!$D$6:$D$718,"固定颜色盒",'装量配置'!$E$6:$E$718,"&gt;0")&gt;0,1,0)+IF(COUNTIFS('装量配置'!$A$6:$A$718,A64,'装量配置'!$B$6:$B$718,"开局",'装量配置'!$D$6:$D$718,"单向收纳盒",'装量配置'!$E$6:$E$718,"&gt;0")&gt;0,1,0)+IF(COUNTIFS('装量配置'!$A$6:$A$718,A64,'装量配置'!$B$6:$B$718,"开局",'装量配置'!$D$6:$D$718,"底部置顶盒",'装量配置'!$E$6:$E$718,"&gt;0")&gt;0,1,0)+IF(COUNTIFS('装量配置'!$A$6:$A$718,A64,'装量配置'!$B$6:$B$718,"开局",'装量配置'!$D$6:$D$718,"炸弹盒",'装量配置'!$E$6:$E$718,"&gt;0")&gt;0,1,0)</ns0:f>
        <ns0:v>3</ns0:v>
      </ns0:c>
      <ns0:c r="BB64" s="149" t="n">
        <ns0:f>SUMIFS('装量配置'!$E$6:$E$718,'装量配置'!$A$6:$A$718,A64,'装量配置'!$B$6:$B$718,"开局",'装量配置'!$D$6:$D$718,"数字盖盒")+SUMIFS('装量配置'!$E$6:$E$718,'装量配置'!$A$6:$A$718,A64,'装量配置'!$B$6:$B$718,"开局",'装量配置'!$D$6:$D$718,"普通冰冻盒")+SUMIFS('装量配置'!$E$6:$E$718,'装量配置'!$A$6:$A$718,A64,'装量配置'!$B$6:$B$718,"开局",'装量配置'!$D$6:$D$718,"数字冰冻盒")</ns0:f>
        <ns0:v>1</ns0:v>
      </ns0:c>
      <ns0:c r="BC64" s="149" t="n">
        <ns0:f>SUMIFS('装量配置'!$R$6:$R$718,'装量配置'!$A$6:$A$718,A64,'装量配置'!$B$6:$B$718,"开局")</ns0:f>
        <ns0:v>2</ns0:v>
      </ns0:c>
      <ns0:c r="BD64" s="146" t="str">
        <ns0:v>预装暂存先移出再利用，数字冰冻2、单向收纳与一次下层隐藏形成阶段挑战；两次补货分开。</ns0:v>
      </ns0:c>
      <ns0:c r="BE64" s="149" t="n">
        <ns0:v>4</ns0:v>
      </ns0:c>
      <ns0:c r="BF64" s="146" t="str">
        <ns0:v>首归纳及时交付，逐关检查机关参与与补货余量</ns0:v>
      </ns0:c>
    </ns0:row>
    <ns0:row r="65" ht="33" customHeight="1">
      <ns0:c r="A65" s="105" t="n">
        <ns0:v>60</ns0:v>
      </ns0:c>
      <ns0:c r="B65" s="117" t="str">
        <ns0:v>单向收纳与已学机制</ns0:v>
      </ns0:c>
      <ns0:c r="C65" s="126" t="str">
        <ns0:v>缓和巩固</ns0:v>
      </ns0:c>
      <ns0:c r="D65" s="108" t="n">
        <ns0:v>4.8</ns0:v>
      </ns0:c>
      <ns0:c r="E65" s="123" t="str">
        <ns0:v>受限周转与归纳顺序</ns0:v>
      </ns0:c>
      <ns0:c r="F65" s="123" t="str">
        <ns0:v>机关与装量配合</ns0:v>
      </ns0:c>
      <ns0:c r="G65" s="105" t="str">
        <ns0:v>整齐</ns0:v>
      </ns0:c>
      <ns0:c r="H65" s="105" t="n">
        <ns0:v>8</ns0:v>
      </ns0:c>
      <ns0:c r="I65" s="105" t="n">
        <ns0:f>SUMIFS('装量配置'!$E$6:$E$718,'装量配置'!$A$6:$A$718,A65,'装量配置'!$B$6:$B$718,"开局",'装量配置'!$F$6:$F$718,4,'装量配置'!$G$6:$G$718,"&gt;0")</ns0:f>
        <ns0:v>17</ns0:v>
      </ns0:c>
      <ns0:c r="J65" s="105" t="n">
        <ns0:f>SUMIFS('装量配置'!$E$6:$E$718,'装量配置'!$A$6:$A$718,A65,'装量配置'!$B$6:$B$718,"备货")</ns0:f>
        <ns0:v>0</ns0:v>
      </ns0:c>
      <ns0:c r="K65" s="105" t="n">
        <ns0:v>16</ns0:v>
      </ns0:c>
      <ns0:c r="L65" s="105" t="n">
        <ns0:f>SUMIFS('装量配置'!$E$6:$E$718,'装量配置'!$A$6:$A$718,A65,'装量配置'!$B$6:$B$718,"开局",'装量配置'!$F$6:$F$718,4,'装量配置'!$G$6:$G$718,0,'装量配置'!$D$6:$D$718,"&lt;&gt;广告锁定周转盒")</ns0:f>
        <ns0:v>2</ns0:v>
      </ns0:c>
      <ns0:c r="M65" s="105" t="n">
        <ns0:f>SUMIFS('装量配置'!$E$6:$E$718,'装量配置'!$A$6:$A$718,A65,'装量配置'!$B$6:$B$718,"开局",'装量配置'!$F$6:$F$718,1)</ns0:f>
        <ns0:v>0</ns0:v>
      </ns0:c>
      <ns0:c r="N65" s="105" t="n">
        <ns0:f>SUMIFS('装量配置'!$E$6:$E$718,'装量配置'!$A$6:$A$718,A65,'装量配置'!$B$6:$B$718,"开局",'装量配置'!$D$6:$D$718,"广告锁定周转盒")</ns0:f>
        <ns0:v>2</ns0:v>
      </ns0:c>
      <ns0:c r="O65" s="105" t="n">
        <ns0:f>SUMIFS('装量配置'!$E$6:$E$718,'装量配置'!$A$6:$A$718,A65,'装量配置'!$B$6:$B$718,"开局")</ns0:f>
        <ns0:v>21</ns0:v>
      </ns0:c>
      <ns0:c r="P65" s="105" t="n">
        <ns0:f>SUMIFS('装量配置'!$K$6:$K$718,'装量配置'!$A$6:$A$718,A65)</ns0:f>
        <ns0:v>4</ns0:v>
      </ns0:c>
      <ns0:c r="Q65" s="105" t="n">
        <ns0:v>4</ns0:v>
      </ns0:c>
      <ns0:c r="R65" s="106" t="n">
        <ns0:v>0</ns0:v>
      </ns0:c>
      <ns0:c r="S65" s="106" t="n">
        <ns0:v>0.12</ns0:v>
      </ns0:c>
      <ns0:c r="T65" s="105" t="n">
        <ns0:v>3</ns0:v>
      </ns0:c>
      <ns0:c r="U65" s="105" t="n">
        <ns0:v>0</ns0:v>
      </ns0:c>
      <ns0:c r="V65" s="123" t="str">
        <ns0:v>单向收纳盒</ns0:v>
      </ns0:c>
      <ns0:c r="W65" s="123" t="str">
        <ns0:v>普通冰冻盒</ns0:v>
      </ns0:c>
      <ns0:c r="X65" s="123" t="str">
        <ns0:v>普通冰冻盒×1；单向收纳盒×1</ns0:v>
      </ns0:c>
      <ns0:c r="Y65" s="105" t="n">
        <ns0:f>SUMIFS('装量配置'!$I$6:$I$718,'装量配置'!$A$6:$A$718,A65)</ns0:f>
        <ns0:v>64</ns0:v>
      </ns0:c>
      <ns0:c r="Z65" s="105" t="str">
        <ns0:f>IF(AND(O65&lt;=25,N65=2,Y65=K65*4,H65&lt;=K65,P65+AT65&gt;=4,COUNTIFS('装量配置'!$A$6:$A$718,A65,'装量配置'!$O$6:$O$718,"需调整")=0),"装量通过；待逐味","需调整")</ns0:f>
        <ns0:v>装量通过；待逐味</ns0:v>
      </ns0:c>
      <ns0:c r="AA65" s="107" t="str">
        <ns0:v>四条件可行路线已保存（非最短解）</ns0:v>
      </ns0:c>
      <ns0:c r="AB65" s="107"/>
      <ns0:c r="AC65" s="107"/>
      <ns0:c r="AD65" s="106" t="n">
        <ns0:v>0.52</ns0:v>
      </ns0:c>
      <ns0:c r="AE65" s="108" t="n">
        <ns0:v>6.5</ns0:v>
      </ns0:c>
      <ns0:c r="AF65" s="109"/>
      <ns0:c r="AG65" s="109"/>
      <ns0:c r="AH65" s="110"/>
      <ns0:c r="AI65" s="131" t="str">
        <ns0:v>固定层序；待连续真人试玩</ns0:v>
      </ns0:c>
      <ns0:c r="AJ65" s="123" t="str">
        <ns0:v>回归普通冰冻与单向盒，保留普通空盒，无隐藏与补货。</ns0:v>
      </ns0:c>
      <ns0:c r="AK65" s="123" t="str">
        <ns0:v>连续居中，按盒数分排</ns0:v>
      </ns0:c>
      <ns0:c r="AL65" s="105" t="n">
        <ns0:v>1</ns0:v>
      </ns0:c>
      <ns0:c r="AM65" s="106" t="n">
        <ns0:v>0.78</ns0:v>
      </ns0:c>
      <ns0:c r="AN65" s="107"/>
      <ns0:c r="AO65" s="110"/>
      <ns0:c r="AP65" s="123" t="str">
        <ns0:v>双锁／单开A／单开B／双开完整回放</ns0:v>
      </ns0:c>
      <ns0:c r="AQ65" s="107"/>
      <ns0:c r="AR65" s="121" t="n">
        <ns0:f>SUMIFS('装量配置'!$I$6:$I$718,'装量配置'!$A$6:$A$718,A65,'装量配置'!$B$6:$B$718,"开局")</ns0:f>
        <ns0:v>64</ns0:v>
      </ns0:c>
      <ns0:c r="AS65" s="133" t="n">
        <ns0:f>SUMIFS('装量配置'!$I$6:$I$718,'装量配置'!$A$6:$A$718,A65,'装量配置'!$B$6:$B$718,"开局",'装量配置'!$D$6:$D$718,"普通盒",'装量配置'!$G$6:$G$718,"&gt;0")/(4*SUMIFS('装量配置'!$E$6:$E$718,'装量配置'!$A$6:$A$718,A65,'装量配置'!$B$6:$B$718,"开局",'装量配置'!$D$6:$D$718,"普通盒",'装量配置'!$G$6:$G$718,"&gt;0"))</ns0:f>
        <ns0:v>0.9375</ns0:v>
      </ns0:c>
      <ns0:c r="AT65" s="121" t="n">
        <ns0:f>SUMIFS('装量配置'!$L$6:$L$718,'装量配置'!$A$6:$A$718,A65)</ns0:f>
        <ns0:v>4</ns0:v>
      </ns0:c>
      <ns0:c r="AU65" s="121" t="n">
        <ns0:f>SUMIFS('装量配置'!$M$6:$M$718,'装量配置'!$A$6:$A$718,A65)</ns0:f>
        <ns0:v>4</ns0:v>
      </ns0:c>
      <ns0:c r="AV65" s="121" t="n">
        <ns0:f>SUMIFS('装量配置'!$N$6:$N$718,'装量配置'!$A$6:$A$718,A65)</ns0:f>
        <ns0:v>0</ns0:v>
      </ns0:c>
      <ns0:c r="AW65" s="133" t="n">
        <ns0:v>0.18</ns0:v>
      </ns0:c>
      <ns0:c r="AX65" s="121" t="n">
        <ns0:v>4</ns0:v>
      </ns0:c>
      <ns0:c r="AY65" s="121" t="n">
        <ns0:f>IF(AX65=1,1,0)</ns0:f>
        <ns0:v>0</ns0:v>
      </ns0:c>
      <ns0:c r="AZ65" s="121" t="n">
        <ns0:f>SUMIFS('装量配置'!$E$6:$E$718,'装量配置'!$A$6:$A$718,A65,'装量配置'!$B$6:$B$718,"开局",'装量配置'!$D$6:$D$718,"&lt;&gt;普通盒",'装量配置'!$D$6:$D$718,"&lt;&gt;广告锁定周转盒")</ns0:f>
        <ns0:v>2</ns0:v>
      </ns0:c>
      <ns0:c r="BA65" s="150" t="n">
        <ns0:f>IF(COUNTIFS('装量配置'!$A$6:$A$718,A65,'装量配置'!$B$6:$B$718,"开局",'装量配置'!$D$6:$D$718,"数字盖盒",'装量配置'!$E$6:$E$718,"&gt;0")&gt;0,1,0)+IF(COUNTIFS('装量配置'!$A$6:$A$718,A65,'装量配置'!$B$6:$B$718,"开局",'装量配置'!$D$6:$D$718,"普通冰冻盒",'装量配置'!$E$6:$E$718,"&gt;0")&gt;0,1,0)+IF(COUNTIFS('装量配置'!$A$6:$A$718,A65,'装量配置'!$B$6:$B$718,"开局",'装量配置'!$D$6:$D$718,"单颗暂存盒",'装量配置'!$E$6:$E$718,"&gt;0")&gt;0,1,0)+IF(COUNTIFS('装量配置'!$A$6:$A$718,A65,'装量配置'!$B$6:$B$718,"开局",'装量配置'!$D$6:$D$718,"数字冰冻盒",'装量配置'!$E$6:$E$718,"&gt;0")&gt;0,1,0)+IF(COUNTIFS('装量配置'!$A$6:$A$718,A65,'装量配置'!$B$6:$B$718,"开局",'装量配置'!$D$6:$D$718,"固定颜色盒",'装量配置'!$E$6:$E$718,"&gt;0")&gt;0,1,0)+IF(COUNTIFS('装量配置'!$A$6:$A$718,A65,'装量配置'!$B$6:$B$718,"开局",'装量配置'!$D$6:$D$718,"单向收纳盒",'装量配置'!$E$6:$E$718,"&gt;0")&gt;0,1,0)+IF(COUNTIFS('装量配置'!$A$6:$A$718,A65,'装量配置'!$B$6:$B$718,"开局",'装量配置'!$D$6:$D$718,"底部置顶盒",'装量配置'!$E$6:$E$718,"&gt;0")&gt;0,1,0)+IF(COUNTIFS('装量配置'!$A$6:$A$718,A65,'装量配置'!$B$6:$B$718,"开局",'装量配置'!$D$6:$D$718,"炸弹盒",'装量配置'!$E$6:$E$718,"&gt;0")&gt;0,1,0)</ns0:f>
        <ns0:v>2</ns0:v>
      </ns0:c>
      <ns0:c r="BB65" s="150" t="n">
        <ns0:f>SUMIFS('装量配置'!$E$6:$E$718,'装量配置'!$A$6:$A$718,A65,'装量配置'!$B$6:$B$718,"开局",'装量配置'!$D$6:$D$718,"数字盖盒")+SUMIFS('装量配置'!$E$6:$E$718,'装量配置'!$A$6:$A$718,A65,'装量配置'!$B$6:$B$718,"开局",'装量配置'!$D$6:$D$718,"普通冰冻盒")+SUMIFS('装量配置'!$E$6:$E$718,'装量配置'!$A$6:$A$718,A65,'装量配置'!$B$6:$B$718,"开局",'装量配置'!$D$6:$D$718,"数字冰冻盒")</ns0:f>
        <ns0:v>1</ns0:v>
      </ns0:c>
      <ns0:c r="BC65" s="150" t="n">
        <ns0:f>SUMIFS('装量配置'!$R$6:$R$718,'装量配置'!$A$6:$A$718,A65,'装量配置'!$B$6:$B$718,"开局")</ns0:f>
        <ns0:v>0</ns0:v>
      </ns0:c>
      <ns0:c r="BD65" s="148" t="str">
        <ns0:v>回归普通冰冻与单向盒，保留普通空盒，无隐藏与补货。</ns0:v>
      </ns0:c>
      <ns0:c r="BE65" s="150" t="n">
        <ns0:v>2</ns0:v>
      </ns0:c>
      <ns0:c r="BF65" s="148" t="str">
        <ns0:v>首归纳及时交付，逐关检查机关参与与补货余量</ns0:v>
      </ns0:c>
    </ns0:row>
    <ns0:row r="66" ht="33" customHeight="1">
      <ns0:c r="A66" s="97" t="n">
        <ns0:v>61</ns0:v>
      </ns0:c>
      <ns0:c r="B66" s="115" t="str">
        <ns0:v>循环取料与已学机制</ns0:v>
      </ns0:c>
      <ns0:c r="C66" s="125" t="str">
        <ns0:v>循环取料学习</ns0:v>
      </ns0:c>
      <ns0:c r="D66" s="100" t="n">
        <ns0:v>4.7</ns0:v>
      </ns0:c>
      <ns0:c r="E66" s="122" t="str">
        <ns0:v>轮转取料与归纳顺序</ns0:v>
      </ns0:c>
      <ns0:c r="F66" s="122" t="str">
        <ns0:v>机关与装量配合</ns0:v>
      </ns0:c>
      <ns0:c r="G66" s="97" t="str">
        <ns0:v>整齐</ns0:v>
      </ns0:c>
      <ns0:c r="H66" s="97" t="n">
        <ns0:v>7</ns0:v>
      </ns0:c>
      <ns0:c r="I66" s="97" t="n">
        <ns0:f>SUMIFS('装量配置'!$E$6:$E$718,'装量配置'!$A$6:$A$718,A66,'装量配置'!$B$6:$B$718,"开局",'装量配置'!$F$6:$F$718,4,'装量配置'!$G$6:$G$718,"&gt;0")</ns0:f>
        <ns0:v>16</ns0:v>
      </ns0:c>
      <ns0:c r="J66" s="97" t="n">
        <ns0:f>SUMIFS('装量配置'!$E$6:$E$718,'装量配置'!$A$6:$A$718,A66,'装量配置'!$B$6:$B$718,"备货")</ns0:f>
        <ns0:v>0</ns0:v>
      </ns0:c>
      <ns0:c r="K66" s="97" t="n">
        <ns0:v>15</ns0:v>
      </ns0:c>
      <ns0:c r="L66" s="97" t="n">
        <ns0:f>SUMIFS('装量配置'!$E$6:$E$718,'装量配置'!$A$6:$A$718,A66,'装量配置'!$B$6:$B$718,"开局",'装量配置'!$F$6:$F$718,4,'装量配置'!$G$6:$G$718,0,'装量配置'!$D$6:$D$718,"&lt;&gt;广告锁定周转盒")</ns0:f>
        <ns0:v>1</ns0:v>
      </ns0:c>
      <ns0:c r="M66" s="97" t="n">
        <ns0:f>SUMIFS('装量配置'!$E$6:$E$718,'装量配置'!$A$6:$A$718,A66,'装量配置'!$B$6:$B$718,"开局",'装量配置'!$F$6:$F$718,1)</ns0:f>
        <ns0:v>0</ns0:v>
      </ns0:c>
      <ns0:c r="N66" s="97" t="n">
        <ns0:f>SUMIFS('装量配置'!$E$6:$E$718,'装量配置'!$A$6:$A$718,A66,'装量配置'!$B$6:$B$718,"开局",'装量配置'!$D$6:$D$718,"广告锁定周转盒")</ns0:f>
        <ns0:v>2</ns0:v>
      </ns0:c>
      <ns0:c r="O66" s="97" t="n">
        <ns0:f>SUMIFS('装量配置'!$E$6:$E$718,'装量配置'!$A$6:$A$718,A66,'装量配置'!$B$6:$B$718,"开局")</ns0:f>
        <ns0:v>19</ns0:v>
      </ns0:c>
      <ns0:c r="P66" s="97" t="n">
        <ns0:f>SUMIFS('装量配置'!$K$6:$K$718,'装量配置'!$A$6:$A$718,A66)</ns0:f>
        <ns0:v>4</ns0:v>
      </ns0:c>
      <ns0:c r="Q66" s="97" t="n">
        <ns0:v>4</ns0:v>
      </ns0:c>
      <ns0:c r="R66" s="98" t="n">
        <ns0:v>0</ns0:v>
      </ns0:c>
      <ns0:c r="S66" s="98" t="n">
        <ns0:v>0.12</ns0:v>
      </ns0:c>
      <ns0:c r="T66" s="97" t="n">
        <ns0:v>3</ns0:v>
      </ns0:c>
      <ns0:c r="U66" s="97" t="n">
        <ns0:v>0</ns0:v>
      </ns0:c>
      <ns0:c r="V66" s="122" t="str">
        <ns0:v>底部置顶盒</ns0:v>
      </ns0:c>
      <ns0:c r="W66" s="122"/>
      <ns0:c r="X66" s="122" t="str">
        <ns0:v>底部置顶盒×1</ns0:v>
      </ns0:c>
      <ns0:c r="Y66" s="97" t="n">
        <ns0:f>SUMIFS('装量配置'!$I$6:$I$718,'装量配置'!$A$6:$A$718,A66)</ns0:f>
        <ns0:v>60</ns0:v>
      </ns0:c>
      <ns0:c r="Z66" s="97" t="str">
        <ns0:f>IF(AND(O66&lt;=25,N66=2,Y66=K66*4,H66&lt;=K66,P66+AT66&gt;=4,COUNTIFS('装量配置'!$A$6:$A$718,A66,'装量配置'!$O$6:$O$718,"需调整")=0),"装量通过；待逐味","需调整")</ns0:f>
        <ns0:v>装量通过；待逐味</ns0:v>
      </ns0:c>
      <ns0:c r="AA66" s="99" t="str">
        <ns0:v>四条件可行路线已保存（非最短解）</ns0:v>
      </ns0:c>
      <ns0:c r="AB66" s="99"/>
      <ns0:c r="AC66" s="99"/>
      <ns0:c r="AD66" s="98" t="n">
        <ns0:v>0.55</ns0:v>
      </ns0:c>
      <ns0:c r="AE66" s="100" t="n">
        <ns0:v>6.5</ns0:v>
      </ns0:c>
      <ns0:c r="AF66" s="101"/>
      <ns0:c r="AG66" s="101"/>
      <ns0:c r="AH66" s="102"/>
      <ns0:c r="AI66" s="130" t="str">
        <ns0:v>固定层序；待连续真人试玩</ns0:v>
      </ns0:c>
      <ns0:c r="AJ66" s="122" t="str">
        <ns0:v>明牌循环盒入门：先搬出触发底部置顶，再利用新顶层；没有其他机关。</ns0:v>
      </ns0:c>
      <ns0:c r="AK66" s="122" t="str">
        <ns0:v>连续居中，按盒数分排</ns0:v>
      </ns0:c>
      <ns0:c r="AL66" s="97" t="n">
        <ns0:v>1</ns0:v>
      </ns0:c>
      <ns0:c r="AM66" s="98" t="n">
        <ns0:v>0.78</ns0:v>
      </ns0:c>
      <ns0:c r="AN66" s="97"/>
      <ns0:c r="AO66" s="98"/>
      <ns0:c r="AP66" s="122" t="str">
        <ns0:v>双锁／单开A／单开B／双开完整回放</ns0:v>
      </ns0:c>
      <ns0:c r="AQ66" s="99"/>
      <ns0:c r="AR66" s="120" t="n">
        <ns0:f>SUMIFS('装量配置'!$I$6:$I$718,'装量配置'!$A$6:$A$718,A66,'装量配置'!$B$6:$B$718,"开局")</ns0:f>
        <ns0:v>60</ns0:v>
      </ns0:c>
      <ns0:c r="AS66" s="132" t="n">
        <ns0:f>SUMIFS('装量配置'!$I$6:$I$718,'装量配置'!$A$6:$A$718,A66,'装量配置'!$B$6:$B$718,"开局",'装量配置'!$D$6:$D$718,"普通盒",'装量配置'!$G$6:$G$718,"&gt;0")/(4*SUMIFS('装量配置'!$E$6:$E$718,'装量配置'!$A$6:$A$718,A66,'装量配置'!$B$6:$B$718,"开局",'装量配置'!$D$6:$D$718,"普通盒",'装量配置'!$G$6:$G$718,"&gt;0"))</ns0:f>
        <ns0:v>0.9333333333333333</ns0:v>
      </ns0:c>
      <ns0:c r="AT66" s="120" t="n">
        <ns0:f>SUMIFS('装量配置'!$L$6:$L$718,'装量配置'!$A$6:$A$718,A66)</ns0:f>
        <ns0:v>4</ns0:v>
      </ns0:c>
      <ns0:c r="AU66" s="120" t="n">
        <ns0:f>SUMIFS('装量配置'!$M$6:$M$718,'装量配置'!$A$6:$A$718,A66)</ns0:f>
        <ns0:v>0</ns0:v>
      </ns0:c>
      <ns0:c r="AV66" s="120" t="n">
        <ns0:f>SUMIFS('装量配置'!$N$6:$N$718,'装量配置'!$A$6:$A$718,A66)</ns0:f>
        <ns0:v>0</ns0:v>
      </ns0:c>
      <ns0:c r="AW66" s="132" t="n">
        <ns0:v>0.18</ns0:v>
      </ns0:c>
      <ns0:c r="AX66" s="120" t="n">
        <ns0:v>4</ns0:v>
      </ns0:c>
      <ns0:c r="AY66" s="120" t="n">
        <ns0:f>IF(AX66=1,1,0)</ns0:f>
        <ns0:v>0</ns0:v>
      </ns0:c>
      <ns0:c r="AZ66" s="120" t="n">
        <ns0:f>SUMIFS('装量配置'!$E$6:$E$718,'装量配置'!$A$6:$A$718,A66,'装量配置'!$B$6:$B$718,"开局",'装量配置'!$D$6:$D$718,"&lt;&gt;普通盒",'装量配置'!$D$6:$D$718,"&lt;&gt;广告锁定周转盒")</ns0:f>
        <ns0:v>1</ns0:v>
      </ns0:c>
      <ns0:c r="BA66" s="149" t="n">
        <ns0:f>IF(COUNTIFS('装量配置'!$A$6:$A$718,A66,'装量配置'!$B$6:$B$718,"开局",'装量配置'!$D$6:$D$718,"数字盖盒",'装量配置'!$E$6:$E$718,"&gt;0")&gt;0,1,0)+IF(COUNTIFS('装量配置'!$A$6:$A$718,A66,'装量配置'!$B$6:$B$718,"开局",'装量配置'!$D$6:$D$718,"普通冰冻盒",'装量配置'!$E$6:$E$718,"&gt;0")&gt;0,1,0)+IF(COUNTIFS('装量配置'!$A$6:$A$718,A66,'装量配置'!$B$6:$B$718,"开局",'装量配置'!$D$6:$D$718,"单颗暂存盒",'装量配置'!$E$6:$E$718,"&gt;0")&gt;0,1,0)+IF(COUNTIFS('装量配置'!$A$6:$A$718,A66,'装量配置'!$B$6:$B$718,"开局",'装量配置'!$D$6:$D$718,"数字冰冻盒",'装量配置'!$E$6:$E$718,"&gt;0")&gt;0,1,0)+IF(COUNTIFS('装量配置'!$A$6:$A$718,A66,'装量配置'!$B$6:$B$718,"开局",'装量配置'!$D$6:$D$718,"固定颜色盒",'装量配置'!$E$6:$E$718,"&gt;0")&gt;0,1,0)+IF(COUNTIFS('装量配置'!$A$6:$A$718,A66,'装量配置'!$B$6:$B$718,"开局",'装量配置'!$D$6:$D$718,"单向收纳盒",'装量配置'!$E$6:$E$718,"&gt;0")&gt;0,1,0)+IF(COUNTIFS('装量配置'!$A$6:$A$718,A66,'装量配置'!$B$6:$B$718,"开局",'装量配置'!$D$6:$D$718,"底部置顶盒",'装量配置'!$E$6:$E$718,"&gt;0")&gt;0,1,0)+IF(COUNTIFS('装量配置'!$A$6:$A$718,A66,'装量配置'!$B$6:$B$718,"开局",'装量配置'!$D$6:$D$718,"炸弹盒",'装量配置'!$E$6:$E$718,"&gt;0")&gt;0,1,0)</ns0:f>
        <ns0:v>1</ns0:v>
      </ns0:c>
      <ns0:c r="BB66" s="149" t="n">
        <ns0:f>SUMIFS('装量配置'!$E$6:$E$718,'装量配置'!$A$6:$A$718,A66,'装量配置'!$B$6:$B$718,"开局",'装量配置'!$D$6:$D$718,"数字盖盒")+SUMIFS('装量配置'!$E$6:$E$718,'装量配置'!$A$6:$A$718,A66,'装量配置'!$B$6:$B$718,"开局",'装量配置'!$D$6:$D$718,"普通冰冻盒")+SUMIFS('装量配置'!$E$6:$E$718,'装量配置'!$A$6:$A$718,A66,'装量配置'!$B$6:$B$718,"开局",'装量配置'!$D$6:$D$718,"数字冰冻盒")</ns0:f>
        <ns0:v>0</ns0:v>
      </ns0:c>
      <ns0:c r="BC66" s="149" t="n">
        <ns0:f>SUMIFS('装量配置'!$R$6:$R$718,'装量配置'!$A$6:$A$718,A66,'装量配置'!$B$6:$B$718,"开局")</ns0:f>
        <ns0:v>0</ns0:v>
      </ns0:c>
      <ns0:c r="BD66" s="146" t="str">
        <ns0:v>明牌循环盒入门：先搬出触发底部置顶，再利用新顶层；没有其他机关。</ns0:v>
      </ns0:c>
      <ns0:c r="BE66" s="149" t="n">
        <ns0:v>2</ns0:v>
      </ns0:c>
      <ns0:c r="BF66" s="146" t="str">
        <ns0:v>首归纳及时交付，逐关检查机关参与与补货余量</ns0:v>
      </ns0:c>
    </ns0:row>
    <ns0:row r="67" ht="33" customHeight="1">
      <ns0:c r="A67" s="105" t="n">
        <ns0:v>62</ns0:v>
      </ns0:c>
      <ns0:c r="B67" s="117" t="str">
        <ns0:v>循环取料与已学机制</ns0:v>
      </ns0:c>
      <ns0:c r="C67" s="126" t="str">
        <ns0:v>循环取料学习</ns0:v>
      </ns0:c>
      <ns0:c r="D67" s="108" t="n">
        <ns0:v>4.8</ns0:v>
      </ns0:c>
      <ns0:c r="E67" s="123" t="str">
        <ns0:v>轮转取料与归纳顺序</ns0:v>
      </ns0:c>
      <ns0:c r="F67" s="123" t="str">
        <ns0:v>机关与装量配合</ns0:v>
      </ns0:c>
      <ns0:c r="G67" s="105" t="str">
        <ns0:v>错落</ns0:v>
      </ns0:c>
      <ns0:c r="H67" s="105" t="n">
        <ns0:v>8</ns0:v>
      </ns0:c>
      <ns0:c r="I67" s="105" t="n">
        <ns0:f>SUMIFS('装量配置'!$E$6:$E$718,'装量配置'!$A$6:$A$718,A67,'装量配置'!$B$6:$B$718,"开局",'装量配置'!$F$6:$F$718,4,'装量配置'!$G$6:$G$718,"&gt;0")</ns0:f>
        <ns0:v>18</ns0:v>
      </ns0:c>
      <ns0:c r="J67" s="105" t="n">
        <ns0:f>SUMIFS('装量配置'!$E$6:$E$718,'装量配置'!$A$6:$A$718,A67,'装量配置'!$B$6:$B$718,"备货")</ns0:f>
        <ns0:v>0</ns0:v>
      </ns0:c>
      <ns0:c r="K67" s="105" t="n">
        <ns0:v>16</ns0:v>
      </ns0:c>
      <ns0:c r="L67" s="105" t="n">
        <ns0:f>SUMIFS('装量配置'!$E$6:$E$718,'装量配置'!$A$6:$A$718,A67,'装量配置'!$B$6:$B$718,"开局",'装量配置'!$F$6:$F$718,4,'装量配置'!$G$6:$G$718,0,'装量配置'!$D$6:$D$718,"&lt;&gt;广告锁定周转盒")</ns0:f>
        <ns0:v>0</ns0:v>
      </ns0:c>
      <ns0:c r="M67" s="105" t="n">
        <ns0:f>SUMIFS('装量配置'!$E$6:$E$718,'装量配置'!$A$6:$A$718,A67,'装量配置'!$B$6:$B$718,"开局",'装量配置'!$F$6:$F$718,1)</ns0:f>
        <ns0:v>0</ns0:v>
      </ns0:c>
      <ns0:c r="N67" s="105" t="n">
        <ns0:f>SUMIFS('装量配置'!$E$6:$E$718,'装量配置'!$A$6:$A$718,A67,'装量配置'!$B$6:$B$718,"开局",'装量配置'!$D$6:$D$718,"广告锁定周转盒")</ns0:f>
        <ns0:v>2</ns0:v>
      </ns0:c>
      <ns0:c r="O67" s="105" t="n">
        <ns0:f>SUMIFS('装量配置'!$E$6:$E$718,'装量配置'!$A$6:$A$718,A67,'装量配置'!$B$6:$B$718,"开局")</ns0:f>
        <ns0:v>20</ns0:v>
      </ns0:c>
      <ns0:c r="P67" s="105" t="n">
        <ns0:f>SUMIFS('装量配置'!$K$6:$K$718,'装量配置'!$A$6:$A$718,A67)</ns0:f>
        <ns0:v>0</ns0:v>
      </ns0:c>
      <ns0:c r="Q67" s="105" t="n">
        <ns0:v>4</ns0:v>
      </ns0:c>
      <ns0:c r="R67" s="106" t="n">
        <ns0:v>0</ns0:v>
      </ns0:c>
      <ns0:c r="S67" s="106" t="n">
        <ns0:v>0.12</ns0:v>
      </ns0:c>
      <ns0:c r="T67" s="105" t="n">
        <ns0:v>3</ns0:v>
      </ns0:c>
      <ns0:c r="U67" s="105" t="n">
        <ns0:v>0</ns0:v>
      </ns0:c>
      <ns0:c r="V67" s="123" t="str">
        <ns0:v>底部置顶盒</ns0:v>
      </ns0:c>
      <ns0:c r="W67" s="123"/>
      <ns0:c r="X67" s="123" t="str">
        <ns0:v>底部置顶盒×1</ns0:v>
      </ns0:c>
      <ns0:c r="Y67" s="105" t="n">
        <ns0:f>SUMIFS('装量配置'!$I$6:$I$718,'装量配置'!$A$6:$A$718,A67)</ns0:f>
        <ns0:v>64</ns0:v>
      </ns0:c>
      <ns0:c r="Z67" s="105" t="str">
        <ns0:f>IF(AND(O67&lt;=25,N67=2,Y67=K67*4,H67&lt;=K67,P67+AT67&gt;=4,COUNTIFS('装量配置'!$A$6:$A$718,A67,'装量配置'!$O$6:$O$718,"需调整")=0),"装量通过；待逐味","需调整")</ns0:f>
        <ns0:v>装量通过；待逐味</ns0:v>
      </ns0:c>
      <ns0:c r="AA67" s="107" t="str">
        <ns0:v>四条件可行路线已保存（非最短解）</ns0:v>
      </ns0:c>
      <ns0:c r="AB67" s="107"/>
      <ns0:c r="AC67" s="107"/>
      <ns0:c r="AD67" s="106" t="n">
        <ns0:v>0.49</ns0:v>
      </ns0:c>
      <ns0:c r="AE67" s="108" t="n">
        <ns0:v>6.5</ns0:v>
      </ns0:c>
      <ns0:c r="AF67" s="109"/>
      <ns0:c r="AG67" s="109"/>
      <ns0:c r="AH67" s="110"/>
      <ns0:c r="AI67" s="131" t="str">
        <ns0:v>固定层序；待连续真人试玩</ns0:v>
      </ns0:c>
      <ns0:c r="AJ67" s="123" t="str">
        <ns0:v>无完整空盒，借半满盒接住循环盒顶层，规划下一次轮转；保持全明牌。</ns0:v>
      </ns0:c>
      <ns0:c r="AK67" s="123" t="str">
        <ns0:v>连续居中，按盒数分排</ns0:v>
      </ns0:c>
      <ns0:c r="AL67" s="105" t="n">
        <ns0:v>1</ns0:v>
      </ns0:c>
      <ns0:c r="AM67" s="106" t="n">
        <ns0:v>0.78</ns0:v>
      </ns0:c>
      <ns0:c r="AN67" s="107"/>
      <ns0:c r="AO67" s="110"/>
      <ns0:c r="AP67" s="123" t="str">
        <ns0:v>双锁／单开A／单开B／双开完整回放</ns0:v>
      </ns0:c>
      <ns0:c r="AQ67" s="107"/>
      <ns0:c r="AR67" s="121" t="n">
        <ns0:f>SUMIFS('装量配置'!$I$6:$I$718,'装量配置'!$A$6:$A$718,A67,'装量配置'!$B$6:$B$718,"开局")</ns0:f>
        <ns0:v>64</ns0:v>
      </ns0:c>
      <ns0:c r="AS67" s="133" t="n">
        <ns0:f>SUMIFS('装量配置'!$I$6:$I$718,'装量配置'!$A$6:$A$718,A67,'装量配置'!$B$6:$B$718,"开局",'装量配置'!$D$6:$D$718,"普通盒",'装量配置'!$G$6:$G$718,"&gt;0")/(4*SUMIFS('装量配置'!$E$6:$E$718,'装量配置'!$A$6:$A$718,A67,'装量配置'!$B$6:$B$718,"开局",'装量配置'!$D$6:$D$718,"普通盒",'装量配置'!$G$6:$G$718,"&gt;0"))</ns0:f>
        <ns0:v>0.8823529411764706</ns0:v>
      </ns0:c>
      <ns0:c r="AT67" s="121" t="n">
        <ns0:f>SUMIFS('装量配置'!$L$6:$L$718,'装量配置'!$A$6:$A$718,A67)</ns0:f>
        <ns0:v>8</ns0:v>
      </ns0:c>
      <ns0:c r="AU67" s="121" t="n">
        <ns0:f>SUMIFS('装量配置'!$M$6:$M$718,'装量配置'!$A$6:$A$718,A67)</ns0:f>
        <ns0:v>0</ns0:v>
      </ns0:c>
      <ns0:c r="AV67" s="121" t="n">
        <ns0:f>SUMIFS('装量配置'!$N$6:$N$718,'装量配置'!$A$6:$A$718,A67)</ns0:f>
        <ns0:v>0</ns0:v>
      </ns0:c>
      <ns0:c r="AW67" s="133" t="n">
        <ns0:v>0.18</ns0:v>
      </ns0:c>
      <ns0:c r="AX67" s="121" t="n">
        <ns0:v>4</ns0:v>
      </ns0:c>
      <ns0:c r="AY67" s="121" t="n">
        <ns0:f>IF(AX67=1,1,0)</ns0:f>
        <ns0:v>0</ns0:v>
      </ns0:c>
      <ns0:c r="AZ67" s="121" t="n">
        <ns0:f>SUMIFS('装量配置'!$E$6:$E$718,'装量配置'!$A$6:$A$718,A67,'装量配置'!$B$6:$B$718,"开局",'装量配置'!$D$6:$D$718,"&lt;&gt;普通盒",'装量配置'!$D$6:$D$718,"&lt;&gt;广告锁定周转盒")</ns0:f>
        <ns0:v>1</ns0:v>
      </ns0:c>
      <ns0:c r="BA67" s="150" t="n">
        <ns0:f>IF(COUNTIFS('装量配置'!$A$6:$A$718,A67,'装量配置'!$B$6:$B$718,"开局",'装量配置'!$D$6:$D$718,"数字盖盒",'装量配置'!$E$6:$E$718,"&gt;0")&gt;0,1,0)+IF(COUNTIFS('装量配置'!$A$6:$A$718,A67,'装量配置'!$B$6:$B$718,"开局",'装量配置'!$D$6:$D$718,"普通冰冻盒",'装量配置'!$E$6:$E$718,"&gt;0")&gt;0,1,0)+IF(COUNTIFS('装量配置'!$A$6:$A$718,A67,'装量配置'!$B$6:$B$718,"开局",'装量配置'!$D$6:$D$718,"单颗暂存盒",'装量配置'!$E$6:$E$718,"&gt;0")&gt;0,1,0)+IF(COUNTIFS('装量配置'!$A$6:$A$718,A67,'装量配置'!$B$6:$B$718,"开局",'装量配置'!$D$6:$D$718,"数字冰冻盒",'装量配置'!$E$6:$E$718,"&gt;0")&gt;0,1,0)+IF(COUNTIFS('装量配置'!$A$6:$A$718,A67,'装量配置'!$B$6:$B$718,"开局",'装量配置'!$D$6:$D$718,"固定颜色盒",'装量配置'!$E$6:$E$718,"&gt;0")&gt;0,1,0)+IF(COUNTIFS('装量配置'!$A$6:$A$718,A67,'装量配置'!$B$6:$B$718,"开局",'装量配置'!$D$6:$D$718,"单向收纳盒",'装量配置'!$E$6:$E$718,"&gt;0")&gt;0,1,0)+IF(COUNTIFS('装量配置'!$A$6:$A$718,A67,'装量配置'!$B$6:$B$718,"开局",'装量配置'!$D$6:$D$718,"底部置顶盒",'装量配置'!$E$6:$E$718,"&gt;0")&gt;0,1,0)+IF(COUNTIFS('装量配置'!$A$6:$A$718,A67,'装量配置'!$B$6:$B$718,"开局",'装量配置'!$D$6:$D$718,"炸弹盒",'装量配置'!$E$6:$E$718,"&gt;0")&gt;0,1,0)</ns0:f>
        <ns0:v>1</ns0:v>
      </ns0:c>
      <ns0:c r="BB67" s="150" t="n">
        <ns0:f>SUMIFS('装量配置'!$E$6:$E$718,'装量配置'!$A$6:$A$718,A67,'装量配置'!$B$6:$B$718,"开局",'装量配置'!$D$6:$D$718,"数字盖盒")+SUMIFS('装量配置'!$E$6:$E$718,'装量配置'!$A$6:$A$718,A67,'装量配置'!$B$6:$B$718,"开局",'装量配置'!$D$6:$D$718,"普通冰冻盒")+SUMIFS('装量配置'!$E$6:$E$718,'装量配置'!$A$6:$A$718,A67,'装量配置'!$B$6:$B$718,"开局",'装量配置'!$D$6:$D$718,"数字冰冻盒")</ns0:f>
        <ns0:v>0</ns0:v>
      </ns0:c>
      <ns0:c r="BC67" s="150" t="n">
        <ns0:f>SUMIFS('装量配置'!$R$6:$R$718,'装量配置'!$A$6:$A$718,A67,'装量配置'!$B$6:$B$718,"开局")</ns0:f>
        <ns0:v>0</ns0:v>
      </ns0:c>
      <ns0:c r="BD67" s="148" t="str">
        <ns0:v>无完整空盒，借半满盒接住循环盒顶层，规划下一次轮转；保持全明牌。</ns0:v>
      </ns0:c>
      <ns0:c r="BE67" s="150" t="n">
        <ns0:v>3</ns0:v>
      </ns0:c>
      <ns0:c r="BF67" s="148" t="str">
        <ns0:v>首归纳及时交付，逐关检查机关参与与补货余量</ns0:v>
      </ns0:c>
    </ns0:row>
    <ns0:row r="68" ht="33" customHeight="1">
      <ns0:c r="A68" s="112" t="n">
        <ns0:v>63</ns0:v>
      </ns0:c>
      <ns0:c r="B68" s="119" t="str">
        <ns0:v>循环取料与已学机制</ns0:v>
      </ns0:c>
      <ns0:c r="C68" s="127" t="str">
        <ns0:v>机制组合</ns0:v>
      </ns0:c>
      <ns0:c r="D68" s="114" t="n">
        <ns0:v>4.9</ns0:v>
      </ns0:c>
      <ns0:c r="E68" s="124" t="str">
        <ns0:v>轮转取料与归纳顺序</ns0:v>
      </ns0:c>
      <ns0:c r="F68" s="124" t="str">
        <ns0:v>机关与装量配合</ns0:v>
      </ns0:c>
      <ns0:c r="G68" s="112" t="str">
        <ns0:v>错落</ns0:v>
      </ns0:c>
      <ns0:c r="H68" s="112" t="n">
        <ns0:v>8</ns0:v>
      </ns0:c>
      <ns0:c r="I68" s="112" t="n">
        <ns0:f>SUMIFS('装量配置'!$E$6:$E$718,'装量配置'!$A$6:$A$718,A68,'装量配置'!$B$6:$B$718,"开局",'装量配置'!$F$6:$F$718,4,'装量配置'!$G$6:$G$718,"&gt;0")</ns0:f>
        <ns0:v>17</ns0:v>
      </ns0:c>
      <ns0:c r="J68" s="112" t="n">
        <ns0:f>SUMIFS('装量配置'!$E$6:$E$718,'装量配置'!$A$6:$A$718,A68,'装量配置'!$B$6:$B$718,"备货")</ns0:f>
        <ns0:v>0</ns0:v>
      </ns0:c>
      <ns0:c r="K68" s="112" t="n">
        <ns0:v>16</ns0:v>
      </ns0:c>
      <ns0:c r="L68" s="112" t="n">
        <ns0:f>SUMIFS('装量配置'!$E$6:$E$718,'装量配置'!$A$6:$A$718,A68,'装量配置'!$B$6:$B$718,"开局",'装量配置'!$F$6:$F$718,4,'装量配置'!$G$6:$G$718,0,'装量配置'!$D$6:$D$718,"&lt;&gt;广告锁定周转盒")</ns0:f>
        <ns0:v>1</ns0:v>
      </ns0:c>
      <ns0:c r="M68" s="112" t="n">
        <ns0:f>SUMIFS('装量配置'!$E$6:$E$718,'装量配置'!$A$6:$A$718,A68,'装量配置'!$B$6:$B$718,"开局",'装量配置'!$F$6:$F$718,1)</ns0:f>
        <ns0:v>0</ns0:v>
      </ns0:c>
      <ns0:c r="N68" s="112" t="n">
        <ns0:f>SUMIFS('装量配置'!$E$6:$E$718,'装量配置'!$A$6:$A$718,A68,'装量配置'!$B$6:$B$718,"开局",'装量配置'!$D$6:$D$718,"广告锁定周转盒")</ns0:f>
        <ns0:v>2</ns0:v>
      </ns0:c>
      <ns0:c r="O68" s="112" t="n">
        <ns0:f>SUMIFS('装量配置'!$E$6:$E$718,'装量配置'!$A$6:$A$718,A68,'装量配置'!$B$6:$B$718,"开局")</ns0:f>
        <ns0:v>20</ns0:v>
      </ns0:c>
      <ns0:c r="P68" s="112" t="n">
        <ns0:f>SUMIFS('装量配置'!$K$6:$K$718,'装量配置'!$A$6:$A$718,A68)</ns0:f>
        <ns0:v>4</ns0:v>
      </ns0:c>
      <ns0:c r="Q68" s="112" t="n">
        <ns0:v>4</ns0:v>
      </ns0:c>
      <ns0:c r="R68" s="113" t="n">
        <ns0:v>0</ns0:v>
      </ns0:c>
      <ns0:c r="S68" s="113" t="n">
        <ns0:v>0.12</ns0:v>
      </ns0:c>
      <ns0:c r="T68" s="112" t="n">
        <ns0:v>4</ns0:v>
      </ns0:c>
      <ns0:c r="U68" s="112" t="n">
        <ns0:v>0</ns0:v>
      </ns0:c>
      <ns0:c r="V68" s="124" t="str">
        <ns0:v>底部置顶盒</ns0:v>
      </ns0:c>
      <ns0:c r="W68" s="124" t="str">
        <ns0:v>数字冰冻盒</ns0:v>
      </ns0:c>
      <ns0:c r="X68" s="124" t="str">
        <ns0:v>底部置顶盒×1；数字冰冻盒×1</ns0:v>
      </ns0:c>
      <ns0:c r="Y68" s="112" t="n">
        <ns0:f>SUMIFS('装量配置'!$I$6:$I$718,'装量配置'!$A$6:$A$718,A68)</ns0:f>
        <ns0:v>64</ns0:v>
      </ns0:c>
      <ns0:c r="Z68" s="112" t="str">
        <ns0:f>IF(AND(O68&lt;=25,N68=2,Y68=K68*4,H68&lt;=K68,P68+AT68&gt;=4,COUNTIFS('装量配置'!$A$6:$A$718,A68,'装量配置'!$O$6:$O$718,"需调整")=0),"装量通过；待逐味","需调整")</ns0:f>
        <ns0:v>装量通过；待逐味</ns0:v>
      </ns0:c>
      <ns0:c r="AA68" s="107" t="str">
        <ns0:v>四条件可行路线已保存（非最短解）</ns0:v>
      </ns0:c>
      <ns0:c r="AB68" s="107"/>
      <ns0:c r="AC68" s="107"/>
      <ns0:c r="AD68" s="113" t="n">
        <ns0:v>0.44</ns0:v>
      </ns0:c>
      <ns0:c r="AE68" s="114" t="n">
        <ns0:v>6.5</ns0:v>
      </ns0:c>
      <ns0:c r="AF68" s="109"/>
      <ns0:c r="AG68" s="109"/>
      <ns0:c r="AH68" s="110"/>
      <ns0:c r="AI68" s="131" t="str">
        <ns0:v>固定层序；待连续真人试玩</ns0:v>
      </ns0:c>
      <ns0:c r="AJ68" s="124" t="str">
        <ns0:v>循环取料与首次归纳联动数字冰冻1；先规划轮转后露出的口味。</ns0:v>
      </ns0:c>
      <ns0:c r="AK68" s="124" t="str">
        <ns0:v>连续居中，按盒数分排</ns0:v>
      </ns0:c>
      <ns0:c r="AL68" s="112" t="n">
        <ns0:v>1</ns0:v>
      </ns0:c>
      <ns0:c r="AM68" s="113" t="n">
        <ns0:v>0.78</ns0:v>
      </ns0:c>
      <ns0:c r="AN68" s="112"/>
      <ns0:c r="AO68" s="113"/>
      <ns0:c r="AP68" s="124" t="str">
        <ns0:v>双锁／单开A／单开B／双开完整回放</ns0:v>
      </ns0:c>
      <ns0:c r="AQ68" s="107"/>
      <ns0:c r="AR68" s="120" t="n">
        <ns0:f>SUMIFS('装量配置'!$I$6:$I$718,'装量配置'!$A$6:$A$718,A68,'装量配置'!$B$6:$B$718,"开局")</ns0:f>
        <ns0:v>64</ns0:v>
      </ns0:c>
      <ns0:c r="AS68" s="132" t="n">
        <ns0:f>SUMIFS('装量配置'!$I$6:$I$718,'装量配置'!$A$6:$A$718,A68,'装量配置'!$B$6:$B$718,"开局",'装量配置'!$D$6:$D$718,"普通盒",'装量配置'!$G$6:$G$718,"&gt;0")/(4*SUMIFS('装量配置'!$E$6:$E$718,'装量配置'!$A$6:$A$718,A68,'装量配置'!$B$6:$B$718,"开局",'装量配置'!$D$6:$D$718,"普通盒",'装量配置'!$G$6:$G$718,"&gt;0"))</ns0:f>
        <ns0:v>0.9333333333333333</ns0:v>
      </ns0:c>
      <ns0:c r="AT68" s="120" t="n">
        <ns0:f>SUMIFS('装量配置'!$L$6:$L$718,'装量配置'!$A$6:$A$718,A68)</ns0:f>
        <ns0:v>4</ns0:v>
      </ns0:c>
      <ns0:c r="AU68" s="120" t="n">
        <ns0:f>SUMIFS('装量配置'!$M$6:$M$718,'装量配置'!$A$6:$A$718,A68)</ns0:f>
        <ns0:v>0</ns0:v>
      </ns0:c>
      <ns0:c r="AV68" s="120" t="n">
        <ns0:f>SUMIFS('装量配置'!$N$6:$N$718,'装量配置'!$A$6:$A$718,A68)</ns0:f>
        <ns0:v>0</ns0:v>
      </ns0:c>
      <ns0:c r="AW68" s="132" t="n">
        <ns0:v>0.18</ns0:v>
      </ns0:c>
      <ns0:c r="AX68" s="120" t="n">
        <ns0:v>5</ns0:v>
      </ns0:c>
      <ns0:c r="AY68" s="120" t="n">
        <ns0:f>IF(AX68=1,1,0)</ns0:f>
        <ns0:v>0</ns0:v>
      </ns0:c>
      <ns0:c r="AZ68" s="120" t="n">
        <ns0:f>SUMIFS('装量配置'!$E$6:$E$718,'装量配置'!$A$6:$A$718,A68,'装量配置'!$B$6:$B$718,"开局",'装量配置'!$D$6:$D$718,"&lt;&gt;普通盒",'装量配置'!$D$6:$D$718,"&lt;&gt;广告锁定周转盒")</ns0:f>
        <ns0:v>2</ns0:v>
      </ns0:c>
      <ns0:c r="BA68" s="149" t="n">
        <ns0:f>IF(COUNTIFS('装量配置'!$A$6:$A$718,A68,'装量配置'!$B$6:$B$718,"开局",'装量配置'!$D$6:$D$718,"数字盖盒",'装量配置'!$E$6:$E$718,"&gt;0")&gt;0,1,0)+IF(COUNTIFS('装量配置'!$A$6:$A$718,A68,'装量配置'!$B$6:$B$718,"开局",'装量配置'!$D$6:$D$718,"普通冰冻盒",'装量配置'!$E$6:$E$718,"&gt;0")&gt;0,1,0)+IF(COUNTIFS('装量配置'!$A$6:$A$718,A68,'装量配置'!$B$6:$B$718,"开局",'装量配置'!$D$6:$D$718,"单颗暂存盒",'装量配置'!$E$6:$E$718,"&gt;0")&gt;0,1,0)+IF(COUNTIFS('装量配置'!$A$6:$A$718,A68,'装量配置'!$B$6:$B$718,"开局",'装量配置'!$D$6:$D$718,"数字冰冻盒",'装量配置'!$E$6:$E$718,"&gt;0")&gt;0,1,0)+IF(COUNTIFS('装量配置'!$A$6:$A$718,A68,'装量配置'!$B$6:$B$718,"开局",'装量配置'!$D$6:$D$718,"固定颜色盒",'装量配置'!$E$6:$E$718,"&gt;0")&gt;0,1,0)+IF(COUNTIFS('装量配置'!$A$6:$A$718,A68,'装量配置'!$B$6:$B$718,"开局",'装量配置'!$D$6:$D$718,"单向收纳盒",'装量配置'!$E$6:$E$718,"&gt;0")&gt;0,1,0)+IF(COUNTIFS('装量配置'!$A$6:$A$718,A68,'装量配置'!$B$6:$B$718,"开局",'装量配置'!$D$6:$D$718,"底部置顶盒",'装量配置'!$E$6:$E$718,"&gt;0")&gt;0,1,0)+IF(COUNTIFS('装量配置'!$A$6:$A$718,A68,'装量配置'!$B$6:$B$718,"开局",'装量配置'!$D$6:$D$718,"炸弹盒",'装量配置'!$E$6:$E$718,"&gt;0")&gt;0,1,0)</ns0:f>
        <ns0:v>2</ns0:v>
      </ns0:c>
      <ns0:c r="BB68" s="149" t="n">
        <ns0:f>SUMIFS('装量配置'!$E$6:$E$718,'装量配置'!$A$6:$A$718,A68,'装量配置'!$B$6:$B$718,"开局",'装量配置'!$D$6:$D$718,"数字盖盒")+SUMIFS('装量配置'!$E$6:$E$718,'装量配置'!$A$6:$A$718,A68,'装量配置'!$B$6:$B$718,"开局",'装量配置'!$D$6:$D$718,"普通冰冻盒")+SUMIFS('装量配置'!$E$6:$E$718,'装量配置'!$A$6:$A$718,A68,'装量配置'!$B$6:$B$718,"开局",'装量配置'!$D$6:$D$718,"数字冰冻盒")</ns0:f>
        <ns0:v>1</ns0:v>
      </ns0:c>
      <ns0:c r="BC68" s="149" t="n">
        <ns0:f>SUMIFS('装量配置'!$R$6:$R$718,'装量配置'!$A$6:$A$718,A68,'装量配置'!$B$6:$B$718,"开局")</ns0:f>
        <ns0:v>1</ns0:v>
      </ns0:c>
      <ns0:c r="BD68" s="146" t="str">
        <ns0:v>循环取料与首次归纳联动数字冰冻1；先规划轮转后露出的口味。</ns0:v>
      </ns0:c>
      <ns0:c r="BE68" s="149" t="n">
        <ns0:v>3</ns0:v>
      </ns0:c>
      <ns0:c r="BF68" s="146" t="str">
        <ns0:v>首归纳及时交付，逐关检查机关参与与补货余量</ns0:v>
      </ns0:c>
    </ns0:row>
    <ns0:row r="69" ht="33" customHeight="1">
      <ns0:c r="A69" s="105" t="n">
        <ns0:v>64</ns0:v>
      </ns0:c>
      <ns0:c r="B69" s="117" t="str">
        <ns0:v>循环取料与已学机制</ns0:v>
      </ns0:c>
      <ns0:c r="C69" s="126" t="str">
        <ns0:v>缓和巩固</ns0:v>
      </ns0:c>
      <ns0:c r="D69" s="108" t="n">
        <ns0:v>4.7</ns0:v>
      </ns0:c>
      <ns0:c r="E69" s="123" t="str">
        <ns0:v>轮转取料与归纳顺序</ns0:v>
      </ns0:c>
      <ns0:c r="F69" s="123" t="str">
        <ns0:v>机关与装量配合</ns0:v>
      </ns0:c>
      <ns0:c r="G69" s="105" t="str">
        <ns0:v>整齐</ns0:v>
      </ns0:c>
      <ns0:c r="H69" s="105" t="n">
        <ns0:v>7</ns0:v>
      </ns0:c>
      <ns0:c r="I69" s="105" t="n">
        <ns0:f>SUMIFS('装量配置'!$E$6:$E$718,'装量配置'!$A$6:$A$718,A69,'装量配置'!$B$6:$B$718,"开局",'装量配置'!$F$6:$F$718,4,'装量配置'!$G$6:$G$718,"&gt;0")</ns0:f>
        <ns0:v>15</ns0:v>
      </ns0:c>
      <ns0:c r="J69" s="105" t="n">
        <ns0:f>SUMIFS('装量配置'!$E$6:$E$718,'装量配置'!$A$6:$A$718,A69,'装量配置'!$B$6:$B$718,"备货")</ns0:f>
        <ns0:v>1</ns0:v>
      </ns0:c>
      <ns0:c r="K69" s="105" t="n">
        <ns0:v>16</ns0:v>
      </ns0:c>
      <ns0:c r="L69" s="105" t="n">
        <ns0:f>SUMIFS('装量配置'!$E$6:$E$718,'装量配置'!$A$6:$A$718,A69,'装量配置'!$B$6:$B$718,"开局",'装量配置'!$F$6:$F$718,4,'装量配置'!$G$6:$G$718,0,'装量配置'!$D$6:$D$718,"&lt;&gt;广告锁定周转盒")</ns0:f>
        <ns0:v>2</ns0:v>
      </ns0:c>
      <ns0:c r="M69" s="105" t="n">
        <ns0:f>SUMIFS('装量配置'!$E$6:$E$718,'装量配置'!$A$6:$A$718,A69,'装量配置'!$B$6:$B$718,"开局",'装量配置'!$F$6:$F$718,1)</ns0:f>
        <ns0:v>0</ns0:v>
      </ns0:c>
      <ns0:c r="N69" s="105" t="n">
        <ns0:f>SUMIFS('装量配置'!$E$6:$E$718,'装量配置'!$A$6:$A$718,A69,'装量配置'!$B$6:$B$718,"开局",'装量配置'!$D$6:$D$718,"广告锁定周转盒")</ns0:f>
        <ns0:v>2</ns0:v>
      </ns0:c>
      <ns0:c r="O69" s="105" t="n">
        <ns0:f>SUMIFS('装量配置'!$E$6:$E$718,'装量配置'!$A$6:$A$718,A69,'装量配置'!$B$6:$B$718,"开局")</ns0:f>
        <ns0:v>19</ns0:v>
      </ns0:c>
      <ns0:c r="P69" s="105" t="n">
        <ns0:f>SUMIFS('装量配置'!$K$6:$K$718,'装量配置'!$A$6:$A$718,A69)</ns0:f>
        <ns0:v>8</ns0:v>
      </ns0:c>
      <ns0:c r="Q69" s="105" t="n">
        <ns0:v>4</ns0:v>
      </ns0:c>
      <ns0:c r="R69" s="106" t="n">
        <ns0:v>0</ns0:v>
      </ns0:c>
      <ns0:c r="S69" s="106" t="n">
        <ns0:v>0.12</ns0:v>
      </ns0:c>
      <ns0:c r="T69" s="105" t="n">
        <ns0:v>3</ns0:v>
      </ns0:c>
      <ns0:c r="U69" s="105" t="n">
        <ns0:v>3</ns0:v>
      </ns0:c>
      <ns0:c r="V69" s="123" t="str">
        <ns0:v>底部置顶盒</ns0:v>
      </ns0:c>
      <ns0:c r="W69" s="123"/>
      <ns0:c r="X69" s="123" t="str">
        <ns0:v>底部置顶盒×1</ns0:v>
      </ns0:c>
      <ns0:c r="Y69" s="105" t="n">
        <ns0:f>SUMIFS('装量配置'!$I$6:$I$718,'装量配置'!$A$6:$A$718,A69)</ns0:f>
        <ns0:v>64</ns0:v>
      </ns0:c>
      <ns0:c r="Z69" s="105" t="str">
        <ns0:f>IF(AND(O69&lt;=25,N69=2,Y69=K69*4,H69&lt;=K69,P69+AT69&gt;=4,COUNTIFS('装量配置'!$A$6:$A$718,A69,'装量配置'!$O$6:$O$718,"需调整")=0),"装量通过；待逐味","需调整")</ns0:f>
        <ns0:v>装量通过；待逐味</ns0:v>
      </ns0:c>
      <ns0:c r="AA69" s="107" t="str">
        <ns0:v>四条件可行路线已保存（非最短解）</ns0:v>
      </ns0:c>
      <ns0:c r="AB69" s="107"/>
      <ns0:c r="AC69" s="107"/>
      <ns0:c r="AD69" s="106" t="n">
        <ns0:v>0.57</ns0:v>
      </ns0:c>
      <ns0:c r="AE69" s="108" t="n">
        <ns0:v>6.5</ns0:v>
      </ns0:c>
      <ns0:c r="AF69" s="109"/>
      <ns0:c r="AG69" s="109"/>
      <ns0:c r="AH69" s="110"/>
      <ns0:c r="AI69" s="131" t="str">
        <ns0:v>固定层序；待连续真人试玩</ns0:v>
      </ns0:c>
      <ns0:c r="AJ69" s="123" t="str">
        <ns0:v>双普通空盒缓和循环负担，一次侧边补货；减少颜色与材料。</ns0:v>
      </ns0:c>
      <ns0:c r="AK69" s="123" t="str">
        <ns0:v>连续居中，按盒数分排</ns0:v>
      </ns0:c>
      <ns0:c r="AL69" s="105" t="n">
        <ns0:v>1</ns0:v>
      </ns0:c>
      <ns0:c r="AM69" s="106" t="n">
        <ns0:v>0.78</ns0:v>
      </ns0:c>
      <ns0:c r="AN69" s="107"/>
      <ns0:c r="AO69" s="110"/>
      <ns0:c r="AP69" s="123" t="str">
        <ns0:v>双锁／单开A／单开B／双开完整回放</ns0:v>
      </ns0:c>
      <ns0:c r="AQ69" s="107"/>
      <ns0:c r="AR69" s="121" t="n">
        <ns0:f>SUMIFS('装量配置'!$I$6:$I$718,'装量配置'!$A$6:$A$718,A69,'装量配置'!$B$6:$B$718,"开局")</ns0:f>
        <ns0:v>60</ns0:v>
      </ns0:c>
      <ns0:c r="AS69" s="133" t="n">
        <ns0:f>SUMIFS('装量配置'!$I$6:$I$718,'装量配置'!$A$6:$A$718,A69,'装量配置'!$B$6:$B$718,"开局",'装量配置'!$D$6:$D$718,"普通盒",'装量配置'!$G$6:$G$718,"&gt;0")/(4*SUMIFS('装量配置'!$E$6:$E$718,'装量配置'!$A$6:$A$718,A69,'装量配置'!$B$6:$B$718,"开局",'装量配置'!$D$6:$D$718,"普通盒",'装量配置'!$G$6:$G$718,"&gt;0"))</ns0:f>
        <ns0:v>1</ns0:v>
      </ns0:c>
      <ns0:c r="AT69" s="121" t="n">
        <ns0:f>SUMIFS('装量配置'!$L$6:$L$718,'装量配置'!$A$6:$A$718,A69)</ns0:f>
        <ns0:v>0</ns0:v>
      </ns0:c>
      <ns0:c r="AU69" s="121" t="n">
        <ns0:f>SUMIFS('装量配置'!$M$6:$M$718,'装量配置'!$A$6:$A$718,A69)</ns0:f>
        <ns0:v>0</ns0:v>
      </ns0:c>
      <ns0:c r="AV69" s="121" t="n">
        <ns0:f>SUMIFS('装量配置'!$N$6:$N$718,'装量配置'!$A$6:$A$718,A69)</ns0:f>
        <ns0:v>0</ns0:v>
      </ns0:c>
      <ns0:c r="AW69" s="133" t="n">
        <ns0:v>0.18</ns0:v>
      </ns0:c>
      <ns0:c r="AX69" s="121" t="n">
        <ns0:v>4</ns0:v>
      </ns0:c>
      <ns0:c r="AY69" s="121" t="n">
        <ns0:f>IF(AX69=1,1,0)</ns0:f>
        <ns0:v>0</ns0:v>
      </ns0:c>
      <ns0:c r="AZ69" s="121" t="n">
        <ns0:f>SUMIFS('装量配置'!$E$6:$E$718,'装量配置'!$A$6:$A$718,A69,'装量配置'!$B$6:$B$718,"开局",'装量配置'!$D$6:$D$718,"&lt;&gt;普通盒",'装量配置'!$D$6:$D$718,"&lt;&gt;广告锁定周转盒")</ns0:f>
        <ns0:v>1</ns0:v>
      </ns0:c>
      <ns0:c r="BA69" s="150" t="n">
        <ns0:f>IF(COUNTIFS('装量配置'!$A$6:$A$718,A69,'装量配置'!$B$6:$B$718,"开局",'装量配置'!$D$6:$D$718,"数字盖盒",'装量配置'!$E$6:$E$718,"&gt;0")&gt;0,1,0)+IF(COUNTIFS('装量配置'!$A$6:$A$718,A69,'装量配置'!$B$6:$B$718,"开局",'装量配置'!$D$6:$D$718,"普通冰冻盒",'装量配置'!$E$6:$E$718,"&gt;0")&gt;0,1,0)+IF(COUNTIFS('装量配置'!$A$6:$A$718,A69,'装量配置'!$B$6:$B$718,"开局",'装量配置'!$D$6:$D$718,"单颗暂存盒",'装量配置'!$E$6:$E$718,"&gt;0")&gt;0,1,0)+IF(COUNTIFS('装量配置'!$A$6:$A$718,A69,'装量配置'!$B$6:$B$718,"开局",'装量配置'!$D$6:$D$718,"数字冰冻盒",'装量配置'!$E$6:$E$718,"&gt;0")&gt;0,1,0)+IF(COUNTIFS('装量配置'!$A$6:$A$718,A69,'装量配置'!$B$6:$B$718,"开局",'装量配置'!$D$6:$D$718,"固定颜色盒",'装量配置'!$E$6:$E$718,"&gt;0")&gt;0,1,0)+IF(COUNTIFS('装量配置'!$A$6:$A$718,A69,'装量配置'!$B$6:$B$718,"开局",'装量配置'!$D$6:$D$718,"单向收纳盒",'装量配置'!$E$6:$E$718,"&gt;0")&gt;0,1,0)+IF(COUNTIFS('装量配置'!$A$6:$A$718,A69,'装量配置'!$B$6:$B$718,"开局",'装量配置'!$D$6:$D$718,"底部置顶盒",'装量配置'!$E$6:$E$718,"&gt;0")&gt;0,1,0)+IF(COUNTIFS('装量配置'!$A$6:$A$718,A69,'装量配置'!$B$6:$B$718,"开局",'装量配置'!$D$6:$D$718,"炸弹盒",'装量配置'!$E$6:$E$718,"&gt;0")&gt;0,1,0)</ns0:f>
        <ns0:v>1</ns0:v>
      </ns0:c>
      <ns0:c r="BB69" s="150" t="n">
        <ns0:f>SUMIFS('装量配置'!$E$6:$E$718,'装量配置'!$A$6:$A$718,A69,'装量配置'!$B$6:$B$718,"开局",'装量配置'!$D$6:$D$718,"数字盖盒")+SUMIFS('装量配置'!$E$6:$E$718,'装量配置'!$A$6:$A$718,A69,'装量配置'!$B$6:$B$718,"开局",'装量配置'!$D$6:$D$718,"普通冰冻盒")+SUMIFS('装量配置'!$E$6:$E$718,'装量配置'!$A$6:$A$718,A69,'装量配置'!$B$6:$B$718,"开局",'装量配置'!$D$6:$D$718,"数字冰冻盒")</ns0:f>
        <ns0:v>0</ns0:v>
      </ns0:c>
      <ns0:c r="BC69" s="150" t="n">
        <ns0:f>SUMIFS('装量配置'!$R$6:$R$718,'装量配置'!$A$6:$A$718,A69,'装量配置'!$B$6:$B$718,"开局")</ns0:f>
        <ns0:v>0</ns0:v>
      </ns0:c>
      <ns0:c r="BD69" s="148" t="str">
        <ns0:v>双普通空盒缓和循环负担，一次侧边补货；减少颜色与材料。</ns0:v>
      </ns0:c>
      <ns0:c r="BE69" s="150" t="n">
        <ns0:v>2</ns0:v>
      </ns0:c>
      <ns0:c r="BF69" s="148" t="str">
        <ns0:v>首归纳及时交付，逐关检查机关参与与补货余量</ns0:v>
      </ns0:c>
    </ns0:row>
    <ns0:row r="70" ht="33" customHeight="1">
      <ns0:c r="A70" s="112" t="n">
        <ns0:v>65</ns0:v>
      </ns0:c>
      <ns0:c r="B70" s="119" t="str">
        <ns0:v>循环取料与已学机制</ns0:v>
      </ns0:c>
      <ns0:c r="C70" s="127" t="str">
        <ns0:v>机制组合</ns0:v>
      </ns0:c>
      <ns0:c r="D70" s="114" t="n">
        <ns0:v>4.9</ns0:v>
      </ns0:c>
      <ns0:c r="E70" s="124" t="str">
        <ns0:v>轮转取料与归纳顺序</ns0:v>
      </ns0:c>
      <ns0:c r="F70" s="124" t="str">
        <ns0:v>机关与装量配合</ns0:v>
      </ns0:c>
      <ns0:c r="G70" s="112" t="str">
        <ns0:v>错落</ns0:v>
      </ns0:c>
      <ns0:c r="H70" s="112" t="n">
        <ns0:v>8</ns0:v>
      </ns0:c>
      <ns0:c r="I70" s="112" t="n">
        <ns0:f>SUMIFS('装量配置'!$E$6:$E$718,'装量配置'!$A$6:$A$718,A70,'装量配置'!$B$6:$B$718,"开局",'装量配置'!$F$6:$F$718,4,'装量配置'!$G$6:$G$718,"&gt;0")</ns0:f>
        <ns0:v>18</ns0:v>
      </ns0:c>
      <ns0:c r="J70" s="112" t="n">
        <ns0:f>SUMIFS('装量配置'!$E$6:$E$718,'装量配置'!$A$6:$A$718,A70,'装量配置'!$B$6:$B$718,"备货")</ns0:f>
        <ns0:v>0</ns0:v>
      </ns0:c>
      <ns0:c r="K70" s="112" t="n">
        <ns0:v>16</ns0:v>
      </ns0:c>
      <ns0:c r="L70" s="112" t="n">
        <ns0:f>SUMIFS('装量配置'!$E$6:$E$718,'装量配置'!$A$6:$A$718,A70,'装量配置'!$B$6:$B$718,"开局",'装量配置'!$F$6:$F$718,4,'装量配置'!$G$6:$G$718,0,'装量配置'!$D$6:$D$718,"&lt;&gt;广告锁定周转盒")</ns0:f>
        <ns0:v>0</ns0:v>
      </ns0:c>
      <ns0:c r="M70" s="112" t="n">
        <ns0:f>SUMIFS('装量配置'!$E$6:$E$718,'装量配置'!$A$6:$A$718,A70,'装量配置'!$B$6:$B$718,"开局",'装量配置'!$F$6:$F$718,1)</ns0:f>
        <ns0:v>0</ns0:v>
      </ns0:c>
      <ns0:c r="N70" s="112" t="n">
        <ns0:f>SUMIFS('装量配置'!$E$6:$E$718,'装量配置'!$A$6:$A$718,A70,'装量配置'!$B$6:$B$718,"开局",'装量配置'!$D$6:$D$718,"广告锁定周转盒")</ns0:f>
        <ns0:v>2</ns0:v>
      </ns0:c>
      <ns0:c r="O70" s="112" t="n">
        <ns0:f>SUMIFS('装量配置'!$E$6:$E$718,'装量配置'!$A$6:$A$718,A70,'装量配置'!$B$6:$B$718,"开局")</ns0:f>
        <ns0:v>20</ns0:v>
      </ns0:c>
      <ns0:c r="P70" s="112" t="n">
        <ns0:f>SUMIFS('装量配置'!$K$6:$K$718,'装量配置'!$A$6:$A$718,A70)</ns0:f>
        <ns0:v>0</ns0:v>
      </ns0:c>
      <ns0:c r="Q70" s="112" t="n">
        <ns0:v>4</ns0:v>
      </ns0:c>
      <ns0:c r="R70" s="113" t="n">
        <ns0:v>0</ns0:v>
      </ns0:c>
      <ns0:c r="S70" s="113" t="n">
        <ns0:v>0.12</ns0:v>
      </ns0:c>
      <ns0:c r="T70" s="112" t="n">
        <ns0:v>3</ns0:v>
      </ns0:c>
      <ns0:c r="U70" s="112" t="n">
        <ns0:v>0</ns0:v>
      </ns0:c>
      <ns0:c r="V70" s="124" t="str">
        <ns0:v>底部置顶盒</ns0:v>
      </ns0:c>
      <ns0:c r="W70" s="124" t="str">
        <ns0:v>单向收纳盒</ns0:v>
      </ns0:c>
      <ns0:c r="X70" s="124" t="str">
        <ns0:v>底部置顶盒×1；单向收纳盒×1</ns0:v>
      </ns0:c>
      <ns0:c r="Y70" s="112" t="n">
        <ns0:f>SUMIFS('装量配置'!$I$6:$I$718,'装量配置'!$A$6:$A$718,A70)</ns0:f>
        <ns0:v>64</ns0:v>
      </ns0:c>
      <ns0:c r="Z70" s="112" t="str">
        <ns0:f>IF(AND(O70&lt;=25,N70=2,Y70=K70*4,H70&lt;=K70,P70+AT70&gt;=4,COUNTIFS('装量配置'!$A$6:$A$718,A70,'装量配置'!$O$6:$O$718,"需调整")=0),"装量通过；待逐味","需调整")</ns0:f>
        <ns0:v>装量通过；待逐味</ns0:v>
      </ns0:c>
      <ns0:c r="AA70" s="107" t="str">
        <ns0:v>四条件可行路线已保存（非最短解）</ns0:v>
      </ns0:c>
      <ns0:c r="AB70" s="107"/>
      <ns0:c r="AC70" s="107"/>
      <ns0:c r="AD70" s="113" t="n">
        <ns0:v>0.45</ns0:v>
      </ns0:c>
      <ns0:c r="AE70" s="114" t="n">
        <ns0:v>6.5</ns0:v>
      </ns0:c>
      <ns0:c r="AF70" s="109"/>
      <ns0:c r="AG70" s="109"/>
      <ns0:c r="AH70" s="110"/>
      <ns0:c r="AI70" s="131" t="str">
        <ns0:v>固定层序；待连续真人试玩</ns0:v>
      </ns0:c>
      <ns0:c r="AJ70" s="124" t="str">
        <ns0:v>循环盒供料与预装单向盒收纳配合，单向盒固定在广告位左侧；全明牌。</ns0:v>
      </ns0:c>
      <ns0:c r="AK70" s="124" t="str">
        <ns0:v>连续居中，按盒数分排</ns0:v>
      </ns0:c>
      <ns0:c r="AL70" s="112" t="n">
        <ns0:v>1</ns0:v>
      </ns0:c>
      <ns0:c r="AM70" s="113" t="n">
        <ns0:v>0.78</ns0:v>
      </ns0:c>
      <ns0:c r="AN70" s="112"/>
      <ns0:c r="AO70" s="113"/>
      <ns0:c r="AP70" s="124" t="str">
        <ns0:v>双锁／单开A／单开B／双开完整回放</ns0:v>
      </ns0:c>
      <ns0:c r="AQ70" s="107"/>
      <ns0:c r="AR70" s="120" t="n">
        <ns0:f>SUMIFS('装量配置'!$I$6:$I$718,'装量配置'!$A$6:$A$718,A70,'装量配置'!$B$6:$B$718,"开局")</ns0:f>
        <ns0:v>64</ns0:v>
      </ns0:c>
      <ns0:c r="AS70" s="132" t="n">
        <ns0:f>SUMIFS('装量配置'!$I$6:$I$718,'装量配置'!$A$6:$A$718,A70,'装量配置'!$B$6:$B$718,"开局",'装量配置'!$D$6:$D$718,"普通盒",'装量配置'!$G$6:$G$718,"&gt;0")/(4*SUMIFS('装量配置'!$E$6:$E$718,'装量配置'!$A$6:$A$718,A70,'装量配置'!$B$6:$B$718,"开局",'装量配置'!$D$6:$D$718,"普通盒",'装量配置'!$G$6:$G$718,"&gt;0"))</ns0:f>
        <ns0:v>0.921875</ns0:v>
      </ns0:c>
      <ns0:c r="AT70" s="120" t="n">
        <ns0:f>SUMIFS('装量配置'!$L$6:$L$718,'装量配置'!$A$6:$A$718,A70)</ns0:f>
        <ns0:v>5</ns0:v>
      </ns0:c>
      <ns0:c r="AU70" s="120" t="n">
        <ns0:f>SUMIFS('装量配置'!$M$6:$M$718,'装量配置'!$A$6:$A$718,A70)</ns0:f>
        <ns0:v>3</ns0:v>
      </ns0:c>
      <ns0:c r="AV70" s="120" t="n">
        <ns0:f>SUMIFS('装量配置'!$N$6:$N$718,'装量配置'!$A$6:$A$718,A70)</ns0:f>
        <ns0:v>0</ns0:v>
      </ns0:c>
      <ns0:c r="AW70" s="132" t="n">
        <ns0:v>0.18</ns0:v>
      </ns0:c>
      <ns0:c r="AX70" s="120" t="n">
        <ns0:v>4</ns0:v>
      </ns0:c>
      <ns0:c r="AY70" s="120" t="n">
        <ns0:f>IF(AX70=1,1,0)</ns0:f>
        <ns0:v>0</ns0:v>
      </ns0:c>
      <ns0:c r="AZ70" s="120" t="n">
        <ns0:f>SUMIFS('装量配置'!$E$6:$E$718,'装量配置'!$A$6:$A$718,A70,'装量配置'!$B$6:$B$718,"开局",'装量配置'!$D$6:$D$718,"&lt;&gt;普通盒",'装量配置'!$D$6:$D$718,"&lt;&gt;广告锁定周转盒")</ns0:f>
        <ns0:v>2</ns0:v>
      </ns0:c>
      <ns0:c r="BA70" s="149" t="n">
        <ns0:f>IF(COUNTIFS('装量配置'!$A$6:$A$718,A70,'装量配置'!$B$6:$B$718,"开局",'装量配置'!$D$6:$D$718,"数字盖盒",'装量配置'!$E$6:$E$718,"&gt;0")&gt;0,1,0)+IF(COUNTIFS('装量配置'!$A$6:$A$718,A70,'装量配置'!$B$6:$B$718,"开局",'装量配置'!$D$6:$D$718,"普通冰冻盒",'装量配置'!$E$6:$E$718,"&gt;0")&gt;0,1,0)+IF(COUNTIFS('装量配置'!$A$6:$A$718,A70,'装量配置'!$B$6:$B$718,"开局",'装量配置'!$D$6:$D$718,"单颗暂存盒",'装量配置'!$E$6:$E$718,"&gt;0")&gt;0,1,0)+IF(COUNTIFS('装量配置'!$A$6:$A$718,A70,'装量配置'!$B$6:$B$718,"开局",'装量配置'!$D$6:$D$718,"数字冰冻盒",'装量配置'!$E$6:$E$718,"&gt;0")&gt;0,1,0)+IF(COUNTIFS('装量配置'!$A$6:$A$718,A70,'装量配置'!$B$6:$B$718,"开局",'装量配置'!$D$6:$D$718,"固定颜色盒",'装量配置'!$E$6:$E$718,"&gt;0")&gt;0,1,0)+IF(COUNTIFS('装量配置'!$A$6:$A$718,A70,'装量配置'!$B$6:$B$718,"开局",'装量配置'!$D$6:$D$718,"单向收纳盒",'装量配置'!$E$6:$E$718,"&gt;0")&gt;0,1,0)+IF(COUNTIFS('装量配置'!$A$6:$A$718,A70,'装量配置'!$B$6:$B$718,"开局",'装量配置'!$D$6:$D$718,"底部置顶盒",'装量配置'!$E$6:$E$718,"&gt;0")&gt;0,1,0)+IF(COUNTIFS('装量配置'!$A$6:$A$718,A70,'装量配置'!$B$6:$B$718,"开局",'装量配置'!$D$6:$D$718,"炸弹盒",'装量配置'!$E$6:$E$718,"&gt;0")&gt;0,1,0)</ns0:f>
        <ns0:v>2</ns0:v>
      </ns0:c>
      <ns0:c r="BB70" s="149" t="n">
        <ns0:f>SUMIFS('装量配置'!$E$6:$E$718,'装量配置'!$A$6:$A$718,A70,'装量配置'!$B$6:$B$718,"开局",'装量配置'!$D$6:$D$718,"数字盖盒")+SUMIFS('装量配置'!$E$6:$E$718,'装量配置'!$A$6:$A$718,A70,'装量配置'!$B$6:$B$718,"开局",'装量配置'!$D$6:$D$718,"普通冰冻盒")+SUMIFS('装量配置'!$E$6:$E$718,'装量配置'!$A$6:$A$718,A70,'装量配置'!$B$6:$B$718,"开局",'装量配置'!$D$6:$D$718,"数字冰冻盒")</ns0:f>
        <ns0:v>0</ns0:v>
      </ns0:c>
      <ns0:c r="BC70" s="149" t="n">
        <ns0:f>SUMIFS('装量配置'!$R$6:$R$718,'装量配置'!$A$6:$A$718,A70,'装量配置'!$B$6:$B$718,"开局")</ns0:f>
        <ns0:v>0</ns0:v>
      </ns0:c>
      <ns0:c r="BD70" s="146" t="str">
        <ns0:v>循环盒供料与预装单向盒收纳配合，单向盒固定在广告位左侧；全明牌。</ns0:v>
      </ns0:c>
      <ns0:c r="BE70" s="149" t="n">
        <ns0:v>3</ns0:v>
      </ns0:c>
      <ns0:c r="BF70" s="146" t="str">
        <ns0:v>首归纳及时交付，逐关检查机关参与与补货余量</ns0:v>
      </ns0:c>
    </ns0:row>
    <ns0:row r="71" ht="33" customHeight="1">
      <ns0:c r="A71" s="105" t="n">
        <ns0:v>66</ns0:v>
      </ns0:c>
      <ns0:c r="B71" s="117" t="str">
        <ns0:v>循环取料与已学机制</ns0:v>
      </ns0:c>
      <ns0:c r="C71" s="126" t="str">
        <ns0:v>机制组合</ns0:v>
      </ns0:c>
      <ns0:c r="D71" s="108" t="n">
        <ns0:v>4.9</ns0:v>
      </ns0:c>
      <ns0:c r="E71" s="123" t="str">
        <ns0:v>轮转取料与归纳顺序</ns0:v>
      </ns0:c>
      <ns0:c r="F71" s="123" t="str">
        <ns0:v>机关与装量配合</ns0:v>
      </ns0:c>
      <ns0:c r="G71" s="105" t="str">
        <ns0:v>错落</ns0:v>
      </ns0:c>
      <ns0:c r="H71" s="105" t="n">
        <ns0:v>8</ns0:v>
      </ns0:c>
      <ns0:c r="I71" s="105" t="n">
        <ns0:f>SUMIFS('装量配置'!$E$6:$E$718,'装量配置'!$A$6:$A$718,A71,'装量配置'!$B$6:$B$718,"开局",'装量配置'!$F$6:$F$718,4,'装量配置'!$G$6:$G$718,"&gt;0")</ns0:f>
        <ns0:v>17</ns0:v>
      </ns0:c>
      <ns0:c r="J71" s="105" t="n">
        <ns0:f>SUMIFS('装量配置'!$E$6:$E$718,'装量配置'!$A$6:$A$718,A71,'装量配置'!$B$6:$B$718,"备货")</ns0:f>
        <ns0:v>2</ns0:v>
      </ns0:c>
      <ns0:c r="K71" s="105" t="n">
        <ns0:v>18</ns0:v>
      </ns0:c>
      <ns0:c r="L71" s="105" t="n">
        <ns0:f>SUMIFS('装量配置'!$E$6:$E$718,'装量配置'!$A$6:$A$718,A71,'装量配置'!$B$6:$B$718,"开局",'装量配置'!$F$6:$F$718,4,'装量配置'!$G$6:$G$718,0,'装量配置'!$D$6:$D$718,"&lt;&gt;广告锁定周转盒")</ns0:f>
        <ns0:v>1</ns0:v>
      </ns0:c>
      <ns0:c r="M71" s="105" t="n">
        <ns0:f>SUMIFS('装量配置'!$E$6:$E$718,'装量配置'!$A$6:$A$718,A71,'装量配置'!$B$6:$B$718,"开局",'装量配置'!$F$6:$F$718,1)</ns0:f>
        <ns0:v>0</ns0:v>
      </ns0:c>
      <ns0:c r="N71" s="105" t="n">
        <ns0:f>SUMIFS('装量配置'!$E$6:$E$718,'装量配置'!$A$6:$A$718,A71,'装量配置'!$B$6:$B$718,"开局",'装量配置'!$D$6:$D$718,"广告锁定周转盒")</ns0:f>
        <ns0:v>2</ns0:v>
      </ns0:c>
      <ns0:c r="O71" s="105" t="n">
        <ns0:f>SUMIFS('装量配置'!$E$6:$E$718,'装量配置'!$A$6:$A$718,A71,'装量配置'!$B$6:$B$718,"开局")</ns0:f>
        <ns0:v>20</ns0:v>
      </ns0:c>
      <ns0:c r="P71" s="105" t="n">
        <ns0:f>SUMIFS('装量配置'!$K$6:$K$718,'装量配置'!$A$6:$A$718,A71)</ns0:f>
        <ns0:v>4</ns0:v>
      </ns0:c>
      <ns0:c r="Q71" s="105" t="n">
        <ns0:v>4</ns0:v>
      </ns0:c>
      <ns0:c r="R71" s="106" t="n">
        <ns0:v>0</ns0:v>
      </ns0:c>
      <ns0:c r="S71" s="106" t="n">
        <ns0:v>0.12</ns0:v>
      </ns0:c>
      <ns0:c r="T71" s="105" t="n">
        <ns0:v>4</ns0:v>
      </ns0:c>
      <ns0:c r="U71" s="105" t="n">
        <ns0:v>3</ns0:v>
      </ns0:c>
      <ns0:c r="V71" s="123" t="str">
        <ns0:v>底部置顶盒</ns0:v>
      </ns0:c>
      <ns0:c r="W71" s="123" t="str">
        <ns0:v>普通冰冻盒</ns0:v>
      </ns0:c>
      <ns0:c r="X71" s="123" t="str">
        <ns0:v>底部置顶盒×1；普通冰冻盒×2</ns0:v>
      </ns0:c>
      <ns0:c r="Y71" s="105" t="n">
        <ns0:f>SUMIFS('装量配置'!$I$6:$I$718,'装量配置'!$A$6:$A$718,A71)</ns0:f>
        <ns0:v>72</ns0:v>
      </ns0:c>
      <ns0:c r="Z71" s="105" t="str">
        <ns0:f>IF(AND(O71&lt;=25,N71=2,Y71=K71*4,H71&lt;=K71,P71+AT71&gt;=4,COUNTIFS('装量配置'!$A$6:$A$718,A71,'装量配置'!$O$6:$O$718,"需调整")=0),"装量通过；待逐味","需调整")</ns0:f>
        <ns0:v>装量通过；待逐味</ns0:v>
      </ns0:c>
      <ns0:c r="AA71" s="107" t="str">
        <ns0:v>四条件可行路线已保存（非最短解）</ns0:v>
      </ns0:c>
      <ns0:c r="AB71" s="107"/>
      <ns0:c r="AC71" s="107"/>
      <ns0:c r="AD71" s="106" t="n">
        <ns0:v>0.43</ns0:v>
      </ns0:c>
      <ns0:c r="AE71" s="108" t="n">
        <ns0:v>6.5</ns0:v>
      </ns0:c>
      <ns0:c r="AF71" s="109"/>
      <ns0:c r="AG71" s="109"/>
      <ns0:c r="AH71" s="110"/>
      <ns0:c r="AI71" s="131" t="str">
        <ns0:v>固定层序；待连续真人试玩</ns0:v>
      </ns0:c>
      <ns0:c r="AJ71" s="123" t="str">
        <ns0:v>循环取料推动实际交付，逐只解除普通冰冻；两次补货分开入场。</ns0:v>
      </ns0:c>
      <ns0:c r="AK71" s="123" t="str">
        <ns0:v>连续居中，按盒数分排</ns0:v>
      </ns0:c>
      <ns0:c r="AL71" s="105" t="n">
        <ns0:v>1</ns0:v>
      </ns0:c>
      <ns0:c r="AM71" s="106" t="n">
        <ns0:v>0.78</ns0:v>
      </ns0:c>
      <ns0:c r="AN71" s="107"/>
      <ns0:c r="AO71" s="110"/>
      <ns0:c r="AP71" s="123" t="str">
        <ns0:v>双锁／单开A／单开B／双开完整回放</ns0:v>
      </ns0:c>
      <ns0:c r="AQ71" s="107"/>
      <ns0:c r="AR71" s="121" t="n">
        <ns0:f>SUMIFS('装量配置'!$I$6:$I$718,'装量配置'!$A$6:$A$718,A71,'装量配置'!$B$6:$B$718,"开局")</ns0:f>
        <ns0:v>64</ns0:v>
      </ns0:c>
      <ns0:c r="AS71" s="133" t="n">
        <ns0:f>SUMIFS('装量配置'!$I$6:$I$718,'装量配置'!$A$6:$A$718,A71,'装量配置'!$B$6:$B$718,"开局",'装量配置'!$D$6:$D$718,"普通盒",'装量配置'!$G$6:$G$718,"&gt;0")/(4*SUMIFS('装量配置'!$E$6:$E$718,'装量配置'!$A$6:$A$718,A71,'装量配置'!$B$6:$B$718,"开局",'装量配置'!$D$6:$D$718,"普通盒",'装量配置'!$G$6:$G$718,"&gt;0"))</ns0:f>
        <ns0:v>0.9285714285714286</ns0:v>
      </ns0:c>
      <ns0:c r="AT71" s="121" t="n">
        <ns0:f>SUMIFS('装量配置'!$L$6:$L$718,'装量配置'!$A$6:$A$718,A71)</ns0:f>
        <ns0:v>4</ns0:v>
      </ns0:c>
      <ns0:c r="AU71" s="121" t="n">
        <ns0:f>SUMIFS('装量配置'!$M$6:$M$718,'装量配置'!$A$6:$A$718,A71)</ns0:f>
        <ns0:v>0</ns0:v>
      </ns0:c>
      <ns0:c r="AV71" s="121" t="n">
        <ns0:f>SUMIFS('装量配置'!$N$6:$N$718,'装量配置'!$A$6:$A$718,A71)</ns0:f>
        <ns0:v>0</ns0:v>
      </ns0:c>
      <ns0:c r="AW71" s="133" t="n">
        <ns0:v>0.18</ns0:v>
      </ns0:c>
      <ns0:c r="AX71" s="121" t="n">
        <ns0:v>5</ns0:v>
      </ns0:c>
      <ns0:c r="AY71" s="121" t="n">
        <ns0:f>IF(AX71=1,1,0)</ns0:f>
        <ns0:v>0</ns0:v>
      </ns0:c>
      <ns0:c r="AZ71" s="121" t="n">
        <ns0:f>SUMIFS('装量配置'!$E$6:$E$718,'装量配置'!$A$6:$A$718,A71,'装量配置'!$B$6:$B$718,"开局",'装量配置'!$D$6:$D$718,"&lt;&gt;普通盒",'装量配置'!$D$6:$D$718,"&lt;&gt;广告锁定周转盒")</ns0:f>
        <ns0:v>3</ns0:v>
      </ns0:c>
      <ns0:c r="BA71" s="150" t="n">
        <ns0:f>IF(COUNTIFS('装量配置'!$A$6:$A$718,A71,'装量配置'!$B$6:$B$718,"开局",'装量配置'!$D$6:$D$718,"数字盖盒",'装量配置'!$E$6:$E$718,"&gt;0")&gt;0,1,0)+IF(COUNTIFS('装量配置'!$A$6:$A$718,A71,'装量配置'!$B$6:$B$718,"开局",'装量配置'!$D$6:$D$718,"普通冰冻盒",'装量配置'!$E$6:$E$718,"&gt;0")&gt;0,1,0)+IF(COUNTIFS('装量配置'!$A$6:$A$718,A71,'装量配置'!$B$6:$B$718,"开局",'装量配置'!$D$6:$D$718,"单颗暂存盒",'装量配置'!$E$6:$E$718,"&gt;0")&gt;0,1,0)+IF(COUNTIFS('装量配置'!$A$6:$A$718,A71,'装量配置'!$B$6:$B$718,"开局",'装量配置'!$D$6:$D$718,"数字冰冻盒",'装量配置'!$E$6:$E$718,"&gt;0")&gt;0,1,0)+IF(COUNTIFS('装量配置'!$A$6:$A$718,A71,'装量配置'!$B$6:$B$718,"开局",'装量配置'!$D$6:$D$718,"固定颜色盒",'装量配置'!$E$6:$E$718,"&gt;0")&gt;0,1,0)+IF(COUNTIFS('装量配置'!$A$6:$A$718,A71,'装量配置'!$B$6:$B$718,"开局",'装量配置'!$D$6:$D$718,"单向收纳盒",'装量配置'!$E$6:$E$718,"&gt;0")&gt;0,1,0)+IF(COUNTIFS('装量配置'!$A$6:$A$718,A71,'装量配置'!$B$6:$B$718,"开局",'装量配置'!$D$6:$D$718,"底部置顶盒",'装量配置'!$E$6:$E$718,"&gt;0")&gt;0,1,0)+IF(COUNTIFS('装量配置'!$A$6:$A$718,A71,'装量配置'!$B$6:$B$718,"开局",'装量配置'!$D$6:$D$718,"炸弹盒",'装量配置'!$E$6:$E$718,"&gt;0")&gt;0,1,0)</ns0:f>
        <ns0:v>2</ns0:v>
      </ns0:c>
      <ns0:c r="BB71" s="150" t="n">
        <ns0:f>SUMIFS('装量配置'!$E$6:$E$718,'装量配置'!$A$6:$A$718,A71,'装量配置'!$B$6:$B$718,"开局",'装量配置'!$D$6:$D$718,"数字盖盒")+SUMIFS('装量配置'!$E$6:$E$718,'装量配置'!$A$6:$A$718,A71,'装量配置'!$B$6:$B$718,"开局",'装量配置'!$D$6:$D$718,"普通冰冻盒")+SUMIFS('装量配置'!$E$6:$E$718,'装量配置'!$A$6:$A$718,A71,'装量配置'!$B$6:$B$718,"开局",'装量配置'!$D$6:$D$718,"数字冰冻盒")</ns0:f>
        <ns0:v>2</ns0:v>
      </ns0:c>
      <ns0:c r="BC71" s="150" t="n">
        <ns0:f>SUMIFS('装量配置'!$R$6:$R$718,'装量配置'!$A$6:$A$718,A71,'装量配置'!$B$6:$B$718,"开局")</ns0:f>
        <ns0:v>0</ns0:v>
      </ns0:c>
      <ns0:c r="BD71" s="148" t="str">
        <ns0:v>循环取料推动实际交付，逐只解除普通冰冻；两次补货分开入场。</ns0:v>
      </ns0:c>
      <ns0:c r="BE71" s="150" t="n">
        <ns0:v>3</ns0:v>
      </ns0:c>
      <ns0:c r="BF71" s="148" t="str">
        <ns0:v>首归纳及时交付，逐关检查机关参与与补货余量</ns0:v>
      </ns0:c>
    </ns0:row>
    <ns0:row r="72" ht="33" customHeight="1">
      <ns0:c r="A72" s="112" t="n">
        <ns0:v>67</ns0:v>
      </ns0:c>
      <ns0:c r="B72" s="119" t="str">
        <ns0:v>循环取料与已学机制</ns0:v>
      </ns0:c>
      <ns0:c r="C72" s="127" t="str">
        <ns0:v>缓和巩固</ns0:v>
      </ns0:c>
      <ns0:c r="D72" s="114" t="n">
        <ns0:v>4.7</ns0:v>
      </ns0:c>
      <ns0:c r="E72" s="124" t="str">
        <ns0:v>轮转取料与归纳顺序</ns0:v>
      </ns0:c>
      <ns0:c r="F72" s="124" t="str">
        <ns0:v>机关与装量配合</ns0:v>
      </ns0:c>
      <ns0:c r="G72" s="112" t="str">
        <ns0:v>整齐</ns0:v>
      </ns0:c>
      <ns0:c r="H72" s="112" t="n">
        <ns0:v>8</ns0:v>
      </ns0:c>
      <ns0:c r="I72" s="112" t="n">
        <ns0:f>SUMIFS('装量配置'!$E$6:$E$718,'装量配置'!$A$6:$A$718,A72,'装量配置'!$B$6:$B$718,"开局",'装量配置'!$F$6:$F$718,4,'装量配置'!$G$6:$G$718,"&gt;0")</ns0:f>
        <ns0:v>16</ns0:v>
      </ns0:c>
      <ns0:c r="J72" s="112" t="n">
        <ns0:f>SUMIFS('装量配置'!$E$6:$E$718,'装量配置'!$A$6:$A$718,A72,'装量配置'!$B$6:$B$718,"备货")</ns0:f>
        <ns0:v>0</ns0:v>
      </ns0:c>
      <ns0:c r="K72" s="112" t="n">
        <ns0:v>15</ns0:v>
      </ns0:c>
      <ns0:c r="L72" s="112" t="n">
        <ns0:f>SUMIFS('装量配置'!$E$6:$E$718,'装量配置'!$A$6:$A$718,A72,'装量配置'!$B$6:$B$718,"开局",'装量配置'!$F$6:$F$718,4,'装量配置'!$G$6:$G$718,0,'装量配置'!$D$6:$D$718,"&lt;&gt;广告锁定周转盒")</ns0:f>
        <ns0:v>1</ns0:v>
      </ns0:c>
      <ns0:c r="M72" s="112" t="n">
        <ns0:f>SUMIFS('装量配置'!$E$6:$E$718,'装量配置'!$A$6:$A$718,A72,'装量配置'!$B$6:$B$718,"开局",'装量配置'!$F$6:$F$718,1)</ns0:f>
        <ns0:v>1</ns0:v>
      </ns0:c>
      <ns0:c r="N72" s="112" t="n">
        <ns0:f>SUMIFS('装量配置'!$E$6:$E$718,'装量配置'!$A$6:$A$718,A72,'装量配置'!$B$6:$B$718,"开局",'装量配置'!$D$6:$D$718,"广告锁定周转盒")</ns0:f>
        <ns0:v>2</ns0:v>
      </ns0:c>
      <ns0:c r="O72" s="112" t="n">
        <ns0:f>SUMIFS('装量配置'!$E$6:$E$718,'装量配置'!$A$6:$A$718,A72,'装量配置'!$B$6:$B$718,"开局")</ns0:f>
        <ns0:v>20</ns0:v>
      </ns0:c>
      <ns0:c r="P72" s="112" t="n">
        <ns0:f>SUMIFS('装量配置'!$K$6:$K$718,'装量配置'!$A$6:$A$718,A72)</ns0:f>
        <ns0:v>5</ns0:v>
      </ns0:c>
      <ns0:c r="Q72" s="112" t="n">
        <ns0:v>4</ns0:v>
      </ns0:c>
      <ns0:c r="R72" s="113" t="n">
        <ns0:v>0</ns0:v>
      </ns0:c>
      <ns0:c r="S72" s="113" t="n">
        <ns0:v>0.12</ns0:v>
      </ns0:c>
      <ns0:c r="T72" s="112" t="n">
        <ns0:v>3</ns0:v>
      </ns0:c>
      <ns0:c r="U72" s="112" t="n">
        <ns0:v>0</ns0:v>
      </ns0:c>
      <ns0:c r="V72" s="124" t="str">
        <ns0:v>底部置顶盒</ns0:v>
      </ns0:c>
      <ns0:c r="W72" s="124" t="str">
        <ns0:v>单颗暂存盒</ns0:v>
      </ns0:c>
      <ns0:c r="X72" s="124" t="str">
        <ns0:v>底部置顶盒×1；单颗暂存盒×1</ns0:v>
      </ns0:c>
      <ns0:c r="Y72" s="112" t="n">
        <ns0:f>SUMIFS('装量配置'!$I$6:$I$718,'装量配置'!$A$6:$A$718,A72)</ns0:f>
        <ns0:v>60</ns0:v>
      </ns0:c>
      <ns0:c r="Z72" s="112" t="str">
        <ns0:f>IF(AND(O72&lt;=25,N72=2,Y72=K72*4,H72&lt;=K72,P72+AT72&gt;=4,COUNTIFS('装量配置'!$A$6:$A$718,A72,'装量配置'!$O$6:$O$718,"需调整")=0),"装量通过；待逐味","需调整")</ns0:f>
        <ns0:v>装量通过；待逐味</ns0:v>
      </ns0:c>
      <ns0:c r="AA72" s="107" t="str">
        <ns0:v>四条件可行路线已保存（非最短解）</ns0:v>
      </ns0:c>
      <ns0:c r="AB72" s="107"/>
      <ns0:c r="AC72" s="107"/>
      <ns0:c r="AD72" s="113" t="n">
        <ns0:v>0.56</ns0:v>
      </ns0:c>
      <ns0:c r="AE72" s="114" t="n">
        <ns0:v>6.5</ns0:v>
      </ns0:c>
      <ns0:c r="AF72" s="109"/>
      <ns0:c r="AG72" s="109"/>
      <ns0:c r="AH72" s="110"/>
      <ns0:c r="AI72" s="131" t="str">
        <ns0:v>固定层序；待连续真人试玩</ns0:v>
      </ns0:c>
      <ns0:c r="AJ72" s="124" t="str">
        <ns0:v>循环与空单颗暂存配合，无冰冻、隐藏或补货，降低信息与材料负担。</ns0:v>
      </ns0:c>
      <ns0:c r="AK72" s="124" t="str">
        <ns0:v>连续居中，按盒数分排</ns0:v>
      </ns0:c>
      <ns0:c r="AL72" s="112" t="n">
        <ns0:v>1</ns0:v>
      </ns0:c>
      <ns0:c r="AM72" s="113" t="n">
        <ns0:v>0.78</ns0:v>
      </ns0:c>
      <ns0:c r="AN72" s="112"/>
      <ns0:c r="AO72" s="113"/>
      <ns0:c r="AP72" s="124" t="str">
        <ns0:v>双锁／单开A／单开B／双开完整回放</ns0:v>
      </ns0:c>
      <ns0:c r="AQ72" s="107"/>
      <ns0:c r="AR72" s="120" t="n">
        <ns0:f>SUMIFS('装量配置'!$I$6:$I$718,'装量配置'!$A$6:$A$718,A72,'装量配置'!$B$6:$B$718,"开局")</ns0:f>
        <ns0:v>60</ns0:v>
      </ns0:c>
      <ns0:c r="AS72" s="132" t="n">
        <ns0:f>SUMIFS('装量配置'!$I$6:$I$718,'装量配置'!$A$6:$A$718,A72,'装量配置'!$B$6:$B$718,"开局",'装量配置'!$D$6:$D$718,"普通盒",'装量配置'!$G$6:$G$718,"&gt;0")/(4*SUMIFS('装量配置'!$E$6:$E$718,'装量配置'!$A$6:$A$718,A72,'装量配置'!$B$6:$B$718,"开局",'装量配置'!$D$6:$D$718,"普通盒",'装量配置'!$G$6:$G$718,"&gt;0"))</ns0:f>
        <ns0:v>0.9333333333333333</ns0:v>
      </ns0:c>
      <ns0:c r="AT72" s="120" t="n">
        <ns0:f>SUMIFS('装量配置'!$L$6:$L$718,'装量配置'!$A$6:$A$718,A72)</ns0:f>
        <ns0:v>4</ns0:v>
      </ns0:c>
      <ns0:c r="AU72" s="120" t="n">
        <ns0:f>SUMIFS('装量配置'!$M$6:$M$718,'装量配置'!$A$6:$A$718,A72)</ns0:f>
        <ns0:v>0</ns0:v>
      </ns0:c>
      <ns0:c r="AV72" s="120" t="n">
        <ns0:f>SUMIFS('装量配置'!$N$6:$N$718,'装量配置'!$A$6:$A$718,A72)</ns0:f>
        <ns0:v>0</ns0:v>
      </ns0:c>
      <ns0:c r="AW72" s="132" t="n">
        <ns0:v>0.18</ns0:v>
      </ns0:c>
      <ns0:c r="AX72" s="120" t="n">
        <ns0:v>4</ns0:v>
      </ns0:c>
      <ns0:c r="AY72" s="120" t="n">
        <ns0:f>IF(AX72=1,1,0)</ns0:f>
        <ns0:v>0</ns0:v>
      </ns0:c>
      <ns0:c r="AZ72" s="120" t="n">
        <ns0:f>SUMIFS('装量配置'!$E$6:$E$718,'装量配置'!$A$6:$A$718,A72,'装量配置'!$B$6:$B$718,"开局",'装量配置'!$D$6:$D$718,"&lt;&gt;普通盒",'装量配置'!$D$6:$D$718,"&lt;&gt;广告锁定周转盒")</ns0:f>
        <ns0:v>2</ns0:v>
      </ns0:c>
      <ns0:c r="BA72" s="149" t="n">
        <ns0:f>IF(COUNTIFS('装量配置'!$A$6:$A$718,A72,'装量配置'!$B$6:$B$718,"开局",'装量配置'!$D$6:$D$718,"数字盖盒",'装量配置'!$E$6:$E$718,"&gt;0")&gt;0,1,0)+IF(COUNTIFS('装量配置'!$A$6:$A$718,A72,'装量配置'!$B$6:$B$718,"开局",'装量配置'!$D$6:$D$718,"普通冰冻盒",'装量配置'!$E$6:$E$718,"&gt;0")&gt;0,1,0)+IF(COUNTIFS('装量配置'!$A$6:$A$718,A72,'装量配置'!$B$6:$B$718,"开局",'装量配置'!$D$6:$D$718,"单颗暂存盒",'装量配置'!$E$6:$E$718,"&gt;0")&gt;0,1,0)+IF(COUNTIFS('装量配置'!$A$6:$A$718,A72,'装量配置'!$B$6:$B$718,"开局",'装量配置'!$D$6:$D$718,"数字冰冻盒",'装量配置'!$E$6:$E$718,"&gt;0")&gt;0,1,0)+IF(COUNTIFS('装量配置'!$A$6:$A$718,A72,'装量配置'!$B$6:$B$718,"开局",'装量配置'!$D$6:$D$718,"固定颜色盒",'装量配置'!$E$6:$E$718,"&gt;0")&gt;0,1,0)+IF(COUNTIFS('装量配置'!$A$6:$A$718,A72,'装量配置'!$B$6:$B$718,"开局",'装量配置'!$D$6:$D$718,"单向收纳盒",'装量配置'!$E$6:$E$718,"&gt;0")&gt;0,1,0)+IF(COUNTIFS('装量配置'!$A$6:$A$718,A72,'装量配置'!$B$6:$B$718,"开局",'装量配置'!$D$6:$D$718,"底部置顶盒",'装量配置'!$E$6:$E$718,"&gt;0")&gt;0,1,0)+IF(COUNTIFS('装量配置'!$A$6:$A$718,A72,'装量配置'!$B$6:$B$718,"开局",'装量配置'!$D$6:$D$718,"炸弹盒",'装量配置'!$E$6:$E$718,"&gt;0")&gt;0,1,0)</ns0:f>
        <ns0:v>2</ns0:v>
      </ns0:c>
      <ns0:c r="BB72" s="149" t="n">
        <ns0:f>SUMIFS('装量配置'!$E$6:$E$718,'装量配置'!$A$6:$A$718,A72,'装量配置'!$B$6:$B$718,"开局",'装量配置'!$D$6:$D$718,"数字盖盒")+SUMIFS('装量配置'!$E$6:$E$718,'装量配置'!$A$6:$A$718,A72,'装量配置'!$B$6:$B$718,"开局",'装量配置'!$D$6:$D$718,"普通冰冻盒")+SUMIFS('装量配置'!$E$6:$E$718,'装量配置'!$A$6:$A$718,A72,'装量配置'!$B$6:$B$718,"开局",'装量配置'!$D$6:$D$718,"数字冰冻盒")</ns0:f>
        <ns0:v>0</ns0:v>
      </ns0:c>
      <ns0:c r="BC72" s="149" t="n">
        <ns0:f>SUMIFS('装量配置'!$R$6:$R$718,'装量配置'!$A$6:$A$718,A72,'装量配置'!$B$6:$B$718,"开局")</ns0:f>
        <ns0:v>0</ns0:v>
      </ns0:c>
      <ns0:c r="BD72" s="146" t="str">
        <ns0:v>循环与空单颗暂存配合，无冰冻、隐藏或补货，降低信息与材料负担。</ns0:v>
      </ns0:c>
      <ns0:c r="BE72" s="149" t="n">
        <ns0:v>2</ns0:v>
      </ns0:c>
      <ns0:c r="BF72" s="146" t="str">
        <ns0:v>首归纳及时交付，逐关检查机关参与与补货余量</ns0:v>
      </ns0:c>
    </ns0:row>
    <ns0:row r="73" ht="33" customHeight="1">
      <ns0:c r="A73" s="105" t="n">
        <ns0:v>68</ns0:v>
      </ns0:c>
      <ns0:c r="B73" s="117" t="str">
        <ns0:v>循环取料与已学机制</ns0:v>
      </ns0:c>
      <ns0:c r="C73" s="126" t="str">
        <ns0:v>机制组合</ns0:v>
      </ns0:c>
      <ns0:c r="D73" s="108" t="n">
        <ns0:v>4.9</ns0:v>
      </ns0:c>
      <ns0:c r="E73" s="123" t="str">
        <ns0:v>轮转取料与归纳顺序</ns0:v>
      </ns0:c>
      <ns0:c r="F73" s="123" t="str">
        <ns0:v>机关与装量配合</ns0:v>
      </ns0:c>
      <ns0:c r="G73" s="105" t="str">
        <ns0:v>错落</ns0:v>
      </ns0:c>
      <ns0:c r="H73" s="105" t="n">
        <ns0:v>8</ns0:v>
      </ns0:c>
      <ns0:c r="I73" s="105" t="n">
        <ns0:f>SUMIFS('装量配置'!$E$6:$E$718,'装量配置'!$A$6:$A$718,A73,'装量配置'!$B$6:$B$718,"开局",'装量配置'!$F$6:$F$718,4,'装量配置'!$G$6:$G$718,"&gt;0")</ns0:f>
        <ns0:v>17</ns0:v>
      </ns0:c>
      <ns0:c r="J73" s="105" t="n">
        <ns0:f>SUMIFS('装量配置'!$E$6:$E$718,'装量配置'!$A$6:$A$718,A73,'装量配置'!$B$6:$B$718,"备货")</ns0:f>
        <ns0:v>0</ns0:v>
      </ns0:c>
      <ns0:c r="K73" s="105" t="n">
        <ns0:v>16</ns0:v>
      </ns0:c>
      <ns0:c r="L73" s="105" t="n">
        <ns0:f>SUMIFS('装量配置'!$E$6:$E$718,'装量配置'!$A$6:$A$718,A73,'装量配置'!$B$6:$B$718,"开局",'装量配置'!$F$6:$F$718,4,'装量配置'!$G$6:$G$718,0,'装量配置'!$D$6:$D$718,"&lt;&gt;广告锁定周转盒")</ns0:f>
        <ns0:v>1</ns0:v>
      </ns0:c>
      <ns0:c r="M73" s="105" t="n">
        <ns0:f>SUMIFS('装量配置'!$E$6:$E$718,'装量配置'!$A$6:$A$718,A73,'装量配置'!$B$6:$B$718,"开局",'装量配置'!$F$6:$F$718,1)</ns0:f>
        <ns0:v>0</ns0:v>
      </ns0:c>
      <ns0:c r="N73" s="105" t="n">
        <ns0:f>SUMIFS('装量配置'!$E$6:$E$718,'装量配置'!$A$6:$A$718,A73,'装量配置'!$B$6:$B$718,"开局",'装量配置'!$D$6:$D$718,"广告锁定周转盒")</ns0:f>
        <ns0:v>2</ns0:v>
      </ns0:c>
      <ns0:c r="O73" s="105" t="n">
        <ns0:f>SUMIFS('装量配置'!$E$6:$E$718,'装量配置'!$A$6:$A$718,A73,'装量配置'!$B$6:$B$718,"开局")</ns0:f>
        <ns0:v>20</ns0:v>
      </ns0:c>
      <ns0:c r="P73" s="105" t="n">
        <ns0:f>SUMIFS('装量配置'!$K$6:$K$718,'装量配置'!$A$6:$A$718,A73)</ns0:f>
        <ns0:v>4</ns0:v>
      </ns0:c>
      <ns0:c r="Q73" s="105" t="n">
        <ns0:v>4</ns0:v>
      </ns0:c>
      <ns0:c r="R73" s="106" t="n">
        <ns0:v>0.046875</ns0:v>
      </ns0:c>
      <ns0:c r="S73" s="106" t="n">
        <ns0:v>0.12</ns0:v>
      </ns0:c>
      <ns0:c r="T73" s="105" t="n">
        <ns0:v>3</ns0:v>
      </ns0:c>
      <ns0:c r="U73" s="105" t="n">
        <ns0:v>0</ns0:v>
      </ns0:c>
      <ns0:c r="V73" s="123" t="str">
        <ns0:v>底部置顶盒</ns0:v>
      </ns0:c>
      <ns0:c r="W73" s="123" t="str">
        <ns0:v>数字冰冻盒</ns0:v>
      </ns0:c>
      <ns0:c r="X73" s="123" t="str">
        <ns0:v>底部置顶盒×1；数字冰冻盒×1</ns0:v>
      </ns0:c>
      <ns0:c r="Y73" s="105" t="n">
        <ns0:f>SUMIFS('装量配置'!$I$6:$I$718,'装量配置'!$A$6:$A$718,A73)</ns0:f>
        <ns0:v>64</ns0:v>
      </ns0:c>
      <ns0:c r="Z73" s="105" t="str">
        <ns0:f>IF(AND(O73&lt;=25,N73=2,Y73=K73*4,H73&lt;=K73,P73+AT73&gt;=4,COUNTIFS('装量配置'!$A$6:$A$718,A73,'装量配置'!$O$6:$O$718,"需调整")=0),"装量通过；待逐味","需调整")</ns0:f>
        <ns0:v>装量通过；待逐味</ns0:v>
      </ns0:c>
      <ns0:c r="AA73" s="107" t="str">
        <ns0:v>四条件可行路线已保存（非最短解）</ns0:v>
      </ns0:c>
      <ns0:c r="AB73" s="107"/>
      <ns0:c r="AC73" s="107"/>
      <ns0:c r="AD73" s="106" t="n">
        <ns0:v>0.44</ns0:v>
      </ns0:c>
      <ns0:c r="AE73" s="108" t="n">
        <ns0:v>6.5</ns0:v>
      </ns0:c>
      <ns0:c r="AF73" s="109"/>
      <ns0:c r="AG73" s="109"/>
      <ns0:c r="AH73" s="110"/>
      <ns0:c r="AI73" s="131" t="str">
        <ns0:v>固定层序；待连续真人试玩</ns0:v>
      </ns0:c>
      <ns0:c r="AJ73" s="123" t="str">
        <ns0:v>循环盒保持明牌，普通满盒下三层隐藏；四只三颗盒提供分散余量。</ns0:v>
      </ns0:c>
      <ns0:c r="AK73" s="123" t="str">
        <ns0:v>连续居中，按盒数分排</ns0:v>
      </ns0:c>
      <ns0:c r="AL73" s="105" t="n">
        <ns0:v>1</ns0:v>
      </ns0:c>
      <ns0:c r="AM73" s="106" t="n">
        <ns0:v>0.78</ns0:v>
      </ns0:c>
      <ns0:c r="AN73" s="107"/>
      <ns0:c r="AO73" s="110"/>
      <ns0:c r="AP73" s="123" t="str">
        <ns0:v>双锁／单开A／单开B／双开完整回放</ns0:v>
      </ns0:c>
      <ns0:c r="AQ73" s="107"/>
      <ns0:c r="AR73" s="121" t="n">
        <ns0:f>SUMIFS('装量配置'!$I$6:$I$718,'装量配置'!$A$6:$A$718,A73,'装量配置'!$B$6:$B$718,"开局")</ns0:f>
        <ns0:v>64</ns0:v>
      </ns0:c>
      <ns0:c r="AS73" s="133" t="n">
        <ns0:f>SUMIFS('装量配置'!$I$6:$I$718,'装量配置'!$A$6:$A$718,A73,'装量配置'!$B$6:$B$718,"开局",'装量配置'!$D$6:$D$718,"普通盒",'装量配置'!$G$6:$G$718,"&gt;0")/(4*SUMIFS('装量配置'!$E$6:$E$718,'装量配置'!$A$6:$A$718,A73,'装量配置'!$B$6:$B$718,"开局",'装量配置'!$D$6:$D$718,"普通盒",'装量配置'!$G$6:$G$718,"&gt;0"))</ns0:f>
        <ns0:v>0.9333333333333333</ns0:v>
      </ns0:c>
      <ns0:c r="AT73" s="121" t="n">
        <ns0:f>SUMIFS('装量配置'!$L$6:$L$718,'装量配置'!$A$6:$A$718,A73)</ns0:f>
        <ns0:v>4</ns0:v>
      </ns0:c>
      <ns0:c r="AU73" s="121" t="n">
        <ns0:f>SUMIFS('装量配置'!$M$6:$M$718,'装量配置'!$A$6:$A$718,A73)</ns0:f>
        <ns0:v>0</ns0:v>
      </ns0:c>
      <ns0:c r="AV73" s="121" t="n">
        <ns0:f>SUMIFS('装量配置'!$N$6:$N$718,'装量配置'!$A$6:$A$718,A73)</ns0:f>
        <ns0:v>0</ns0:v>
      </ns0:c>
      <ns0:c r="AW73" s="133" t="n">
        <ns0:v>0.18</ns0:v>
      </ns0:c>
      <ns0:c r="AX73" s="121" t="n">
        <ns0:v>4</ns0:v>
      </ns0:c>
      <ns0:c r="AY73" s="121" t="n">
        <ns0:f>IF(AX73=1,1,0)</ns0:f>
        <ns0:v>0</ns0:v>
      </ns0:c>
      <ns0:c r="AZ73" s="121" t="n">
        <ns0:f>SUMIFS('装量配置'!$E$6:$E$718,'装量配置'!$A$6:$A$718,A73,'装量配置'!$B$6:$B$718,"开局",'装量配置'!$D$6:$D$718,"&lt;&gt;普通盒",'装量配置'!$D$6:$D$718,"&lt;&gt;广告锁定周转盒")</ns0:f>
        <ns0:v>2</ns0:v>
      </ns0:c>
      <ns0:c r="BA73" s="150" t="n">
        <ns0:f>IF(COUNTIFS('装量配置'!$A$6:$A$718,A73,'装量配置'!$B$6:$B$718,"开局",'装量配置'!$D$6:$D$718,"数字盖盒",'装量配置'!$E$6:$E$718,"&gt;0")&gt;0,1,0)+IF(COUNTIFS('装量配置'!$A$6:$A$718,A73,'装量配置'!$B$6:$B$718,"开局",'装量配置'!$D$6:$D$718,"普通冰冻盒",'装量配置'!$E$6:$E$718,"&gt;0")&gt;0,1,0)+IF(COUNTIFS('装量配置'!$A$6:$A$718,A73,'装量配置'!$B$6:$B$718,"开局",'装量配置'!$D$6:$D$718,"单颗暂存盒",'装量配置'!$E$6:$E$718,"&gt;0")&gt;0,1,0)+IF(COUNTIFS('装量配置'!$A$6:$A$718,A73,'装量配置'!$B$6:$B$718,"开局",'装量配置'!$D$6:$D$718,"数字冰冻盒",'装量配置'!$E$6:$E$718,"&gt;0")&gt;0,1,0)+IF(COUNTIFS('装量配置'!$A$6:$A$718,A73,'装量配置'!$B$6:$B$718,"开局",'装量配置'!$D$6:$D$718,"固定颜色盒",'装量配置'!$E$6:$E$718,"&gt;0")&gt;0,1,0)+IF(COUNTIFS('装量配置'!$A$6:$A$718,A73,'装量配置'!$B$6:$B$718,"开局",'装量配置'!$D$6:$D$718,"单向收纳盒",'装量配置'!$E$6:$E$718,"&gt;0")&gt;0,1,0)+IF(COUNTIFS('装量配置'!$A$6:$A$718,A73,'装量配置'!$B$6:$B$718,"开局",'装量配置'!$D$6:$D$718,"底部置顶盒",'装量配置'!$E$6:$E$718,"&gt;0")&gt;0,1,0)+IF(COUNTIFS('装量配置'!$A$6:$A$718,A73,'装量配置'!$B$6:$B$718,"开局",'装量配置'!$D$6:$D$718,"炸弹盒",'装量配置'!$E$6:$E$718,"&gt;0")&gt;0,1,0)</ns0:f>
        <ns0:v>2</ns0:v>
      </ns0:c>
      <ns0:c r="BB73" s="150" t="n">
        <ns0:f>SUMIFS('装量配置'!$E$6:$E$718,'装量配置'!$A$6:$A$718,A73,'装量配置'!$B$6:$B$718,"开局",'装量配置'!$D$6:$D$718,"数字盖盒")+SUMIFS('装量配置'!$E$6:$E$718,'装量配置'!$A$6:$A$718,A73,'装量配置'!$B$6:$B$718,"开局",'装量配置'!$D$6:$D$718,"普通冰冻盒")+SUMIFS('装量配置'!$E$6:$E$718,'装量配置'!$A$6:$A$718,A73,'装量配置'!$B$6:$B$718,"开局",'装量配置'!$D$6:$D$718,"数字冰冻盒")</ns0:f>
        <ns0:v>1</ns0:v>
      </ns0:c>
      <ns0:c r="BC73" s="150" t="n">
        <ns0:f>SUMIFS('装量配置'!$R$6:$R$718,'装量配置'!$A$6:$A$718,A73,'装量配置'!$B$6:$B$718,"开局")</ns0:f>
        <ns0:v>1</ns0:v>
      </ns0:c>
      <ns0:c r="BD73" s="148" t="str">
        <ns0:v>循环盒保持明牌，普通满盒下三层隐藏；四只三颗盒提供分散余量。</ns0:v>
      </ns0:c>
      <ns0:c r="BE73" s="150" t="n">
        <ns0:v>3</ns0:v>
      </ns0:c>
      <ns0:c r="BF73" s="148" t="str">
        <ns0:v>首归纳及时交付，逐关检查机关参与与补货余量</ns0:v>
      </ns0:c>
    </ns0:row>
    <ns0:row r="74" ht="33" customHeight="1">
      <ns0:c r="A74" s="112" t="n">
        <ns0:v>69</ns0:v>
      </ns0:c>
      <ns0:c r="B74" s="119" t="str">
        <ns0:v>循环取料与已学机制</ns0:v>
      </ns0:c>
      <ns0:c r="C74" s="127" t="str">
        <ns0:v>阶段挑战</ns0:v>
      </ns0:c>
      <ns0:c r="D74" s="114" t="n">
        <ns0:v>5</ns0:v>
      </ns0:c>
      <ns0:c r="E74" s="124" t="str">
        <ns0:v>轮转取料与归纳顺序</ns0:v>
      </ns0:c>
      <ns0:c r="F74" s="124" t="str">
        <ns0:v>机关与装量配合</ns0:v>
      </ns0:c>
      <ns0:c r="G74" s="112" t="str">
        <ns0:v>错落</ns0:v>
      </ns0:c>
      <ns0:c r="H74" s="112" t="n">
        <ns0:v>8</ns0:v>
      </ns0:c>
      <ns0:c r="I74" s="112" t="n">
        <ns0:f>SUMIFS('装量配置'!$E$6:$E$718,'装量配置'!$A$6:$A$718,A74,'装量配置'!$B$6:$B$718,"开局",'装量配置'!$F$6:$F$718,4,'装量配置'!$G$6:$G$718,"&gt;0")</ns0:f>
        <ns0:v>17</ns0:v>
      </ns0:c>
      <ns0:c r="J74" s="112" t="n">
        <ns0:f>SUMIFS('装量配置'!$E$6:$E$718,'装量配置'!$A$6:$A$718,A74,'装量配置'!$B$6:$B$718,"备货")</ns0:f>
        <ns0:v>2</ns0:v>
      </ns0:c>
      <ns0:c r="K74" s="112" t="n">
        <ns0:v>17</ns0:v>
      </ns0:c>
      <ns0:c r="L74" s="112" t="n">
        <ns0:f>SUMIFS('装量配置'!$E$6:$E$718,'装量配置'!$A$6:$A$718,A74,'装量配置'!$B$6:$B$718,"开局",'装量配置'!$F$6:$F$718,4,'装量配置'!$G$6:$G$718,0,'装量配置'!$D$6:$D$718,"&lt;&gt;广告锁定周转盒")</ns0:f>
        <ns0:v>0</ns0:v>
      </ns0:c>
      <ns0:c r="M74" s="112" t="n">
        <ns0:f>SUMIFS('装量配置'!$E$6:$E$718,'装量配置'!$A$6:$A$718,A74,'装量配置'!$B$6:$B$718,"开局",'装量配置'!$F$6:$F$718,1)</ns0:f>
        <ns0:v>1</ns0:v>
      </ns0:c>
      <ns0:c r="N74" s="112" t="n">
        <ns0:f>SUMIFS('装量配置'!$E$6:$E$718,'装量配置'!$A$6:$A$718,A74,'装量配置'!$B$6:$B$718,"开局",'装量配置'!$D$6:$D$718,"广告锁定周转盒")</ns0:f>
        <ns0:v>2</ns0:v>
      </ns0:c>
      <ns0:c r="O74" s="112" t="n">
        <ns0:f>SUMIFS('装量配置'!$E$6:$E$718,'装量配置'!$A$6:$A$718,A74,'装量配置'!$B$6:$B$718,"开局")</ns0:f>
        <ns0:v>20</ns0:v>
      </ns0:c>
      <ns0:c r="P74" s="112" t="n">
        <ns0:f>SUMIFS('装量配置'!$K$6:$K$718,'装量配置'!$A$6:$A$718,A74)</ns0:f>
        <ns0:v>0</ns0:v>
      </ns0:c>
      <ns0:c r="Q74" s="112" t="n">
        <ns0:v>4</ns0:v>
      </ns0:c>
      <ns0:c r="R74" s="113" t="n">
        <ns0:v>0.04411764705882353</ns0:v>
      </ns0:c>
      <ns0:c r="S74" s="113" t="n">
        <ns0:v>0.12</ns0:v>
      </ns0:c>
      <ns0:c r="T74" s="112" t="n">
        <ns0:v>3</ns0:v>
      </ns0:c>
      <ns0:c r="U74" s="112" t="n">
        <ns0:v>3</ns0:v>
      </ns0:c>
      <ns0:c r="V74" s="124" t="str">
        <ns0:v>底部置顶盒</ns0:v>
      </ns0:c>
      <ns0:c r="W74" s="124" t="str">
        <ns0:v>数字冰冻盒、单颗暂存盒</ns0:v>
      </ns0:c>
      <ns0:c r="X74" s="124" t="str">
        <ns0:v>底部置顶盒×1；数字冰冻盒×1；单颗暂存盒×1</ns0:v>
      </ns0:c>
      <ns0:c r="Y74" s="112" t="n">
        <ns0:f>SUMIFS('装量配置'!$I$6:$I$718,'装量配置'!$A$6:$A$718,A74)</ns0:f>
        <ns0:v>68</ns0:v>
      </ns0:c>
      <ns0:c r="Z74" s="112" t="str">
        <ns0:f>IF(AND(O74&lt;=25,N74=2,Y74=K74*4,H74&lt;=K74,P74+AT74&gt;=4,COUNTIFS('装量配置'!$A$6:$A$718,A74,'装量配置'!$O$6:$O$718,"需调整")=0),"装量通过；待逐味","需调整")</ns0:f>
        <ns0:v>装量通过；待逐味</ns0:v>
      </ns0:c>
      <ns0:c r="AA74" s="107" t="str">
        <ns0:v>四条件可行路线已保存（非最短解）</ns0:v>
      </ns0:c>
      <ns0:c r="AB74" s="107"/>
      <ns0:c r="AC74" s="107"/>
      <ns0:c r="AD74" s="113" t="n">
        <ns0:v>0.35</ns0:v>
      </ns0:c>
      <ns0:c r="AE74" s="114" t="n">
        <ns0:v>7.5</ns0:v>
      </ns0:c>
      <ns0:c r="AF74" s="109"/>
      <ns0:c r="AG74" s="109"/>
      <ns0:c r="AH74" s="110"/>
      <ns0:c r="AI74" s="131" t="str">
        <ns0:v>固定层序；待连续真人试玩</ns0:v>
      </ns0:c>
      <ns0:c r="AJ74" s="124" t="str">
        <ns0:v>循环、数字冰冻2与预装暂存组成阶段挑战；仅普通满盒隐藏三颗，两次补货分开。</ns0:v>
      </ns0:c>
      <ns0:c r="AK74" s="124" t="str">
        <ns0:v>连续居中，按盒数分排</ns0:v>
      </ns0:c>
      <ns0:c r="AL74" s="112" t="n">
        <ns0:v>2</ns0:v>
      </ns0:c>
      <ns0:c r="AM74" s="113" t="n">
        <ns0:v>0.65</ns0:v>
      </ns0:c>
      <ns0:c r="AN74" s="112"/>
      <ns0:c r="AO74" s="113"/>
      <ns0:c r="AP74" s="124" t="str">
        <ns0:v>双锁／单开A／单开B／双开完整回放</ns0:v>
      </ns0:c>
      <ns0:c r="AQ74" s="107"/>
      <ns0:c r="AR74" s="120" t="n">
        <ns0:f>SUMIFS('装量配置'!$I$6:$I$718,'装量配置'!$A$6:$A$718,A74,'装量配置'!$B$6:$B$718,"开局")</ns0:f>
        <ns0:v>60</ns0:v>
      </ns0:c>
      <ns0:c r="AS74" s="132" t="n">
        <ns0:f>SUMIFS('装量配置'!$I$6:$I$718,'装量配置'!$A$6:$A$718,A74,'装量配置'!$B$6:$B$718,"开局",'装量配置'!$D$6:$D$718,"普通盒",'装量配置'!$G$6:$G$718,"&gt;0")/(4*SUMIFS('装量配置'!$E$6:$E$718,'装量配置'!$A$6:$A$718,A74,'装量配置'!$B$6:$B$718,"开局",'装量配置'!$D$6:$D$718,"普通盒",'装量配置'!$G$6:$G$718,"&gt;0"))</ns0:f>
        <ns0:v>0.85</ns0:v>
      </ns0:c>
      <ns0:c r="AT74" s="120" t="n">
        <ns0:f>SUMIFS('装量配置'!$L$6:$L$718,'装量配置'!$A$6:$A$718,A74)</ns0:f>
        <ns0:v>9</ns0:v>
      </ns0:c>
      <ns0:c r="AU74" s="120" t="n">
        <ns0:f>SUMIFS('装量配置'!$M$6:$M$718,'装量配置'!$A$6:$A$718,A74)</ns0:f>
        <ns0:v>0</ns0:v>
      </ns0:c>
      <ns0:c r="AV74" s="120" t="n">
        <ns0:f>SUMIFS('装量配置'!$N$6:$N$718,'装量配置'!$A$6:$A$718,A74)</ns0:f>
        <ns0:v>0</ns0:v>
      </ns0:c>
      <ns0:c r="AW74" s="132" t="n">
        <ns0:v>0.18</ns0:v>
      </ns0:c>
      <ns0:c r="AX74" s="120" t="n">
        <ns0:v>4</ns0:v>
      </ns0:c>
      <ns0:c r="AY74" s="120" t="n">
        <ns0:f>IF(AX74=1,1,0)</ns0:f>
        <ns0:v>0</ns0:v>
      </ns0:c>
      <ns0:c r="AZ74" s="120" t="n">
        <ns0:f>SUMIFS('装量配置'!$E$6:$E$718,'装量配置'!$A$6:$A$718,A74,'装量配置'!$B$6:$B$718,"开局",'装量配置'!$D$6:$D$718,"&lt;&gt;普通盒",'装量配置'!$D$6:$D$718,"&lt;&gt;广告锁定周转盒")</ns0:f>
        <ns0:v>3</ns0:v>
      </ns0:c>
      <ns0:c r="BA74" s="149" t="n">
        <ns0:f>IF(COUNTIFS('装量配置'!$A$6:$A$718,A74,'装量配置'!$B$6:$B$718,"开局",'装量配置'!$D$6:$D$718,"数字盖盒",'装量配置'!$E$6:$E$718,"&gt;0")&gt;0,1,0)+IF(COUNTIFS('装量配置'!$A$6:$A$718,A74,'装量配置'!$B$6:$B$718,"开局",'装量配置'!$D$6:$D$718,"普通冰冻盒",'装量配置'!$E$6:$E$718,"&gt;0")&gt;0,1,0)+IF(COUNTIFS('装量配置'!$A$6:$A$718,A74,'装量配置'!$B$6:$B$718,"开局",'装量配置'!$D$6:$D$718,"单颗暂存盒",'装量配置'!$E$6:$E$718,"&gt;0")&gt;0,1,0)+IF(COUNTIFS('装量配置'!$A$6:$A$718,A74,'装量配置'!$B$6:$B$718,"开局",'装量配置'!$D$6:$D$718,"数字冰冻盒",'装量配置'!$E$6:$E$718,"&gt;0")&gt;0,1,0)+IF(COUNTIFS('装量配置'!$A$6:$A$718,A74,'装量配置'!$B$6:$B$718,"开局",'装量配置'!$D$6:$D$718,"固定颜色盒",'装量配置'!$E$6:$E$718,"&gt;0")&gt;0,1,0)+IF(COUNTIFS('装量配置'!$A$6:$A$718,A74,'装量配置'!$B$6:$B$718,"开局",'装量配置'!$D$6:$D$718,"单向收纳盒",'装量配置'!$E$6:$E$718,"&gt;0")&gt;0,1,0)+IF(COUNTIFS('装量配置'!$A$6:$A$718,A74,'装量配置'!$B$6:$B$718,"开局",'装量配置'!$D$6:$D$718,"底部置顶盒",'装量配置'!$E$6:$E$718,"&gt;0")&gt;0,1,0)+IF(COUNTIFS('装量配置'!$A$6:$A$718,A74,'装量配置'!$B$6:$B$718,"开局",'装量配置'!$D$6:$D$718,"炸弹盒",'装量配置'!$E$6:$E$718,"&gt;0")&gt;0,1,0)</ns0:f>
        <ns0:v>3</ns0:v>
      </ns0:c>
      <ns0:c r="BB74" s="149" t="n">
        <ns0:f>SUMIFS('装量配置'!$E$6:$E$718,'装量配置'!$A$6:$A$718,A74,'装量配置'!$B$6:$B$718,"开局",'装量配置'!$D$6:$D$718,"数字盖盒")+SUMIFS('装量配置'!$E$6:$E$718,'装量配置'!$A$6:$A$718,A74,'装量配置'!$B$6:$B$718,"开局",'装量配置'!$D$6:$D$718,"普通冰冻盒")+SUMIFS('装量配置'!$E$6:$E$718,'装量配置'!$A$6:$A$718,A74,'装量配置'!$B$6:$B$718,"开局",'装量配置'!$D$6:$D$718,"数字冰冻盒")</ns0:f>
        <ns0:v>1</ns0:v>
      </ns0:c>
      <ns0:c r="BC74" s="149" t="n">
        <ns0:f>SUMIFS('装量配置'!$R$6:$R$718,'装量配置'!$A$6:$A$718,A74,'装量配置'!$B$6:$B$718,"开局")</ns0:f>
        <ns0:v>2</ns0:v>
      </ns0:c>
      <ns0:c r="BD74" s="146" t="str">
        <ns0:v>循环、数字冰冻2与预装暂存组成阶段挑战；仅普通满盒隐藏三颗，两次补货分开。</ns0:v>
      </ns0:c>
      <ns0:c r="BE74" s="149" t="n">
        <ns0:v>4</ns0:v>
      </ns0:c>
      <ns0:c r="BF74" s="146" t="str">
        <ns0:v>首归纳及时交付，逐关检查机关参与与补货余量</ns0:v>
      </ns0:c>
    </ns0:row>
    <ns0:row r="75" ht="33" customHeight="1">
      <ns0:c r="A75" s="105" t="n">
        <ns0:v>70</ns0:v>
      </ns0:c>
      <ns0:c r="B75" s="117" t="str">
        <ns0:v>循环取料与已学机制</ns0:v>
      </ns0:c>
      <ns0:c r="C75" s="126" t="str">
        <ns0:v>缓和巩固</ns0:v>
      </ns0:c>
      <ns0:c r="D75" s="108" t="n">
        <ns0:v>4.8</ns0:v>
      </ns0:c>
      <ns0:c r="E75" s="123" t="str">
        <ns0:v>轮转取料与归纳顺序</ns0:v>
      </ns0:c>
      <ns0:c r="F75" s="123" t="str">
        <ns0:v>机关与装量配合</ns0:v>
      </ns0:c>
      <ns0:c r="G75" s="105" t="str">
        <ns0:v>整齐</ns0:v>
      </ns0:c>
      <ns0:c r="H75" s="105" t="n">
        <ns0:v>8</ns0:v>
      </ns0:c>
      <ns0:c r="I75" s="105" t="n">
        <ns0:f>SUMIFS('装量配置'!$E$6:$E$718,'装量配置'!$A$6:$A$718,A75,'装量配置'!$B$6:$B$718,"开局",'装量配置'!$F$6:$F$718,4,'装量配置'!$G$6:$G$718,"&gt;0")</ns0:f>
        <ns0:v>17</ns0:v>
      </ns0:c>
      <ns0:c r="J75" s="105" t="n">
        <ns0:f>SUMIFS('装量配置'!$E$6:$E$718,'装量配置'!$A$6:$A$718,A75,'装量配置'!$B$6:$B$718,"备货")</ns0:f>
        <ns0:v>0</ns0:v>
      </ns0:c>
      <ns0:c r="K75" s="105" t="n">
        <ns0:v>16</ns0:v>
      </ns0:c>
      <ns0:c r="L75" s="105" t="n">
        <ns0:f>SUMIFS('装量配置'!$E$6:$E$718,'装量配置'!$A$6:$A$718,A75,'装量配置'!$B$6:$B$718,"开局",'装量配置'!$F$6:$F$718,4,'装量配置'!$G$6:$G$718,0,'装量配置'!$D$6:$D$718,"&lt;&gt;广告锁定周转盒")</ns0:f>
        <ns0:v>1</ns0:v>
      </ns0:c>
      <ns0:c r="M75" s="105" t="n">
        <ns0:f>SUMIFS('装量配置'!$E$6:$E$718,'装量配置'!$A$6:$A$718,A75,'装量配置'!$B$6:$B$718,"开局",'装量配置'!$F$6:$F$718,1)</ns0:f>
        <ns0:v>0</ns0:v>
      </ns0:c>
      <ns0:c r="N75" s="105" t="n">
        <ns0:f>SUMIFS('装量配置'!$E$6:$E$718,'装量配置'!$A$6:$A$718,A75,'装量配置'!$B$6:$B$718,"开局",'装量配置'!$D$6:$D$718,"广告锁定周转盒")</ns0:f>
        <ns0:v>2</ns0:v>
      </ns0:c>
      <ns0:c r="O75" s="105" t="n">
        <ns0:f>SUMIFS('装量配置'!$E$6:$E$718,'装量配置'!$A$6:$A$718,A75,'装量配置'!$B$6:$B$718,"开局")</ns0:f>
        <ns0:v>20</ns0:v>
      </ns0:c>
      <ns0:c r="P75" s="105" t="n">
        <ns0:f>SUMIFS('装量配置'!$K$6:$K$718,'装量配置'!$A$6:$A$718,A75)</ns0:f>
        <ns0:v>4</ns0:v>
      </ns0:c>
      <ns0:c r="Q75" s="105" t="n">
        <ns0:v>4</ns0:v>
      </ns0:c>
      <ns0:c r="R75" s="106" t="n">
        <ns0:v>0</ns0:v>
      </ns0:c>
      <ns0:c r="S75" s="106" t="n">
        <ns0:v>0.12</ns0:v>
      </ns0:c>
      <ns0:c r="T75" s="105" t="n">
        <ns0:v>3</ns0:v>
      </ns0:c>
      <ns0:c r="U75" s="105" t="n">
        <ns0:v>0</ns0:v>
      </ns0:c>
      <ns0:c r="V75" s="123" t="str">
        <ns0:v>底部置顶盒</ns0:v>
      </ns0:c>
      <ns0:c r="W75" s="123" t="str">
        <ns0:v>普通冰冻盒</ns0:v>
      </ns0:c>
      <ns0:c r="X75" s="123" t="str">
        <ns0:v>底部置顶盒×1；普通冰冻盒×1</ns0:v>
      </ns0:c>
      <ns0:c r="Y75" s="105" t="n">
        <ns0:f>SUMIFS('装量配置'!$I$6:$I$718,'装量配置'!$A$6:$A$718,A75)</ns0:f>
        <ns0:v>64</ns0:v>
      </ns0:c>
      <ns0:c r="Z75" s="105" t="str">
        <ns0:f>IF(AND(O75&lt;=25,N75=2,Y75=K75*4,H75&lt;=K75,P75+AT75&gt;=4,COUNTIFS('装量配置'!$A$6:$A$718,A75,'装量配置'!$O$6:$O$718,"需调整")=0),"装量通过；待逐味","需调整")</ns0:f>
        <ns0:v>装量通过；待逐味</ns0:v>
      </ns0:c>
      <ns0:c r="AA75" s="107" t="str">
        <ns0:v>四条件可行路线已保存（非最短解）</ns0:v>
      </ns0:c>
      <ns0:c r="AB75" s="107"/>
      <ns0:c r="AC75" s="107"/>
      <ns0:c r="AD75" s="106" t="n">
        <ns0:v>0.53</ns0:v>
      </ns0:c>
      <ns0:c r="AE75" s="108" t="n">
        <ns0:v>6.5</ns0:v>
      </ns0:c>
      <ns0:c r="AF75" s="109"/>
      <ns0:c r="AG75" s="109"/>
      <ns0:c r="AH75" s="110"/>
      <ns0:c r="AI75" s="131" t="str">
        <ns0:v>固定层序；待连续真人试玩</ns0:v>
      </ns0:c>
      <ns0:c r="AJ75" s="123" t="str">
        <ns0:v>回到循环与普通冰冻，保留完整空盒，无隐藏和补货，形成段末缓和。</ns0:v>
      </ns0:c>
      <ns0:c r="AK75" s="123" t="str">
        <ns0:v>连续居中，按盒数分排</ns0:v>
      </ns0:c>
      <ns0:c r="AL75" s="105" t="n">
        <ns0:v>1</ns0:v>
      </ns0:c>
      <ns0:c r="AM75" s="106" t="n">
        <ns0:v>0.78</ns0:v>
      </ns0:c>
      <ns0:c r="AN75" s="107"/>
      <ns0:c r="AO75" s="110"/>
      <ns0:c r="AP75" s="123" t="str">
        <ns0:v>双锁／单开A／单开B／双开完整回放</ns0:v>
      </ns0:c>
      <ns0:c r="AQ75" s="107"/>
      <ns0:c r="AR75" s="121" t="n">
        <ns0:f>SUMIFS('装量配置'!$I$6:$I$718,'装量配置'!$A$6:$A$718,A75,'装量配置'!$B$6:$B$718,"开局")</ns0:f>
        <ns0:v>64</ns0:v>
      </ns0:c>
      <ns0:c r="AS75" s="133" t="n">
        <ns0:f>SUMIFS('装量配置'!$I$6:$I$718,'装量配置'!$A$6:$A$718,A75,'装量配置'!$B$6:$B$718,"开局",'装量配置'!$D$6:$D$718,"普通盒",'装量配置'!$G$6:$G$718,"&gt;0")/(4*SUMIFS('装量配置'!$E$6:$E$718,'装量配置'!$A$6:$A$718,A75,'装量配置'!$B$6:$B$718,"开局",'装量配置'!$D$6:$D$718,"普通盒",'装量配置'!$G$6:$G$718,"&gt;0"))</ns0:f>
        <ns0:v>0.9333333333333333</ns0:v>
      </ns0:c>
      <ns0:c r="AT75" s="121" t="n">
        <ns0:f>SUMIFS('装量配置'!$L$6:$L$718,'装量配置'!$A$6:$A$718,A75)</ns0:f>
        <ns0:v>4</ns0:v>
      </ns0:c>
      <ns0:c r="AU75" s="121" t="n">
        <ns0:f>SUMIFS('装量配置'!$M$6:$M$718,'装量配置'!$A$6:$A$718,A75)</ns0:f>
        <ns0:v>0</ns0:v>
      </ns0:c>
      <ns0:c r="AV75" s="121" t="n">
        <ns0:f>SUMIFS('装量配置'!$N$6:$N$718,'装量配置'!$A$6:$A$718,A75)</ns0:f>
        <ns0:v>0</ns0:v>
      </ns0:c>
      <ns0:c r="AW75" s="133" t="n">
        <ns0:v>0.18</ns0:v>
      </ns0:c>
      <ns0:c r="AX75" s="121" t="n">
        <ns0:v>4</ns0:v>
      </ns0:c>
      <ns0:c r="AY75" s="121" t="n">
        <ns0:f>IF(AX75=1,1,0)</ns0:f>
        <ns0:v>0</ns0:v>
      </ns0:c>
      <ns0:c r="AZ75" s="121" t="n">
        <ns0:f>SUMIFS('装量配置'!$E$6:$E$718,'装量配置'!$A$6:$A$718,A75,'装量配置'!$B$6:$B$718,"开局",'装量配置'!$D$6:$D$718,"&lt;&gt;普通盒",'装量配置'!$D$6:$D$718,"&lt;&gt;广告锁定周转盒")</ns0:f>
        <ns0:v>2</ns0:v>
      </ns0:c>
      <ns0:c r="BA75" s="150" t="n">
        <ns0:f>IF(COUNTIFS('装量配置'!$A$6:$A$718,A75,'装量配置'!$B$6:$B$718,"开局",'装量配置'!$D$6:$D$718,"数字盖盒",'装量配置'!$E$6:$E$718,"&gt;0")&gt;0,1,0)+IF(COUNTIFS('装量配置'!$A$6:$A$718,A75,'装量配置'!$B$6:$B$718,"开局",'装量配置'!$D$6:$D$718,"普通冰冻盒",'装量配置'!$E$6:$E$718,"&gt;0")&gt;0,1,0)+IF(COUNTIFS('装量配置'!$A$6:$A$718,A75,'装量配置'!$B$6:$B$718,"开局",'装量配置'!$D$6:$D$718,"单颗暂存盒",'装量配置'!$E$6:$E$718,"&gt;0")&gt;0,1,0)+IF(COUNTIFS('装量配置'!$A$6:$A$718,A75,'装量配置'!$B$6:$B$718,"开局",'装量配置'!$D$6:$D$718,"数字冰冻盒",'装量配置'!$E$6:$E$718,"&gt;0")&gt;0,1,0)+IF(COUNTIFS('装量配置'!$A$6:$A$718,A75,'装量配置'!$B$6:$B$718,"开局",'装量配置'!$D$6:$D$718,"固定颜色盒",'装量配置'!$E$6:$E$718,"&gt;0")&gt;0,1,0)+IF(COUNTIFS('装量配置'!$A$6:$A$718,A75,'装量配置'!$B$6:$B$718,"开局",'装量配置'!$D$6:$D$718,"单向收纳盒",'装量配置'!$E$6:$E$718,"&gt;0")&gt;0,1,0)+IF(COUNTIFS('装量配置'!$A$6:$A$718,A75,'装量配置'!$B$6:$B$718,"开局",'装量配置'!$D$6:$D$718,"底部置顶盒",'装量配置'!$E$6:$E$718,"&gt;0")&gt;0,1,0)+IF(COUNTIFS('装量配置'!$A$6:$A$718,A75,'装量配置'!$B$6:$B$718,"开局",'装量配置'!$D$6:$D$718,"炸弹盒",'装量配置'!$E$6:$E$718,"&gt;0")&gt;0,1,0)</ns0:f>
        <ns0:v>2</ns0:v>
      </ns0:c>
      <ns0:c r="BB75" s="150" t="n">
        <ns0:f>SUMIFS('装量配置'!$E$6:$E$718,'装量配置'!$A$6:$A$718,A75,'装量配置'!$B$6:$B$718,"开局",'装量配置'!$D$6:$D$718,"数字盖盒")+SUMIFS('装量配置'!$E$6:$E$718,'装量配置'!$A$6:$A$718,A75,'装量配置'!$B$6:$B$718,"开局",'装量配置'!$D$6:$D$718,"普通冰冻盒")+SUMIFS('装量配置'!$E$6:$E$718,'装量配置'!$A$6:$A$718,A75,'装量配置'!$B$6:$B$718,"开局",'装量配置'!$D$6:$D$718,"数字冰冻盒")</ns0:f>
        <ns0:v>1</ns0:v>
      </ns0:c>
      <ns0:c r="BC75" s="150" t="n">
        <ns0:f>SUMIFS('装量配置'!$R$6:$R$718,'装量配置'!$A$6:$A$718,A75,'装量配置'!$B$6:$B$718,"开局")</ns0:f>
        <ns0:v>0</ns0:v>
      </ns0:c>
      <ns0:c r="BD75" s="148" t="str">
        <ns0:v>回到循环与普通冰冻，保留完整空盒，无隐藏和补货，形成段末缓和。</ns0:v>
      </ns0:c>
      <ns0:c r="BE75" s="150" t="n">
        <ns0:v>2</ns0:v>
      </ns0:c>
      <ns0:c r="BF75" s="148" t="str">
        <ns0:v>首归纳及时交付，逐关检查机关参与与补货余量</ns0:v>
      </ns0:c>
    </ns0:row>
    <ns0:row r="76" ht="33" customHeight="1">
      <ns0:c r="A76" s="97" t="n">
        <ns0:v>71</ns0:v>
      </ns0:c>
      <ns0:c r="B76" s="115" t="str">
        <ns0:v>多机制分工与收官</ns0:v>
      </ns0:c>
      <ns0:c r="C76" s="125" t="str">
        <ns0:v>双循环分工</ns0:v>
      </ns0:c>
      <ns0:c r="D76" s="100" t="n">
        <ns0:v>4.8</ns0:v>
      </ns0:c>
      <ns0:c r="E76" s="122" t="str">
        <ns0:v>取料与归纳顺序</ns0:v>
      </ns0:c>
      <ns0:c r="F76" s="122" t="str">
        <ns0:v>机关与装量配合</ns0:v>
      </ns0:c>
      <ns0:c r="G76" s="97" t="str">
        <ns0:v>整齐</ns0:v>
      </ns0:c>
      <ns0:c r="H76" s="97" t="n">
        <ns0:v>7</ns0:v>
      </ns0:c>
      <ns0:c r="I76" s="97" t="n">
        <ns0:f>SUMIFS('装量配置'!$E$6:$E$718,'装量配置'!$A$6:$A$718,A76,'装量配置'!$B$6:$B$718,"开局",'装量配置'!$F$6:$F$718,4,'装量配置'!$G$6:$G$718,"&gt;0")</ns0:f>
        <ns0:v>16</ns0:v>
      </ns0:c>
      <ns0:c r="J76" s="97" t="n">
        <ns0:f>SUMIFS('装量配置'!$E$6:$E$718,'装量配置'!$A$6:$A$718,A76,'装量配置'!$B$6:$B$718,"备货")</ns0:f>
        <ns0:v>0</ns0:v>
      </ns0:c>
      <ns0:c r="K76" s="97" t="n">
        <ns0:v>15</ns0:v>
      </ns0:c>
      <ns0:c r="L76" s="97" t="n">
        <ns0:f>SUMIFS('装量配置'!$E$6:$E$718,'装量配置'!$A$6:$A$718,A76,'装量配置'!$B$6:$B$718,"开局",'装量配置'!$F$6:$F$718,4,'装量配置'!$G$6:$G$718,0,'装量配置'!$D$6:$D$718,"&lt;&gt;广告锁定周转盒")</ns0:f>
        <ns0:v>1</ns0:v>
      </ns0:c>
      <ns0:c r="M76" s="97" t="n">
        <ns0:f>SUMIFS('装量配置'!$E$6:$E$718,'装量配置'!$A$6:$A$718,A76,'装量配置'!$B$6:$B$718,"开局",'装量配置'!$F$6:$F$718,1)</ns0:f>
        <ns0:v>0</ns0:v>
      </ns0:c>
      <ns0:c r="N76" s="97" t="n">
        <ns0:f>SUMIFS('装量配置'!$E$6:$E$718,'装量配置'!$A$6:$A$718,A76,'装量配置'!$B$6:$B$718,"开局",'装量配置'!$D$6:$D$718,"广告锁定周转盒")</ns0:f>
        <ns0:v>2</ns0:v>
      </ns0:c>
      <ns0:c r="O76" s="97" t="n">
        <ns0:f>SUMIFS('装量配置'!$E$6:$E$718,'装量配置'!$A$6:$A$718,A76,'装量配置'!$B$6:$B$718,"开局")</ns0:f>
        <ns0:v>19</ns0:v>
      </ns0:c>
      <ns0:c r="P76" s="97" t="n">
        <ns0:f>SUMIFS('装量配置'!$K$6:$K$718,'装量配置'!$A$6:$A$718,A76)</ns0:f>
        <ns0:v>4</ns0:v>
      </ns0:c>
      <ns0:c r="Q76" s="97" t="n">
        <ns0:v>4</ns0:v>
      </ns0:c>
      <ns0:c r="R76" s="98" t="n">
        <ns0:v>0</ns0:v>
      </ns0:c>
      <ns0:c r="S76" s="98" t="n">
        <ns0:v>0.12</ns0:v>
      </ns0:c>
      <ns0:c r="T76" s="97" t="n">
        <ns0:v>3</ns0:v>
      </ns0:c>
      <ns0:c r="U76" s="97" t="n">
        <ns0:v>0</ns0:v>
      </ns0:c>
      <ns0:c r="V76" s="122" t="str">
        <ns0:v>底部置顶盒</ns0:v>
      </ns0:c>
      <ns0:c r="W76" s="122"/>
      <ns0:c r="X76" s="122" t="str">
        <ns0:v>底部置顶盒×2</ns0:v>
      </ns0:c>
      <ns0:c r="Y76" s="97" t="n">
        <ns0:f>SUMIFS('装量配置'!$I$6:$I$718,'装量配置'!$A$6:$A$718,A76)</ns0:f>
        <ns0:v>60</ns0:v>
      </ns0:c>
      <ns0:c r="Z76" s="97" t="str">
        <ns0:f>IF(AND(O76&lt;=25,N76=2,Y76=K76*4,H76&lt;=K76,P76+AT76&gt;=4,COUNTIFS('装量配置'!$A$6:$A$718,A76,'装量配置'!$O$6:$O$718,"需调整")=0),"装量通过；待逐味","需调整")</ns0:f>
        <ns0:v>装量通过；待逐味</ns0:v>
      </ns0:c>
      <ns0:c r="AA76" s="99" t="str">
        <ns0:v>四条件可行路线已保存（非最短解）</ns0:v>
      </ns0:c>
      <ns0:c r="AB76" s="99"/>
      <ns0:c r="AC76" s="99"/>
      <ns0:c r="AD76" s="98" t="n">
        <ns0:v>0.5</ns0:v>
      </ns0:c>
      <ns0:c r="AE76" s="100" t="n">
        <ns0:v>6.5</ns0:v>
      </ns0:c>
      <ns0:c r="AF76" s="101"/>
      <ns0:c r="AG76" s="101"/>
      <ns0:c r="AH76" s="102"/>
      <ns0:c r="AI76" s="130" t="str">
        <ns0:v>固定层序；待连续真人试玩</ns0:v>
      </ns0:c>
      <ns0:c r="AJ76" s="122" t="str">
        <ns0:v>两只明牌循环盒分工取料；两盒都需实际换顶，先体验处理顺序而非增加未知信息。</ns0:v>
      </ns0:c>
      <ns0:c r="AK76" s="122" t="str">
        <ns0:v>连续居中，按盒数分排</ns0:v>
      </ns0:c>
      <ns0:c r="AL76" s="97" t="n">
        <ns0:v>1</ns0:v>
      </ns0:c>
      <ns0:c r="AM76" s="98" t="n">
        <ns0:v>0.78</ns0:v>
      </ns0:c>
      <ns0:c r="AN76" s="97"/>
      <ns0:c r="AO76" s="98"/>
      <ns0:c r="AP76" s="122" t="str">
        <ns0:v>双锁／单开A／单开B／双开完整回放</ns0:v>
      </ns0:c>
      <ns0:c r="AQ76" s="99"/>
      <ns0:c r="AR76" s="120" t="n">
        <ns0:f>SUMIFS('装量配置'!$I$6:$I$718,'装量配置'!$A$6:$A$718,A76,'装量配置'!$B$6:$B$718,"开局")</ns0:f>
        <ns0:v>60</ns0:v>
      </ns0:c>
      <ns0:c r="AS76" s="132" t="n">
        <ns0:f>SUMIFS('装量配置'!$I$6:$I$718,'装量配置'!$A$6:$A$718,A76,'装量配置'!$B$6:$B$718,"开局",'装量配置'!$D$6:$D$718,"普通盒",'装量配置'!$G$6:$G$718,"&gt;0")/(4*SUMIFS('装量配置'!$E$6:$E$718,'装量配置'!$A$6:$A$718,A76,'装量配置'!$B$6:$B$718,"开局",'装量配置'!$D$6:$D$718,"普通盒",'装量配置'!$G$6:$G$718,"&gt;0"))</ns0:f>
        <ns0:v>0.9285714285714286</ns0:v>
      </ns0:c>
      <ns0:c r="AT76" s="120" t="n">
        <ns0:f>SUMIFS('装量配置'!$L$6:$L$718,'装量配置'!$A$6:$A$718,A76)</ns0:f>
        <ns0:v>4</ns0:v>
      </ns0:c>
      <ns0:c r="AU76" s="120" t="n">
        <ns0:f>SUMIFS('装量配置'!$M$6:$M$718,'装量配置'!$A$6:$A$718,A76)</ns0:f>
        <ns0:v>0</ns0:v>
      </ns0:c>
      <ns0:c r="AV76" s="120" t="n">
        <ns0:f>SUMIFS('装量配置'!$N$6:$N$718,'装量配置'!$A$6:$A$718,A76)</ns0:f>
        <ns0:v>0</ns0:v>
      </ns0:c>
      <ns0:c r="AW76" s="132" t="n">
        <ns0:v>0.18</ns0:v>
      </ns0:c>
      <ns0:c r="AX76" s="120" t="n">
        <ns0:v>4</ns0:v>
      </ns0:c>
      <ns0:c r="AY76" s="120" t="n">
        <ns0:f>IF(AX76=1,1,0)</ns0:f>
        <ns0:v>0</ns0:v>
      </ns0:c>
      <ns0:c r="AZ76" s="120" t="n">
        <ns0:f>SUMIFS('装量配置'!$E$6:$E$718,'装量配置'!$A$6:$A$718,A76,'装量配置'!$B$6:$B$718,"开局",'装量配置'!$D$6:$D$718,"&lt;&gt;普通盒",'装量配置'!$D$6:$D$718,"&lt;&gt;广告锁定周转盒")</ns0:f>
        <ns0:v>2</ns0:v>
      </ns0:c>
      <ns0:c r="BA76" s="149" t="n">
        <ns0:f>IF(COUNTIFS('装量配置'!$A$6:$A$718,A76,'装量配置'!$B$6:$B$718,"开局",'装量配置'!$D$6:$D$718,"数字盖盒",'装量配置'!$E$6:$E$718,"&gt;0")&gt;0,1,0)+IF(COUNTIFS('装量配置'!$A$6:$A$718,A76,'装量配置'!$B$6:$B$718,"开局",'装量配置'!$D$6:$D$718,"普通冰冻盒",'装量配置'!$E$6:$E$718,"&gt;0")&gt;0,1,0)+IF(COUNTIFS('装量配置'!$A$6:$A$718,A76,'装量配置'!$B$6:$B$718,"开局",'装量配置'!$D$6:$D$718,"单颗暂存盒",'装量配置'!$E$6:$E$718,"&gt;0")&gt;0,1,0)+IF(COUNTIFS('装量配置'!$A$6:$A$718,A76,'装量配置'!$B$6:$B$718,"开局",'装量配置'!$D$6:$D$718,"数字冰冻盒",'装量配置'!$E$6:$E$718,"&gt;0")&gt;0,1,0)+IF(COUNTIFS('装量配置'!$A$6:$A$718,A76,'装量配置'!$B$6:$B$718,"开局",'装量配置'!$D$6:$D$718,"固定颜色盒",'装量配置'!$E$6:$E$718,"&gt;0")&gt;0,1,0)+IF(COUNTIFS('装量配置'!$A$6:$A$718,A76,'装量配置'!$B$6:$B$718,"开局",'装量配置'!$D$6:$D$718,"单向收纳盒",'装量配置'!$E$6:$E$718,"&gt;0")&gt;0,1,0)+IF(COUNTIFS('装量配置'!$A$6:$A$718,A76,'装量配置'!$B$6:$B$718,"开局",'装量配置'!$D$6:$D$718,"底部置顶盒",'装量配置'!$E$6:$E$718,"&gt;0")&gt;0,1,0)+IF(COUNTIFS('装量配置'!$A$6:$A$718,A76,'装量配置'!$B$6:$B$718,"开局",'装量配置'!$D$6:$D$718,"炸弹盒",'装量配置'!$E$6:$E$718,"&gt;0")&gt;0,1,0)</ns0:f>
        <ns0:v>1</ns0:v>
      </ns0:c>
      <ns0:c r="BB76" s="149" t="n">
        <ns0:f>SUMIFS('装量配置'!$E$6:$E$718,'装量配置'!$A$6:$A$718,A76,'装量配置'!$B$6:$B$718,"开局",'装量配置'!$D$6:$D$718,"数字盖盒")+SUMIFS('装量配置'!$E$6:$E$718,'装量配置'!$A$6:$A$718,A76,'装量配置'!$B$6:$B$718,"开局",'装量配置'!$D$6:$D$718,"普通冰冻盒")+SUMIFS('装量配置'!$E$6:$E$718,'装量配置'!$A$6:$A$718,A76,'装量配置'!$B$6:$B$718,"开局",'装量配置'!$D$6:$D$718,"数字冰冻盒")</ns0:f>
        <ns0:v>0</ns0:v>
      </ns0:c>
      <ns0:c r="BC76" s="149" t="n">
        <ns0:f>SUMIFS('装量配置'!$R$6:$R$718,'装量配置'!$A$6:$A$718,A76,'装量配置'!$B$6:$B$718,"开局")</ns0:f>
        <ns0:v>0</ns0:v>
      </ns0:c>
      <ns0:c r="BD76" s="146" t="str">
        <ns0:v>两只明牌循环盒分工取料；两盒都需实际换顶，先体验处理顺序而非增加未知信息。</ns0:v>
      </ns0:c>
      <ns0:c r="BE76" s="149" t="n">
        <ns0:v>3</ns0:v>
      </ns0:c>
      <ns0:c r="BF76" s="146" t="str">
        <ns0:v>首归纳及时交付，逐关检查机关参与与补货余量</ns0:v>
      </ns0:c>
    </ns0:row>
    <ns0:row r="77" ht="33" customHeight="1">
      <ns0:c r="A77" s="105" t="n">
        <ns0:v>72</ns0:v>
      </ns0:c>
      <ns0:c r="B77" s="117" t="str">
        <ns0:v>多机制分工与收官</ns0:v>
      </ns0:c>
      <ns0:c r="C77" s="126" t="str">
        <ns0:v>机制组合</ns0:v>
      </ns0:c>
      <ns0:c r="D77" s="108" t="n">
        <ns0:v>4.9</ns0:v>
      </ns0:c>
      <ns0:c r="E77" s="123" t="str">
        <ns0:v>取料与归纳顺序</ns0:v>
      </ns0:c>
      <ns0:c r="F77" s="123" t="str">
        <ns0:v>机关与装量配合</ns0:v>
      </ns0:c>
      <ns0:c r="G77" s="105" t="str">
        <ns0:v>错落</ns0:v>
      </ns0:c>
      <ns0:c r="H77" s="105" t="n">
        <ns0:v>8</ns0:v>
      </ns0:c>
      <ns0:c r="I77" s="105" t="n">
        <ns0:f>SUMIFS('装量配置'!$E$6:$E$718,'装量配置'!$A$6:$A$718,A77,'装量配置'!$B$6:$B$718,"开局",'装量配置'!$F$6:$F$718,4,'装量配置'!$G$6:$G$718,"&gt;0")</ns0:f>
        <ns0:v>18</ns0:v>
      </ns0:c>
      <ns0:c r="J77" s="105" t="n">
        <ns0:f>SUMIFS('装量配置'!$E$6:$E$718,'装量配置'!$A$6:$A$718,A77,'装量配置'!$B$6:$B$718,"备货")</ns0:f>
        <ns0:v>0</ns0:v>
      </ns0:c>
      <ns0:c r="K77" s="105" t="n">
        <ns0:v>16</ns0:v>
      </ns0:c>
      <ns0:c r="L77" s="105" t="n">
        <ns0:f>SUMIFS('装量配置'!$E$6:$E$718,'装量配置'!$A$6:$A$718,A77,'装量配置'!$B$6:$B$718,"开局",'装量配置'!$F$6:$F$718,4,'装量配置'!$G$6:$G$718,0,'装量配置'!$D$6:$D$718,"&lt;&gt;广告锁定周转盒")</ns0:f>
        <ns0:v>0</ns0:v>
      </ns0:c>
      <ns0:c r="M77" s="105" t="n">
        <ns0:f>SUMIFS('装量配置'!$E$6:$E$718,'装量配置'!$A$6:$A$718,A77,'装量配置'!$B$6:$B$718,"开局",'装量配置'!$F$6:$F$718,1)</ns0:f>
        <ns0:v>0</ns0:v>
      </ns0:c>
      <ns0:c r="N77" s="105" t="n">
        <ns0:f>SUMIFS('装量配置'!$E$6:$E$718,'装量配置'!$A$6:$A$718,A77,'装量配置'!$B$6:$B$718,"开局",'装量配置'!$D$6:$D$718,"广告锁定周转盒")</ns0:f>
        <ns0:v>2</ns0:v>
      </ns0:c>
      <ns0:c r="O77" s="105" t="n">
        <ns0:f>SUMIFS('装量配置'!$E$6:$E$718,'装量配置'!$A$6:$A$718,A77,'装量配置'!$B$6:$B$718,"开局")</ns0:f>
        <ns0:v>20</ns0:v>
      </ns0:c>
      <ns0:c r="P77" s="105" t="n">
        <ns0:f>SUMIFS('装量配置'!$K$6:$K$718,'装量配置'!$A$6:$A$718,A77)</ns0:f>
        <ns0:v>0</ns0:v>
      </ns0:c>
      <ns0:c r="Q77" s="105" t="n">
        <ns0:v>4</ns0:v>
      </ns0:c>
      <ns0:c r="R77" s="106" t="n">
        <ns0:v>0</ns0:v>
      </ns0:c>
      <ns0:c r="S77" s="106" t="n">
        <ns0:v>0.12</ns0:v>
      </ns0:c>
      <ns0:c r="T77" s="105" t="n">
        <ns0:v>3</ns0:v>
      </ns0:c>
      <ns0:c r="U77" s="105" t="n">
        <ns0:v>0</ns0:v>
      </ns0:c>
      <ns0:c r="V77" s="123" t="str">
        <ns0:v>数字盖盒</ns0:v>
      </ns0:c>
      <ns0:c r="W77" s="123" t="str">
        <ns0:v>单向收纳盒</ns0:v>
      </ns0:c>
      <ns0:c r="X77" s="123" t="str">
        <ns0:v>数字盖盒×1；单向收纳盒×1</ns0:v>
      </ns0:c>
      <ns0:c r="Y77" s="105" t="n">
        <ns0:f>SUMIFS('装量配置'!$I$6:$I$718,'装量配置'!$A$6:$A$718,A77)</ns0:f>
        <ns0:v>64</ns0:v>
      </ns0:c>
      <ns0:c r="Z77" s="105" t="str">
        <ns0:f>IF(AND(O77&lt;=25,N77=2,Y77=K77*4,H77&lt;=K77,P77+AT77&gt;=4,COUNTIFS('装量配置'!$A$6:$A$718,A77,'装量配置'!$O$6:$O$718,"需调整")=0),"装量通过；待逐味","需调整")</ns0:f>
        <ns0:v>装量通过；待逐味</ns0:v>
      </ns0:c>
      <ns0:c r="AA77" s="107" t="str">
        <ns0:v>四条件可行路线已保存（非最短解）</ns0:v>
      </ns0:c>
      <ns0:c r="AB77" s="107"/>
      <ns0:c r="AC77" s="107"/>
      <ns0:c r="AD77" s="106" t="n">
        <ns0:v>0.46</ns0:v>
      </ns0:c>
      <ns0:c r="AE77" s="108" t="n">
        <ns0:v>6.5</ns0:v>
      </ns0:c>
      <ns0:c r="AF77" s="109"/>
      <ns0:c r="AG77" s="109"/>
      <ns0:c r="AH77" s="110"/>
      <ns0:c r="AI77" s="131" t="str">
        <ns0:v>固定层序；待连续真人试玩</ns0:v>
      </ns0:c>
      <ns0:c r="AJ77" s="123" t="str">
        <ns0:v>预装单向盒先给出收纳目标，完成归纳打开数字盖1；没有完整普通空盒。</ns0:v>
      </ns0:c>
      <ns0:c r="AK77" s="123" t="str">
        <ns0:v>连续居中，按盒数分排</ns0:v>
      </ns0:c>
      <ns0:c r="AL77" s="105" t="n">
        <ns0:v>1</ns0:v>
      </ns0:c>
      <ns0:c r="AM77" s="106" t="n">
        <ns0:v>0.78</ns0:v>
      </ns0:c>
      <ns0:c r="AN77" s="107"/>
      <ns0:c r="AO77" s="110"/>
      <ns0:c r="AP77" s="123" t="str">
        <ns0:v>双锁／单开A／单开B／双开完整回放</ns0:v>
      </ns0:c>
      <ns0:c r="AQ77" s="107"/>
      <ns0:c r="AR77" s="121" t="n">
        <ns0:f>SUMIFS('装量配置'!$I$6:$I$718,'装量配置'!$A$6:$A$718,A77,'装量配置'!$B$6:$B$718,"开局")</ns0:f>
        <ns0:v>64</ns0:v>
      </ns0:c>
      <ns0:c r="AS77" s="133" t="n">
        <ns0:f>SUMIFS('装量配置'!$I$6:$I$718,'装量配置'!$A$6:$A$718,A77,'装量配置'!$B$6:$B$718,"开局",'装量配置'!$D$6:$D$718,"普通盒",'装量配置'!$G$6:$G$718,"&gt;0")/(4*SUMIFS('装量配置'!$E$6:$E$718,'装量配置'!$A$6:$A$718,A77,'装量配置'!$B$6:$B$718,"开局",'装量配置'!$D$6:$D$718,"普通盒",'装量配置'!$G$6:$G$718,"&gt;0"))</ns0:f>
        <ns0:v>0.921875</ns0:v>
      </ns0:c>
      <ns0:c r="AT77" s="121" t="n">
        <ns0:f>SUMIFS('装量配置'!$L$6:$L$718,'装量配置'!$A$6:$A$718,A77)</ns0:f>
        <ns0:v>5</ns0:v>
      </ns0:c>
      <ns0:c r="AU77" s="121" t="n">
        <ns0:f>SUMIFS('装量配置'!$M$6:$M$718,'装量配置'!$A$6:$A$718,A77)</ns0:f>
        <ns0:v>3</ns0:v>
      </ns0:c>
      <ns0:c r="AV77" s="121" t="n">
        <ns0:f>SUMIFS('装量配置'!$N$6:$N$718,'装量配置'!$A$6:$A$718,A77)</ns0:f>
        <ns0:v>0</ns0:v>
      </ns0:c>
      <ns0:c r="AW77" s="133" t="n">
        <ns0:v>0.18</ns0:v>
      </ns0:c>
      <ns0:c r="AX77" s="121" t="n">
        <ns0:v>4</ns0:v>
      </ns0:c>
      <ns0:c r="AY77" s="121" t="n">
        <ns0:f>IF(AX77=1,1,0)</ns0:f>
        <ns0:v>0</ns0:v>
      </ns0:c>
      <ns0:c r="AZ77" s="121" t="n">
        <ns0:f>SUMIFS('装量配置'!$E$6:$E$718,'装量配置'!$A$6:$A$718,A77,'装量配置'!$B$6:$B$718,"开局",'装量配置'!$D$6:$D$718,"&lt;&gt;普通盒",'装量配置'!$D$6:$D$718,"&lt;&gt;广告锁定周转盒")</ns0:f>
        <ns0:v>2</ns0:v>
      </ns0:c>
      <ns0:c r="BA77" s="150" t="n">
        <ns0:f>IF(COUNTIFS('装量配置'!$A$6:$A$718,A77,'装量配置'!$B$6:$B$718,"开局",'装量配置'!$D$6:$D$718,"数字盖盒",'装量配置'!$E$6:$E$718,"&gt;0")&gt;0,1,0)+IF(COUNTIFS('装量配置'!$A$6:$A$718,A77,'装量配置'!$B$6:$B$718,"开局",'装量配置'!$D$6:$D$718,"普通冰冻盒",'装量配置'!$E$6:$E$718,"&gt;0")&gt;0,1,0)+IF(COUNTIFS('装量配置'!$A$6:$A$718,A77,'装量配置'!$B$6:$B$718,"开局",'装量配置'!$D$6:$D$718,"单颗暂存盒",'装量配置'!$E$6:$E$718,"&gt;0")&gt;0,1,0)+IF(COUNTIFS('装量配置'!$A$6:$A$718,A77,'装量配置'!$B$6:$B$718,"开局",'装量配置'!$D$6:$D$718,"数字冰冻盒",'装量配置'!$E$6:$E$718,"&gt;0")&gt;0,1,0)+IF(COUNTIFS('装量配置'!$A$6:$A$718,A77,'装量配置'!$B$6:$B$718,"开局",'装量配置'!$D$6:$D$718,"固定颜色盒",'装量配置'!$E$6:$E$718,"&gt;0")&gt;0,1,0)+IF(COUNTIFS('装量配置'!$A$6:$A$718,A77,'装量配置'!$B$6:$B$718,"开局",'装量配置'!$D$6:$D$718,"单向收纳盒",'装量配置'!$E$6:$E$718,"&gt;0")&gt;0,1,0)+IF(COUNTIFS('装量配置'!$A$6:$A$718,A77,'装量配置'!$B$6:$B$718,"开局",'装量配置'!$D$6:$D$718,"底部置顶盒",'装量配置'!$E$6:$E$718,"&gt;0")&gt;0,1,0)+IF(COUNTIFS('装量配置'!$A$6:$A$718,A77,'装量配置'!$B$6:$B$718,"开局",'装量配置'!$D$6:$D$718,"炸弹盒",'装量配置'!$E$6:$E$718,"&gt;0")&gt;0,1,0)</ns0:f>
        <ns0:v>2</ns0:v>
      </ns0:c>
      <ns0:c r="BB77" s="150" t="n">
        <ns0:f>SUMIFS('装量配置'!$E$6:$E$718,'装量配置'!$A$6:$A$718,A77,'装量配置'!$B$6:$B$718,"开局",'装量配置'!$D$6:$D$718,"数字盖盒")+SUMIFS('装量配置'!$E$6:$E$718,'装量配置'!$A$6:$A$718,A77,'装量配置'!$B$6:$B$718,"开局",'装量配置'!$D$6:$D$718,"普通冰冻盒")+SUMIFS('装量配置'!$E$6:$E$718,'装量配置'!$A$6:$A$718,A77,'装量配置'!$B$6:$B$718,"开局",'装量配置'!$D$6:$D$718,"数字冰冻盒")</ns0:f>
        <ns0:v>1</ns0:v>
      </ns0:c>
      <ns0:c r="BC77" s="150" t="n">
        <ns0:f>SUMIFS('装量配置'!$R$6:$R$718,'装量配置'!$A$6:$A$718,A77,'装量配置'!$B$6:$B$718,"开局")</ns0:f>
        <ns0:v>1</ns0:v>
      </ns0:c>
      <ns0:c r="BD77" s="148" t="str">
        <ns0:v>预装单向盒先给出收纳目标，完成归纳打开数字盖1；没有完整普通空盒。</ns0:v>
      </ns0:c>
      <ns0:c r="BE77" s="150" t="n">
        <ns0:v>3</ns0:v>
      </ns0:c>
      <ns0:c r="BF77" s="148" t="str">
        <ns0:v>首归纳及时交付，逐关检查机关参与与补货余量</ns0:v>
      </ns0:c>
    </ns0:row>
    <ns0:row r="78" ht="33" customHeight="1">
      <ns0:c r="A78" s="112" t="n">
        <ns0:v>73</ns0:v>
      </ns0:c>
      <ns0:c r="B78" s="119" t="str">
        <ns0:v>多机制分工与收官</ns0:v>
      </ns0:c>
      <ns0:c r="C78" s="127" t="str">
        <ns0:v>机制组合</ns0:v>
      </ns0:c>
      <ns0:c r="D78" s="114" t="n">
        <ns0:v>4.9</ns0:v>
      </ns0:c>
      <ns0:c r="E78" s="124" t="str">
        <ns0:v>取料与归纳顺序</ns0:v>
      </ns0:c>
      <ns0:c r="F78" s="124" t="str">
        <ns0:v>机关与装量配合</ns0:v>
      </ns0:c>
      <ns0:c r="G78" s="112" t="str">
        <ns0:v>错落</ns0:v>
      </ns0:c>
      <ns0:c r="H78" s="112" t="n">
        <ns0:v>8</ns0:v>
      </ns0:c>
      <ns0:c r="I78" s="112" t="n">
        <ns0:f>SUMIFS('装量配置'!$E$6:$E$718,'装量配置'!$A$6:$A$718,A78,'装量配置'!$B$6:$B$718,"开局",'装量配置'!$F$6:$F$718,4,'装量配置'!$G$6:$G$718,"&gt;0")</ns0:f>
        <ns0:v>15</ns0:v>
      </ns0:c>
      <ns0:c r="J78" s="112" t="n">
        <ns0:f>SUMIFS('装量配置'!$E$6:$E$718,'装量配置'!$A$6:$A$718,A78,'装量配置'!$B$6:$B$718,"备货")</ns0:f>
        <ns0:v>0</ns0:v>
      </ns0:c>
      <ns0:c r="K78" s="112" t="n">
        <ns0:v>14</ns0:v>
      </ns0:c>
      <ns0:c r="L78" s="112" t="n">
        <ns0:f>SUMIFS('装量配置'!$E$6:$E$718,'装量配置'!$A$6:$A$718,A78,'装量配置'!$B$6:$B$718,"开局",'装量配置'!$F$6:$F$718,4,'装量配置'!$G$6:$G$718,0,'装量配置'!$D$6:$D$718,"&lt;&gt;广告锁定周转盒")</ns0:f>
        <ns0:v>2</ns0:v>
      </ns0:c>
      <ns0:c r="M78" s="112" t="n">
        <ns0:f>SUMIFS('装量配置'!$E$6:$E$718,'装量配置'!$A$6:$A$718,A78,'装量配置'!$B$6:$B$718,"开局",'装量配置'!$F$6:$F$718,1)</ns0:f>
        <ns0:v>0</ns0:v>
      </ns0:c>
      <ns0:c r="N78" s="112" t="n">
        <ns0:f>SUMIFS('装量配置'!$E$6:$E$718,'装量配置'!$A$6:$A$718,A78,'装量配置'!$B$6:$B$718,"开局",'装量配置'!$D$6:$D$718,"广告锁定周转盒")</ns0:f>
        <ns0:v>2</ns0:v>
      </ns0:c>
      <ns0:c r="O78" s="112" t="n">
        <ns0:f>SUMIFS('装量配置'!$E$6:$E$718,'装量配置'!$A$6:$A$718,A78,'装量配置'!$B$6:$B$718,"开局")</ns0:f>
        <ns0:v>19</ns0:v>
      </ns0:c>
      <ns0:c r="P78" s="112" t="n">
        <ns0:f>SUMIFS('装量配置'!$K$6:$K$718,'装量配置'!$A$6:$A$718,A78)</ns0:f>
        <ns0:v>4</ns0:v>
      </ns0:c>
      <ns0:c r="Q78" s="112" t="n">
        <ns0:v>4</ns0:v>
      </ns0:c>
      <ns0:c r="R78" s="113" t="n">
        <ns0:v>0</ns0:v>
      </ns0:c>
      <ns0:c r="S78" s="113" t="n">
        <ns0:v>0.12</ns0:v>
      </ns0:c>
      <ns0:c r="T78" s="112" t="n">
        <ns0:v>3</ns0:v>
      </ns0:c>
      <ns0:c r="U78" s="112" t="n">
        <ns0:v>0</ns0:v>
      </ns0:c>
      <ns0:c r="V78" s="124" t="str">
        <ns0:v>数字冰冻盒</ns0:v>
      </ns0:c>
      <ns0:c r="W78" s="124" t="str">
        <ns0:v>固定颜色盒</ns0:v>
      </ns0:c>
      <ns0:c r="X78" s="124" t="str">
        <ns0:v>数字冰冻盒×2；固定颜色盒×1</ns0:v>
      </ns0:c>
      <ns0:c r="Y78" s="112" t="n">
        <ns0:f>SUMIFS('装量配置'!$I$6:$I$718,'装量配置'!$A$6:$A$718,A78)</ns0:f>
        <ns0:v>56</ns0:v>
      </ns0:c>
      <ns0:c r="Z78" s="112" t="str">
        <ns0:f>IF(AND(O78&lt;=25,N78=2,Y78=K78*4,H78&lt;=K78,P78+AT78&gt;=4,COUNTIFS('装量配置'!$A$6:$A$718,A78,'装量配置'!$O$6:$O$718,"需调整")=0),"装量通过；待逐味","需调整")</ns0:f>
        <ns0:v>装量通过；待逐味</ns0:v>
      </ns0:c>
      <ns0:c r="AA78" s="107" t="str">
        <ns0:v>四条件可行路线已保存（非最短解）</ns0:v>
      </ns0:c>
      <ns0:c r="AB78" s="107"/>
      <ns0:c r="AC78" s="107"/>
      <ns0:c r="AD78" s="113" t="n">
        <ns0:v>0.45</ns0:v>
      </ns0:c>
      <ns0:c r="AE78" s="114" t="n">
        <ns0:v>6.5</ns0:v>
      </ns0:c>
      <ns0:c r="AF78" s="109"/>
      <ns0:c r="AG78" s="109"/>
      <ns0:c r="AH78" s="110"/>
      <ns0:c r="AI78" s="131" t="str">
        <ns0:v>固定层序；待连续真人试玩</ns0:v>
      </ns0:c>
      <ns0:c r="AJ78" s="124" t="str">
        <ns0:v>两只数字冰冻1依次解锁，固定口味盒承担明确收纳目标；没有隐藏或补货。</ns0:v>
      </ns0:c>
      <ns0:c r="AK78" s="124" t="str">
        <ns0:v>连续居中，按盒数分排</ns0:v>
      </ns0:c>
      <ns0:c r="AL78" s="112" t="n">
        <ns0:v>1</ns0:v>
      </ns0:c>
      <ns0:c r="AM78" s="113" t="n">
        <ns0:v>0.78</ns0:v>
      </ns0:c>
      <ns0:c r="AN78" s="112"/>
      <ns0:c r="AO78" s="113"/>
      <ns0:c r="AP78" s="124" t="str">
        <ns0:v>双锁／单开A／单开B／双开完整回放</ns0:v>
      </ns0:c>
      <ns0:c r="AQ78" s="107"/>
      <ns0:c r="AR78" s="120" t="n">
        <ns0:f>SUMIFS('装量配置'!$I$6:$I$718,'装量配置'!$A$6:$A$718,A78,'装量配置'!$B$6:$B$718,"开局")</ns0:f>
        <ns0:v>56</ns0:v>
      </ns0:c>
      <ns0:c r="AS78" s="132" t="n">
        <ns0:f>SUMIFS('装量配置'!$I$6:$I$718,'装量配置'!$A$6:$A$718,A78,'装量配置'!$B$6:$B$718,"开局",'装量配置'!$D$6:$D$718,"普通盒",'装量配置'!$G$6:$G$718,"&gt;0")/(4*SUMIFS('装量配置'!$E$6:$E$718,'装量配置'!$A$6:$A$718,A78,'装量配置'!$B$6:$B$718,"开局",'装量配置'!$D$6:$D$718,"普通盒",'装量配置'!$G$6:$G$718,"&gt;0"))</ns0:f>
        <ns0:v>0.9230769230769231</ns0:v>
      </ns0:c>
      <ns0:c r="AT78" s="120" t="n">
        <ns0:f>SUMIFS('装量配置'!$L$6:$L$718,'装量配置'!$A$6:$A$718,A78)</ns0:f>
        <ns0:v>4</ns0:v>
      </ns0:c>
      <ns0:c r="AU78" s="120" t="n">
        <ns0:f>SUMIFS('装量配置'!$M$6:$M$718,'装量配置'!$A$6:$A$718,A78)</ns0:f>
        <ns0:v>4</ns0:v>
      </ns0:c>
      <ns0:c r="AV78" s="120" t="n">
        <ns0:f>SUMIFS('装量配置'!$N$6:$N$718,'装量配置'!$A$6:$A$718,A78)</ns0:f>
        <ns0:v>0</ns0:v>
      </ns0:c>
      <ns0:c r="AW78" s="132" t="n">
        <ns0:v>0.18</ns0:v>
      </ns0:c>
      <ns0:c r="AX78" s="120" t="n">
        <ns0:v>4</ns0:v>
      </ns0:c>
      <ns0:c r="AY78" s="120" t="n">
        <ns0:f>IF(AX78=1,1,0)</ns0:f>
        <ns0:v>0</ns0:v>
      </ns0:c>
      <ns0:c r="AZ78" s="120" t="n">
        <ns0:f>SUMIFS('装量配置'!$E$6:$E$718,'装量配置'!$A$6:$A$718,A78,'装量配置'!$B$6:$B$718,"开局",'装量配置'!$D$6:$D$718,"&lt;&gt;普通盒",'装量配置'!$D$6:$D$718,"&lt;&gt;广告锁定周转盒")</ns0:f>
        <ns0:v>3</ns0:v>
      </ns0:c>
      <ns0:c r="BA78" s="149" t="n">
        <ns0:f>IF(COUNTIFS('装量配置'!$A$6:$A$718,A78,'装量配置'!$B$6:$B$718,"开局",'装量配置'!$D$6:$D$718,"数字盖盒",'装量配置'!$E$6:$E$718,"&gt;0")&gt;0,1,0)+IF(COUNTIFS('装量配置'!$A$6:$A$718,A78,'装量配置'!$B$6:$B$718,"开局",'装量配置'!$D$6:$D$718,"普通冰冻盒",'装量配置'!$E$6:$E$718,"&gt;0")&gt;0,1,0)+IF(COUNTIFS('装量配置'!$A$6:$A$718,A78,'装量配置'!$B$6:$B$718,"开局",'装量配置'!$D$6:$D$718,"单颗暂存盒",'装量配置'!$E$6:$E$718,"&gt;0")&gt;0,1,0)+IF(COUNTIFS('装量配置'!$A$6:$A$718,A78,'装量配置'!$B$6:$B$718,"开局",'装量配置'!$D$6:$D$718,"数字冰冻盒",'装量配置'!$E$6:$E$718,"&gt;0")&gt;0,1,0)+IF(COUNTIFS('装量配置'!$A$6:$A$718,A78,'装量配置'!$B$6:$B$718,"开局",'装量配置'!$D$6:$D$718,"固定颜色盒",'装量配置'!$E$6:$E$718,"&gt;0")&gt;0,1,0)+IF(COUNTIFS('装量配置'!$A$6:$A$718,A78,'装量配置'!$B$6:$B$718,"开局",'装量配置'!$D$6:$D$718,"单向收纳盒",'装量配置'!$E$6:$E$718,"&gt;0")&gt;0,1,0)+IF(COUNTIFS('装量配置'!$A$6:$A$718,A78,'装量配置'!$B$6:$B$718,"开局",'装量配置'!$D$6:$D$718,"底部置顶盒",'装量配置'!$E$6:$E$718,"&gt;0")&gt;0,1,0)+IF(COUNTIFS('装量配置'!$A$6:$A$718,A78,'装量配置'!$B$6:$B$718,"开局",'装量配置'!$D$6:$D$718,"炸弹盒",'装量配置'!$E$6:$E$718,"&gt;0")&gt;0,1,0)</ns0:f>
        <ns0:v>2</ns0:v>
      </ns0:c>
      <ns0:c r="BB78" s="149" t="n">
        <ns0:f>SUMIFS('装量配置'!$E$6:$E$718,'装量配置'!$A$6:$A$718,A78,'装量配置'!$B$6:$B$718,"开局",'装量配置'!$D$6:$D$718,"数字盖盒")+SUMIFS('装量配置'!$E$6:$E$718,'装量配置'!$A$6:$A$718,A78,'装量配置'!$B$6:$B$718,"开局",'装量配置'!$D$6:$D$718,"普通冰冻盒")+SUMIFS('装量配置'!$E$6:$E$718,'装量配置'!$A$6:$A$718,A78,'装量配置'!$B$6:$B$718,"开局",'装量配置'!$D$6:$D$718,"数字冰冻盒")</ns0:f>
        <ns0:v>2</ns0:v>
      </ns0:c>
      <ns0:c r="BC78" s="149" t="n">
        <ns0:f>SUMIFS('装量配置'!$R$6:$R$718,'装量配置'!$A$6:$A$718,A78,'装量配置'!$B$6:$B$718,"开局")</ns0:f>
        <ns0:v>2</ns0:v>
      </ns0:c>
      <ns0:c r="BD78" s="146" t="str">
        <ns0:v>两只数字冰冻1依次解锁，固定口味盒承担明确收纳目标；没有隐藏或补货。</ns0:v>
      </ns0:c>
      <ns0:c r="BE78" s="149" t="n">
        <ns0:v>3</ns0:v>
      </ns0:c>
      <ns0:c r="BF78" s="146" t="str">
        <ns0:v>首归纳及时交付，逐关检查机关参与与补货余量</ns0:v>
      </ns0:c>
    </ns0:row>
    <ns0:row r="79" ht="33" customHeight="1">
      <ns0:c r="A79" s="105" t="n">
        <ns0:v>74</ns0:v>
      </ns0:c>
      <ns0:c r="B79" s="117" t="str">
        <ns0:v>多机制分工与收官</ns0:v>
      </ns0:c>
      <ns0:c r="C79" s="126" t="str">
        <ns0:v>缓和巩固</ns0:v>
      </ns0:c>
      <ns0:c r="D79" s="108" t="n">
        <ns0:v>4.7</ns0:v>
      </ns0:c>
      <ns0:c r="E79" s="123" t="str">
        <ns0:v>取料与归纳顺序</ns0:v>
      </ns0:c>
      <ns0:c r="F79" s="123" t="str">
        <ns0:v>机关与装量配合</ns0:v>
      </ns0:c>
      <ns0:c r="G79" s="105" t="str">
        <ns0:v>整齐</ns0:v>
      </ns0:c>
      <ns0:c r="H79" s="105" t="n">
        <ns0:v>7</ns0:v>
      </ns0:c>
      <ns0:c r="I79" s="105" t="n">
        <ns0:f>SUMIFS('装量配置'!$E$6:$E$718,'装量配置'!$A$6:$A$718,A79,'装量配置'!$B$6:$B$718,"开局",'装量配置'!$F$6:$F$718,4,'装量配置'!$G$6:$G$718,"&gt;0")</ns0:f>
        <ns0:v>15</ns0:v>
      </ns0:c>
      <ns0:c r="J79" s="105" t="n">
        <ns0:f>SUMIFS('装量配置'!$E$6:$E$718,'装量配置'!$A$6:$A$718,A79,'装量配置'!$B$6:$B$718,"备货")</ns0:f>
        <ns0:v>1</ns0:v>
      </ns0:c>
      <ns0:c r="K79" s="105" t="n">
        <ns0:v>15</ns0:v>
      </ns0:c>
      <ns0:c r="L79" s="105" t="n">
        <ns0:f>SUMIFS('装量配置'!$E$6:$E$718,'装量配置'!$A$6:$A$718,A79,'装量配置'!$B$6:$B$718,"开局",'装量配置'!$F$6:$F$718,4,'装量配置'!$G$6:$G$718,0,'装量配置'!$D$6:$D$718,"&lt;&gt;广告锁定周转盒")</ns0:f>
        <ns0:v>2</ns0:v>
      </ns0:c>
      <ns0:c r="M79" s="105" t="n">
        <ns0:f>SUMIFS('装量配置'!$E$6:$E$718,'装量配置'!$A$6:$A$718,A79,'装量配置'!$B$6:$B$718,"开局",'装量配置'!$F$6:$F$718,1)</ns0:f>
        <ns0:v>0</ns0:v>
      </ns0:c>
      <ns0:c r="N79" s="105" t="n">
        <ns0:f>SUMIFS('装量配置'!$E$6:$E$718,'装量配置'!$A$6:$A$718,A79,'装量配置'!$B$6:$B$718,"开局",'装量配置'!$D$6:$D$718,"广告锁定周转盒")</ns0:f>
        <ns0:v>2</ns0:v>
      </ns0:c>
      <ns0:c r="O79" s="105" t="n">
        <ns0:f>SUMIFS('装量配置'!$E$6:$E$718,'装量配置'!$A$6:$A$718,A79,'装量配置'!$B$6:$B$718,"开局")</ns0:f>
        <ns0:v>19</ns0:v>
      </ns0:c>
      <ns0:c r="P79" s="105" t="n">
        <ns0:f>SUMIFS('装量配置'!$K$6:$K$718,'装量配置'!$A$6:$A$718,A79)</ns0:f>
        <ns0:v>4</ns0:v>
      </ns0:c>
      <ns0:c r="Q79" s="105" t="n">
        <ns0:v>4</ns0:v>
      </ns0:c>
      <ns0:c r="R79" s="106" t="n">
        <ns0:v>0</ns0:v>
      </ns0:c>
      <ns0:c r="S79" s="106" t="n">
        <ns0:v>0.12</ns0:v>
      </ns0:c>
      <ns0:c r="T79" s="105" t="n">
        <ns0:v>3</ns0:v>
      </ns0:c>
      <ns0:c r="U79" s="105" t="n">
        <ns0:v>3</ns0:v>
      </ns0:c>
      <ns0:c r="V79" s="123" t="str">
        <ns0:v>底部置顶盒</ns0:v>
      </ns0:c>
      <ns0:c r="W79" s="123" t="str">
        <ns0:v>固定颜色盒</ns0:v>
      </ns0:c>
      <ns0:c r="X79" s="123" t="str">
        <ns0:v>底部置顶盒×1；固定颜色盒×1</ns0:v>
      </ns0:c>
      <ns0:c r="Y79" s="105" t="n">
        <ns0:f>SUMIFS('装量配置'!$I$6:$I$718,'装量配置'!$A$6:$A$718,A79)</ns0:f>
        <ns0:v>60</ns0:v>
      </ns0:c>
      <ns0:c r="Z79" s="105" t="str">
        <ns0:f>IF(AND(O79&lt;=25,N79=2,Y79=K79*4,H79&lt;=K79,P79+AT79&gt;=4,COUNTIFS('装量配置'!$A$6:$A$718,A79,'装量配置'!$O$6:$O$718,"需调整")=0),"装量通过；待逐味","需调整")</ns0:f>
        <ns0:v>装量通过；待逐味</ns0:v>
      </ns0:c>
      <ns0:c r="AA79" s="107" t="str">
        <ns0:v>四条件可行路线已保存（非最短解）</ns0:v>
      </ns0:c>
      <ns0:c r="AB79" s="107"/>
      <ns0:c r="AC79" s="107"/>
      <ns0:c r="AD79" s="106" t="n">
        <ns0:v>0.57</ns0:v>
      </ns0:c>
      <ns0:c r="AE79" s="108" t="n">
        <ns0:v>5.5</ns0:v>
      </ns0:c>
      <ns0:c r="AF79" s="109"/>
      <ns0:c r="AG79" s="109"/>
      <ns0:c r="AH79" s="110"/>
      <ns0:c r="AI79" s="131" t="str">
        <ns0:v>固定层序；待连续真人试玩</ns0:v>
      </ns0:c>
      <ns0:c r="AJ79" s="123" t="str">
        <ns0:v>七色、较少物料，循环供料与固定口味接收配合；一次补货，作为缓和关。</ns0:v>
      </ns0:c>
      <ns0:c r="AK79" s="123" t="str">
        <ns0:v>连续居中，按盒数分排</ns0:v>
      </ns0:c>
      <ns0:c r="AL79" s="105" t="n">
        <ns0:v>1</ns0:v>
      </ns0:c>
      <ns0:c r="AM79" s="106" t="n">
        <ns0:v>0.78</ns0:v>
      </ns0:c>
      <ns0:c r="AN79" s="107"/>
      <ns0:c r="AO79" s="110"/>
      <ns0:c r="AP79" s="123" t="str">
        <ns0:v>双锁／单开A／单开B／双开完整回放</ns0:v>
      </ns0:c>
      <ns0:c r="AQ79" s="107"/>
      <ns0:c r="AR79" s="121" t="n">
        <ns0:f>SUMIFS('装量配置'!$I$6:$I$718,'装量配置'!$A$6:$A$718,A79,'装量配置'!$B$6:$B$718,"开局")</ns0:f>
        <ns0:v>56</ns0:v>
      </ns0:c>
      <ns0:c r="AS79" s="133" t="n">
        <ns0:f>SUMIFS('装量配置'!$I$6:$I$718,'装量配置'!$A$6:$A$718,A79,'装量配置'!$B$6:$B$718,"开局",'装量配置'!$D$6:$D$718,"普通盒",'装量配置'!$G$6:$G$718,"&gt;0")/(4*SUMIFS('装量配置'!$E$6:$E$718,'装量配置'!$A$6:$A$718,A79,'装量配置'!$B$6:$B$718,"开局",'装量配置'!$D$6:$D$718,"普通盒",'装量配置'!$G$6:$G$718,"&gt;0"))</ns0:f>
        <ns0:v>0.9285714285714286</ns0:v>
      </ns0:c>
      <ns0:c r="AT79" s="121" t="n">
        <ns0:f>SUMIFS('装量配置'!$L$6:$L$718,'装量配置'!$A$6:$A$718,A79)</ns0:f>
        <ns0:v>4</ns0:v>
      </ns0:c>
      <ns0:c r="AU79" s="121" t="n">
        <ns0:f>SUMIFS('装量配置'!$M$6:$M$718,'装量配置'!$A$6:$A$718,A79)</ns0:f>
        <ns0:v>4</ns0:v>
      </ns0:c>
      <ns0:c r="AV79" s="121" t="n">
        <ns0:f>SUMIFS('装量配置'!$N$6:$N$718,'装量配置'!$A$6:$A$718,A79)</ns0:f>
        <ns0:v>0</ns0:v>
      </ns0:c>
      <ns0:c r="AW79" s="133" t="n">
        <ns0:v>0.18</ns0:v>
      </ns0:c>
      <ns0:c r="AX79" s="121" t="n">
        <ns0:v>4</ns0:v>
      </ns0:c>
      <ns0:c r="AY79" s="121" t="n">
        <ns0:f>IF(AX79=1,1,0)</ns0:f>
        <ns0:v>0</ns0:v>
      </ns0:c>
      <ns0:c r="AZ79" s="121" t="n">
        <ns0:f>SUMIFS('装量配置'!$E$6:$E$718,'装量配置'!$A$6:$A$718,A79,'装量配置'!$B$6:$B$718,"开局",'装量配置'!$D$6:$D$718,"&lt;&gt;普通盒",'装量配置'!$D$6:$D$718,"&lt;&gt;广告锁定周转盒")</ns0:f>
        <ns0:v>2</ns0:v>
      </ns0:c>
      <ns0:c r="BA79" s="150" t="n">
        <ns0:f>IF(COUNTIFS('装量配置'!$A$6:$A$718,A79,'装量配置'!$B$6:$B$718,"开局",'装量配置'!$D$6:$D$718,"数字盖盒",'装量配置'!$E$6:$E$718,"&gt;0")&gt;0,1,0)+IF(COUNTIFS('装量配置'!$A$6:$A$718,A79,'装量配置'!$B$6:$B$718,"开局",'装量配置'!$D$6:$D$718,"普通冰冻盒",'装量配置'!$E$6:$E$718,"&gt;0")&gt;0,1,0)+IF(COUNTIFS('装量配置'!$A$6:$A$718,A79,'装量配置'!$B$6:$B$718,"开局",'装量配置'!$D$6:$D$718,"单颗暂存盒",'装量配置'!$E$6:$E$718,"&gt;0")&gt;0,1,0)+IF(COUNTIFS('装量配置'!$A$6:$A$718,A79,'装量配置'!$B$6:$B$718,"开局",'装量配置'!$D$6:$D$718,"数字冰冻盒",'装量配置'!$E$6:$E$718,"&gt;0")&gt;0,1,0)+IF(COUNTIFS('装量配置'!$A$6:$A$718,A79,'装量配置'!$B$6:$B$718,"开局",'装量配置'!$D$6:$D$718,"固定颜色盒",'装量配置'!$E$6:$E$718,"&gt;0")&gt;0,1,0)+IF(COUNTIFS('装量配置'!$A$6:$A$718,A79,'装量配置'!$B$6:$B$718,"开局",'装量配置'!$D$6:$D$718,"单向收纳盒",'装量配置'!$E$6:$E$718,"&gt;0")&gt;0,1,0)+IF(COUNTIFS('装量配置'!$A$6:$A$718,A79,'装量配置'!$B$6:$B$718,"开局",'装量配置'!$D$6:$D$718,"底部置顶盒",'装量配置'!$E$6:$E$718,"&gt;0")&gt;0,1,0)+IF(COUNTIFS('装量配置'!$A$6:$A$718,A79,'装量配置'!$B$6:$B$718,"开局",'装量配置'!$D$6:$D$718,"炸弹盒",'装量配置'!$E$6:$E$718,"&gt;0")&gt;0,1,0)</ns0:f>
        <ns0:v>2</ns0:v>
      </ns0:c>
      <ns0:c r="BB79" s="150" t="n">
        <ns0:f>SUMIFS('装量配置'!$E$6:$E$718,'装量配置'!$A$6:$A$718,A79,'装量配置'!$B$6:$B$718,"开局",'装量配置'!$D$6:$D$718,"数字盖盒")+SUMIFS('装量配置'!$E$6:$E$718,'装量配置'!$A$6:$A$718,A79,'装量配置'!$B$6:$B$718,"开局",'装量配置'!$D$6:$D$718,"普通冰冻盒")+SUMIFS('装量配置'!$E$6:$E$718,'装量配置'!$A$6:$A$718,A79,'装量配置'!$B$6:$B$718,"开局",'装量配置'!$D$6:$D$718,"数字冰冻盒")</ns0:f>
        <ns0:v>0</ns0:v>
      </ns0:c>
      <ns0:c r="BC79" s="150" t="n">
        <ns0:f>SUMIFS('装量配置'!$R$6:$R$718,'装量配置'!$A$6:$A$718,A79,'装量配置'!$B$6:$B$718,"开局")</ns0:f>
        <ns0:v>0</ns0:v>
      </ns0:c>
      <ns0:c r="BD79" s="148" t="str">
        <ns0:v>七色、较少物料，循环供料与固定口味接收配合；一次补货，作为缓和关。</ns0:v>
      </ns0:c>
      <ns0:c r="BE79" s="150" t="n">
        <ns0:v>2</ns0:v>
      </ns0:c>
      <ns0:c r="BF79" s="148" t="str">
        <ns0:v>首归纳及时交付，逐关检查机关参与与补货余量</ns0:v>
      </ns0:c>
    </ns0:row>
    <ns0:row r="80" ht="33" customHeight="1">
      <ns0:c r="A80" s="112" t="n">
        <ns0:v>75</ns0:v>
      </ns0:c>
      <ns0:c r="B80" s="119" t="str">
        <ns0:v>多机制分工与收官</ns0:v>
      </ns0:c>
      <ns0:c r="C80" s="127" t="str">
        <ns0:v>机制组合</ns0:v>
      </ns0:c>
      <ns0:c r="D80" s="114" t="n">
        <ns0:v>4.9</ns0:v>
      </ns0:c>
      <ns0:c r="E80" s="124" t="str">
        <ns0:v>取料与归纳顺序</ns0:v>
      </ns0:c>
      <ns0:c r="F80" s="124" t="str">
        <ns0:v>机关与装量配合</ns0:v>
      </ns0:c>
      <ns0:c r="G80" s="112" t="str">
        <ns0:v>错落</ns0:v>
      </ns0:c>
      <ns0:c r="H80" s="112" t="n">
        <ns0:v>8</ns0:v>
      </ns0:c>
      <ns0:c r="I80" s="112" t="n">
        <ns0:f>SUMIFS('装量配置'!$E$6:$E$718,'装量配置'!$A$6:$A$718,A80,'装量配置'!$B$6:$B$718,"开局",'装量配置'!$F$6:$F$718,4,'装量配置'!$G$6:$G$718,"&gt;0")</ns0:f>
        <ns0:v>16</ns0:v>
      </ns0:c>
      <ns0:c r="J80" s="112" t="n">
        <ns0:f>SUMIFS('装量配置'!$E$6:$E$718,'装量配置'!$A$6:$A$718,A80,'装量配置'!$B$6:$B$718,"备货")</ns0:f>
        <ns0:v>0</ns0:v>
      </ns0:c>
      <ns0:c r="K80" s="112" t="n">
        <ns0:v>15</ns0:v>
      </ns0:c>
      <ns0:c r="L80" s="112" t="n">
        <ns0:f>SUMIFS('装量配置'!$E$6:$E$718,'装量配置'!$A$6:$A$718,A80,'装量配置'!$B$6:$B$718,"开局",'装量配置'!$F$6:$F$718,4,'装量配置'!$G$6:$G$718,0,'装量配置'!$D$6:$D$718,"&lt;&gt;广告锁定周转盒")</ns0:f>
        <ns0:v>1</ns0:v>
      </ns0:c>
      <ns0:c r="M80" s="112" t="n">
        <ns0:f>SUMIFS('装量配置'!$E$6:$E$718,'装量配置'!$A$6:$A$718,A80,'装量配置'!$B$6:$B$718,"开局",'装量配置'!$F$6:$F$718,1)</ns0:f>
        <ns0:v>1</ns0:v>
      </ns0:c>
      <ns0:c r="N80" s="112" t="n">
        <ns0:f>SUMIFS('装量配置'!$E$6:$E$718,'装量配置'!$A$6:$A$718,A80,'装量配置'!$B$6:$B$718,"开局",'装量配置'!$D$6:$D$718,"广告锁定周转盒")</ns0:f>
        <ns0:v>2</ns0:v>
      </ns0:c>
      <ns0:c r="O80" s="112" t="n">
        <ns0:f>SUMIFS('装量配置'!$E$6:$E$718,'装量配置'!$A$6:$A$718,A80,'装量配置'!$B$6:$B$718,"开局")</ns0:f>
        <ns0:v>20</ns0:v>
      </ns0:c>
      <ns0:c r="P80" s="112" t="n">
        <ns0:f>SUMIFS('装量配置'!$K$6:$K$718,'装量配置'!$A$6:$A$718,A80)</ns0:f>
        <ns0:v>0</ns0:v>
      </ns0:c>
      <ns0:c r="Q80" s="112" t="n">
        <ns0:v>4</ns0:v>
      </ns0:c>
      <ns0:c r="R80" s="113" t="n">
        <ns0:v>0.05</ns0:v>
      </ns0:c>
      <ns0:c r="S80" s="113" t="n">
        <ns0:v>0.12</ns0:v>
      </ns0:c>
      <ns0:c r="T80" s="112" t="n">
        <ns0:v>3</ns0:v>
      </ns0:c>
      <ns0:c r="U80" s="112" t="n">
        <ns0:v>0</ns0:v>
      </ns0:c>
      <ns0:c r="V80" s="124" t="str">
        <ns0:v>单向收纳盒</ns0:v>
      </ns0:c>
      <ns0:c r="W80" s="124" t="str">
        <ns0:v>单颗暂存盒</ns0:v>
      </ns0:c>
      <ns0:c r="X80" s="124" t="str">
        <ns0:v>单向收纳盒×1；单颗暂存盒×1</ns0:v>
      </ns0:c>
      <ns0:c r="Y80" s="112" t="n">
        <ns0:f>SUMIFS('装量配置'!$I$6:$I$718,'装量配置'!$A$6:$A$718,A80)</ns0:f>
        <ns0:v>60</ns0:v>
      </ns0:c>
      <ns0:c r="Z80" s="112" t="str">
        <ns0:f>IF(AND(O80&lt;=25,N80=2,Y80=K80*4,H80&lt;=K80,P80+AT80&gt;=4,COUNTIFS('装量配置'!$A$6:$A$718,A80,'装量配置'!$O$6:$O$718,"需调整")=0),"装量通过；待逐味","需调整")</ns0:f>
        <ns0:v>装量通过；待逐味</ns0:v>
      </ns0:c>
      <ns0:c r="AA80" s="107" t="str">
        <ns0:v>四条件可行路线已保存（非最短解）</ns0:v>
      </ns0:c>
      <ns0:c r="AB80" s="107"/>
      <ns0:c r="AC80" s="107"/>
      <ns0:c r="AD80" s="113" t="n">
        <ns0:v>0.44</ns0:v>
      </ns0:c>
      <ns0:c r="AE80" s="114" t="n">
        <ns0:v>6.5</ns0:v>
      </ns0:c>
      <ns0:c r="AF80" s="109"/>
      <ns0:c r="AG80" s="109"/>
      <ns0:c r="AH80" s="110"/>
      <ns0:c r="AI80" s="131" t="str">
        <ns0:v>固定层序；待连续真人试玩</ns0:v>
      </ns0:c>
      <ns0:c r="AJ80" s="124" t="str">
        <ns0:v>先腾空预装暂存，再安排单向收纳；普通满盒下三层隐藏，零完整空盒。</ns0:v>
      </ns0:c>
      <ns0:c r="AK80" s="124" t="str">
        <ns0:v>连续居中，按盒数分排</ns0:v>
      </ns0:c>
      <ns0:c r="AL80" s="112" t="n">
        <ns0:v>1</ns0:v>
      </ns0:c>
      <ns0:c r="AM80" s="113" t="n">
        <ns0:v>0.78</ns0:v>
      </ns0:c>
      <ns0:c r="AN80" s="112"/>
      <ns0:c r="AO80" s="113"/>
      <ns0:c r="AP80" s="124" t="str">
        <ns0:v>双锁／单开A／单开B／双开完整回放</ns0:v>
      </ns0:c>
      <ns0:c r="AQ80" s="107"/>
      <ns0:c r="AR80" s="120" t="n">
        <ns0:f>SUMIFS('装量配置'!$I$6:$I$718,'装量配置'!$A$6:$A$718,A80,'装量配置'!$B$6:$B$718,"开局")</ns0:f>
        <ns0:v>60</ns0:v>
      </ns0:c>
      <ns0:c r="AS80" s="132" t="n">
        <ns0:f>SUMIFS('装量配置'!$I$6:$I$718,'装量配置'!$A$6:$A$718,A80,'装量配置'!$B$6:$B$718,"开局",'装量配置'!$D$6:$D$718,"普通盒",'装量配置'!$G$6:$G$718,"&gt;0")/(4*SUMIFS('装量配置'!$E$6:$E$718,'装量配置'!$A$6:$A$718,A80,'装量配置'!$B$6:$B$718,"开局",'装量配置'!$D$6:$D$718,"普通盒",'装量配置'!$G$6:$G$718,"&gt;0"))</ns0:f>
        <ns0:v>0.921875</ns0:v>
      </ns0:c>
      <ns0:c r="AT80" s="120" t="n">
        <ns0:f>SUMIFS('装量配置'!$L$6:$L$718,'装量配置'!$A$6:$A$718,A80)</ns0:f>
        <ns0:v>5</ns0:v>
      </ns0:c>
      <ns0:c r="AU80" s="120" t="n">
        <ns0:f>SUMIFS('装量配置'!$M$6:$M$718,'装量配置'!$A$6:$A$718,A80)</ns0:f>
        <ns0:v>4</ns0:v>
      </ns0:c>
      <ns0:c r="AV80" s="120" t="n">
        <ns0:f>SUMIFS('装量配置'!$N$6:$N$718,'装量配置'!$A$6:$A$718,A80)</ns0:f>
        <ns0:v>0</ns0:v>
      </ns0:c>
      <ns0:c r="AW80" s="132" t="n">
        <ns0:v>0.18</ns0:v>
      </ns0:c>
      <ns0:c r="AX80" s="120" t="n">
        <ns0:v>4</ns0:v>
      </ns0:c>
      <ns0:c r="AY80" s="120" t="n">
        <ns0:f>IF(AX80=1,1,0)</ns0:f>
        <ns0:v>0</ns0:v>
      </ns0:c>
      <ns0:c r="AZ80" s="120" t="n">
        <ns0:f>SUMIFS('装量配置'!$E$6:$E$718,'装量配置'!$A$6:$A$718,A80,'装量配置'!$B$6:$B$718,"开局",'装量配置'!$D$6:$D$718,"&lt;&gt;普通盒",'装量配置'!$D$6:$D$718,"&lt;&gt;广告锁定周转盒")</ns0:f>
        <ns0:v>2</ns0:v>
      </ns0:c>
      <ns0:c r="BA80" s="149" t="n">
        <ns0:f>IF(COUNTIFS('装量配置'!$A$6:$A$718,A80,'装量配置'!$B$6:$B$718,"开局",'装量配置'!$D$6:$D$718,"数字盖盒",'装量配置'!$E$6:$E$718,"&gt;0")&gt;0,1,0)+IF(COUNTIFS('装量配置'!$A$6:$A$718,A80,'装量配置'!$B$6:$B$718,"开局",'装量配置'!$D$6:$D$718,"普通冰冻盒",'装量配置'!$E$6:$E$718,"&gt;0")&gt;0,1,0)+IF(COUNTIFS('装量配置'!$A$6:$A$718,A80,'装量配置'!$B$6:$B$718,"开局",'装量配置'!$D$6:$D$718,"单颗暂存盒",'装量配置'!$E$6:$E$718,"&gt;0")&gt;0,1,0)+IF(COUNTIFS('装量配置'!$A$6:$A$718,A80,'装量配置'!$B$6:$B$718,"开局",'装量配置'!$D$6:$D$718,"数字冰冻盒",'装量配置'!$E$6:$E$718,"&gt;0")&gt;0,1,0)+IF(COUNTIFS('装量配置'!$A$6:$A$718,A80,'装量配置'!$B$6:$B$718,"开局",'装量配置'!$D$6:$D$718,"固定颜色盒",'装量配置'!$E$6:$E$718,"&gt;0")&gt;0,1,0)+IF(COUNTIFS('装量配置'!$A$6:$A$718,A80,'装量配置'!$B$6:$B$718,"开局",'装量配置'!$D$6:$D$718,"单向收纳盒",'装量配置'!$E$6:$E$718,"&gt;0")&gt;0,1,0)+IF(COUNTIFS('装量配置'!$A$6:$A$718,A80,'装量配置'!$B$6:$B$718,"开局",'装量配置'!$D$6:$D$718,"底部置顶盒",'装量配置'!$E$6:$E$718,"&gt;0")&gt;0,1,0)+IF(COUNTIFS('装量配置'!$A$6:$A$718,A80,'装量配置'!$B$6:$B$718,"开局",'装量配置'!$D$6:$D$718,"炸弹盒",'装量配置'!$E$6:$E$718,"&gt;0")&gt;0,1,0)</ns0:f>
        <ns0:v>2</ns0:v>
      </ns0:c>
      <ns0:c r="BB80" s="149" t="n">
        <ns0:f>SUMIFS('装量配置'!$E$6:$E$718,'装量配置'!$A$6:$A$718,A80,'装量配置'!$B$6:$B$718,"开局",'装量配置'!$D$6:$D$718,"数字盖盒")+SUMIFS('装量配置'!$E$6:$E$718,'装量配置'!$A$6:$A$718,A80,'装量配置'!$B$6:$B$718,"开局",'装量配置'!$D$6:$D$718,"普通冰冻盒")+SUMIFS('装量配置'!$E$6:$E$718,'装量配置'!$A$6:$A$718,A80,'装量配置'!$B$6:$B$718,"开局",'装量配置'!$D$6:$D$718,"数字冰冻盒")</ns0:f>
        <ns0:v>0</ns0:v>
      </ns0:c>
      <ns0:c r="BC80" s="149" t="n">
        <ns0:f>SUMIFS('装量配置'!$R$6:$R$718,'装量配置'!$A$6:$A$718,A80,'装量配置'!$B$6:$B$718,"开局")</ns0:f>
        <ns0:v>0</ns0:v>
      </ns0:c>
      <ns0:c r="BD80" s="146" t="str">
        <ns0:v>先腾空预装暂存，再安排单向收纳；普通满盒下三层隐藏，零完整空盒。</ns0:v>
      </ns0:c>
      <ns0:c r="BE80" s="149" t="n">
        <ns0:v>3</ns0:v>
      </ns0:c>
      <ns0:c r="BF80" s="146" t="str">
        <ns0:v>首归纳及时交付，逐关检查机关参与与补货余量</ns0:v>
      </ns0:c>
    </ns0:row>
    <ns0:row r="81" ht="33" customHeight="1">
      <ns0:c r="A81" s="105" t="n">
        <ns0:v>76</ns0:v>
      </ns0:c>
      <ns0:c r="B81" s="117" t="str">
        <ns0:v>多机制分工与收官</ns0:v>
      </ns0:c>
      <ns0:c r="C81" s="126" t="str">
        <ns0:v>机制组合</ns0:v>
      </ns0:c>
      <ns0:c r="D81" s="108" t="n">
        <ns0:v>4.9</ns0:v>
      </ns0:c>
      <ns0:c r="E81" s="123" t="str">
        <ns0:v>取料与归纳顺序</ns0:v>
      </ns0:c>
      <ns0:c r="F81" s="123" t="str">
        <ns0:v>机关与装量配合</ns0:v>
      </ns0:c>
      <ns0:c r="G81" s="105" t="str">
        <ns0:v>错落</ns0:v>
      </ns0:c>
      <ns0:c r="H81" s="105" t="n">
        <ns0:v>8</ns0:v>
      </ns0:c>
      <ns0:c r="I81" s="105" t="n">
        <ns0:f>SUMIFS('装量配置'!$E$6:$E$718,'装量配置'!$A$6:$A$718,A81,'装量配置'!$B$6:$B$718,"开局",'装量配置'!$F$6:$F$718,4,'装量配置'!$G$6:$G$718,"&gt;0")</ns0:f>
        <ns0:v>17</ns0:v>
      </ns0:c>
      <ns0:c r="J81" s="105" t="n">
        <ns0:f>SUMIFS('装量配置'!$E$6:$E$718,'装量配置'!$A$6:$A$718,A81,'装量配置'!$B$6:$B$718,"备货")</ns0:f>
        <ns0:v>2</ns0:v>
      </ns0:c>
      <ns0:c r="K81" s="105" t="n">
        <ns0:v>18</ns0:v>
      </ns0:c>
      <ns0:c r="L81" s="105" t="n">
        <ns0:f>SUMIFS('装量配置'!$E$6:$E$718,'装量配置'!$A$6:$A$718,A81,'装量配置'!$B$6:$B$718,"开局",'装量配置'!$F$6:$F$718,4,'装量配置'!$G$6:$G$718,0,'装量配置'!$D$6:$D$718,"&lt;&gt;广告锁定周转盒")</ns0:f>
        <ns0:v>1</ns0:v>
      </ns0:c>
      <ns0:c r="M81" s="105" t="n">
        <ns0:f>SUMIFS('装量配置'!$E$6:$E$718,'装量配置'!$A$6:$A$718,A81,'装量配置'!$B$6:$B$718,"开局",'装量配置'!$F$6:$F$718,1)</ns0:f>
        <ns0:v>0</ns0:v>
      </ns0:c>
      <ns0:c r="N81" s="105" t="n">
        <ns0:f>SUMIFS('装量配置'!$E$6:$E$718,'装量配置'!$A$6:$A$718,A81,'装量配置'!$B$6:$B$718,"开局",'装量配置'!$D$6:$D$718,"广告锁定周转盒")</ns0:f>
        <ns0:v>2</ns0:v>
      </ns0:c>
      <ns0:c r="O81" s="105" t="n">
        <ns0:f>SUMIFS('装量配置'!$E$6:$E$718,'装量配置'!$A$6:$A$718,A81,'装量配置'!$B$6:$B$718,"开局")</ns0:f>
        <ns0:v>20</ns0:v>
      </ns0:c>
      <ns0:c r="P81" s="105" t="n">
        <ns0:f>SUMIFS('装量配置'!$K$6:$K$718,'装量配置'!$A$6:$A$718,A81)</ns0:f>
        <ns0:v>4</ns0:v>
      </ns0:c>
      <ns0:c r="Q81" s="105" t="n">
        <ns0:v>4</ns0:v>
      </ns0:c>
      <ns0:c r="R81" s="106" t="n">
        <ns0:v>0</ns0:v>
      </ns0:c>
      <ns0:c r="S81" s="106" t="n">
        <ns0:v>0.12</ns0:v>
      </ns0:c>
      <ns0:c r="T81" s="105" t="n">
        <ns0:v>4</ns0:v>
      </ns0:c>
      <ns0:c r="U81" s="105" t="n">
        <ns0:v>3</ns0:v>
      </ns0:c>
      <ns0:c r="V81" s="123" t="str">
        <ns0:v>底部置顶盒</ns0:v>
      </ns0:c>
      <ns0:c r="W81" s="123" t="str">
        <ns0:v>数字盖盒</ns0:v>
      </ns0:c>
      <ns0:c r="X81" s="123" t="str">
        <ns0:v>底部置顶盒×2；数字盖盒×1</ns0:v>
      </ns0:c>
      <ns0:c r="Y81" s="105" t="n">
        <ns0:f>SUMIFS('装量配置'!$I$6:$I$718,'装量配置'!$A$6:$A$718,A81)</ns0:f>
        <ns0:v>72</ns0:v>
      </ns0:c>
      <ns0:c r="Z81" s="105" t="str">
        <ns0:f>IF(AND(O81&lt;=25,N81=2,Y81=K81*4,H81&lt;=K81,P81+AT81&gt;=4,COUNTIFS('装量配置'!$A$6:$A$718,A81,'装量配置'!$O$6:$O$718,"需调整")=0),"装量通过；待逐味","需调整")</ns0:f>
        <ns0:v>装量通过；待逐味</ns0:v>
      </ns0:c>
      <ns0:c r="AA81" s="107" t="str">
        <ns0:v>四条件可行路线已保存（非最短解）</ns0:v>
      </ns0:c>
      <ns0:c r="AB81" s="107"/>
      <ns0:c r="AC81" s="107"/>
      <ns0:c r="AD81" s="106" t="n">
        <ns0:v>0.42</ns0:v>
      </ns0:c>
      <ns0:c r="AE81" s="108" t="n">
        <ns0:v>6.5</ns0:v>
      </ns0:c>
      <ns0:c r="AF81" s="109"/>
      <ns0:c r="AG81" s="109"/>
      <ns0:c r="AH81" s="110"/>
      <ns0:c r="AI81" s="131" t="str">
        <ns0:v>固定层序；待连续真人试玩</ns0:v>
      </ns0:c>
      <ns0:c r="AJ81" s="123" t="str">
        <ns0:v>双循环调换可用口味，数字盖1释放材料，两批补货分开；完整空盒保留可读周转。</ns0:v>
      </ns0:c>
      <ns0:c r="AK81" s="123" t="str">
        <ns0:v>连续居中，按盒数分排</ns0:v>
      </ns0:c>
      <ns0:c r="AL81" s="105" t="n">
        <ns0:v>1</ns0:v>
      </ns0:c>
      <ns0:c r="AM81" s="106" t="n">
        <ns0:v>0.78</ns0:v>
      </ns0:c>
      <ns0:c r="AN81" s="107"/>
      <ns0:c r="AO81" s="110"/>
      <ns0:c r="AP81" s="123" t="str">
        <ns0:v>双锁／单开A／单开B／双开完整回放</ns0:v>
      </ns0:c>
      <ns0:c r="AQ81" s="107"/>
      <ns0:c r="AR81" s="121" t="n">
        <ns0:f>SUMIFS('装量配置'!$I$6:$I$718,'装量配置'!$A$6:$A$718,A81,'装量配置'!$B$6:$B$718,"开局")</ns0:f>
        <ns0:v>64</ns0:v>
      </ns0:c>
      <ns0:c r="AS81" s="133" t="n">
        <ns0:f>SUMIFS('装量配置'!$I$6:$I$718,'装量配置'!$A$6:$A$718,A81,'装量配置'!$B$6:$B$718,"开局",'装量配置'!$D$6:$D$718,"普通盒",'装量配置'!$G$6:$G$718,"&gt;0")/(4*SUMIFS('装量配置'!$E$6:$E$718,'装量配置'!$A$6:$A$718,A81,'装量配置'!$B$6:$B$718,"开局",'装量配置'!$D$6:$D$718,"普通盒",'装量配置'!$G$6:$G$718,"&gt;0"))</ns0:f>
        <ns0:v>0.9285714285714286</ns0:v>
      </ns0:c>
      <ns0:c r="AT81" s="121" t="n">
        <ns0:f>SUMIFS('装量配置'!$L$6:$L$718,'装量配置'!$A$6:$A$718,A81)</ns0:f>
        <ns0:v>4</ns0:v>
      </ns0:c>
      <ns0:c r="AU81" s="121" t="n">
        <ns0:f>SUMIFS('装量配置'!$M$6:$M$718,'装量配置'!$A$6:$A$718,A81)</ns0:f>
        <ns0:v>0</ns0:v>
      </ns0:c>
      <ns0:c r="AV81" s="121" t="n">
        <ns0:f>SUMIFS('装量配置'!$N$6:$N$718,'装量配置'!$A$6:$A$718,A81)</ns0:f>
        <ns0:v>0</ns0:v>
      </ns0:c>
      <ns0:c r="AW81" s="133" t="n">
        <ns0:v>0.18</ns0:v>
      </ns0:c>
      <ns0:c r="AX81" s="121" t="n">
        <ns0:v>5</ns0:v>
      </ns0:c>
      <ns0:c r="AY81" s="121" t="n">
        <ns0:f>IF(AX81=1,1,0)</ns0:f>
        <ns0:v>0</ns0:v>
      </ns0:c>
      <ns0:c r="AZ81" s="121" t="n">
        <ns0:f>SUMIFS('装量配置'!$E$6:$E$718,'装量配置'!$A$6:$A$718,A81,'装量配置'!$B$6:$B$718,"开局",'装量配置'!$D$6:$D$718,"&lt;&gt;普通盒",'装量配置'!$D$6:$D$718,"&lt;&gt;广告锁定周转盒")</ns0:f>
        <ns0:v>3</ns0:v>
      </ns0:c>
      <ns0:c r="BA81" s="150" t="n">
        <ns0:f>IF(COUNTIFS('装量配置'!$A$6:$A$718,A81,'装量配置'!$B$6:$B$718,"开局",'装量配置'!$D$6:$D$718,"数字盖盒",'装量配置'!$E$6:$E$718,"&gt;0")&gt;0,1,0)+IF(COUNTIFS('装量配置'!$A$6:$A$718,A81,'装量配置'!$B$6:$B$718,"开局",'装量配置'!$D$6:$D$718,"普通冰冻盒",'装量配置'!$E$6:$E$718,"&gt;0")&gt;0,1,0)+IF(COUNTIFS('装量配置'!$A$6:$A$718,A81,'装量配置'!$B$6:$B$718,"开局",'装量配置'!$D$6:$D$718,"单颗暂存盒",'装量配置'!$E$6:$E$718,"&gt;0")&gt;0,1,0)+IF(COUNTIFS('装量配置'!$A$6:$A$718,A81,'装量配置'!$B$6:$B$718,"开局",'装量配置'!$D$6:$D$718,"数字冰冻盒",'装量配置'!$E$6:$E$718,"&gt;0")&gt;0,1,0)+IF(COUNTIFS('装量配置'!$A$6:$A$718,A81,'装量配置'!$B$6:$B$718,"开局",'装量配置'!$D$6:$D$718,"固定颜色盒",'装量配置'!$E$6:$E$718,"&gt;0")&gt;0,1,0)+IF(COUNTIFS('装量配置'!$A$6:$A$718,A81,'装量配置'!$B$6:$B$718,"开局",'装量配置'!$D$6:$D$718,"单向收纳盒",'装量配置'!$E$6:$E$718,"&gt;0")&gt;0,1,0)+IF(COUNTIFS('装量配置'!$A$6:$A$718,A81,'装量配置'!$B$6:$B$718,"开局",'装量配置'!$D$6:$D$718,"底部置顶盒",'装量配置'!$E$6:$E$718,"&gt;0")&gt;0,1,0)+IF(COUNTIFS('装量配置'!$A$6:$A$718,A81,'装量配置'!$B$6:$B$718,"开局",'装量配置'!$D$6:$D$718,"炸弹盒",'装量配置'!$E$6:$E$718,"&gt;0")&gt;0,1,0)</ns0:f>
        <ns0:v>2</ns0:v>
      </ns0:c>
      <ns0:c r="BB81" s="150" t="n">
        <ns0:f>SUMIFS('装量配置'!$E$6:$E$718,'装量配置'!$A$6:$A$718,A81,'装量配置'!$B$6:$B$718,"开局",'装量配置'!$D$6:$D$718,"数字盖盒")+SUMIFS('装量配置'!$E$6:$E$718,'装量配置'!$A$6:$A$718,A81,'装量配置'!$B$6:$B$718,"开局",'装量配置'!$D$6:$D$718,"普通冰冻盒")+SUMIFS('装量配置'!$E$6:$E$718,'装量配置'!$A$6:$A$718,A81,'装量配置'!$B$6:$B$718,"开局",'装量配置'!$D$6:$D$718,"数字冰冻盒")</ns0:f>
        <ns0:v>1</ns0:v>
      </ns0:c>
      <ns0:c r="BC81" s="150" t="n">
        <ns0:f>SUMIFS('装量配置'!$R$6:$R$718,'装量配置'!$A$6:$A$718,A81,'装量配置'!$B$6:$B$718,"开局")</ns0:f>
        <ns0:v>1</ns0:v>
      </ns0:c>
      <ns0:c r="BD81" s="148" t="str">
        <ns0:v>双循环调换可用口味，数字盖1释放材料，两批补货分开；完整空盒保留可读周转。</ns0:v>
      </ns0:c>
      <ns0:c r="BE81" s="150" t="n">
        <ns0:v>4</ns0:v>
      </ns0:c>
      <ns0:c r="BF81" s="148" t="str">
        <ns0:v>首归纳及时交付，逐关检查机关参与与补货余量</ns0:v>
      </ns0:c>
    </ns0:row>
    <ns0:row r="82" ht="33" customHeight="1">
      <ns0:c r="A82" s="112" t="n">
        <ns0:v>77</ns0:v>
      </ns0:c>
      <ns0:c r="B82" s="119" t="str">
        <ns0:v>多机制分工与收官</ns0:v>
      </ns0:c>
      <ns0:c r="C82" s="127" t="str">
        <ns0:v>缓和巩固</ns0:v>
      </ns0:c>
      <ns0:c r="D82" s="114" t="n">
        <ns0:v>4.7</ns0:v>
      </ns0:c>
      <ns0:c r="E82" s="124" t="str">
        <ns0:v>取料与归纳顺序</ns0:v>
      </ns0:c>
      <ns0:c r="F82" s="124" t="str">
        <ns0:v>机关与装量配合</ns0:v>
      </ns0:c>
      <ns0:c r="G82" s="112" t="str">
        <ns0:v>整齐</ns0:v>
      </ns0:c>
      <ns0:c r="H82" s="112" t="n">
        <ns0:v>8</ns0:v>
      </ns0:c>
      <ns0:c r="I82" s="112" t="n">
        <ns0:f>SUMIFS('装量配置'!$E$6:$E$718,'装量配置'!$A$6:$A$718,A82,'装量配置'!$B$6:$B$718,"开局",'装量配置'!$F$6:$F$718,4,'装量配置'!$G$6:$G$718,"&gt;0")</ns0:f>
        <ns0:v>16</ns0:v>
      </ns0:c>
      <ns0:c r="J82" s="112" t="n">
        <ns0:f>SUMIFS('装量配置'!$E$6:$E$718,'装量配置'!$A$6:$A$718,A82,'装量配置'!$B$6:$B$718,"备货")</ns0:f>
        <ns0:v>0</ns0:v>
      </ns0:c>
      <ns0:c r="K82" s="112" t="n">
        <ns0:v>15</ns0:v>
      </ns0:c>
      <ns0:c r="L82" s="112" t="n">
        <ns0:f>SUMIFS('装量配置'!$E$6:$E$718,'装量配置'!$A$6:$A$718,A82,'装量配置'!$B$6:$B$718,"开局",'装量配置'!$F$6:$F$718,4,'装量配置'!$G$6:$G$718,0,'装量配置'!$D$6:$D$718,"&lt;&gt;广告锁定周转盒")</ns0:f>
        <ns0:v>1</ns0:v>
      </ns0:c>
      <ns0:c r="M82" s="112" t="n">
        <ns0:f>SUMIFS('装量配置'!$E$6:$E$718,'装量配置'!$A$6:$A$718,A82,'装量配置'!$B$6:$B$718,"开局",'装量配置'!$F$6:$F$718,1)</ns0:f>
        <ns0:v>1</ns0:v>
      </ns0:c>
      <ns0:c r="N82" s="112" t="n">
        <ns0:f>SUMIFS('装量配置'!$E$6:$E$718,'装量配置'!$A$6:$A$718,A82,'装量配置'!$B$6:$B$718,"开局",'装量配置'!$D$6:$D$718,"广告锁定周转盒")</ns0:f>
        <ns0:v>2</ns0:v>
      </ns0:c>
      <ns0:c r="O82" s="112" t="n">
        <ns0:f>SUMIFS('装量配置'!$E$6:$E$718,'装量配置'!$A$6:$A$718,A82,'装量配置'!$B$6:$B$718,"开局")</ns0:f>
        <ns0:v>20</ns0:v>
      </ns0:c>
      <ns0:c r="P82" s="112" t="n">
        <ns0:f>SUMIFS('装量配置'!$K$6:$K$718,'装量配置'!$A$6:$A$718,A82)</ns0:f>
        <ns0:v>5</ns0:v>
      </ns0:c>
      <ns0:c r="Q82" s="112" t="n">
        <ns0:v>4</ns0:v>
      </ns0:c>
      <ns0:c r="R82" s="113" t="n">
        <ns0:v>0</ns0:v>
      </ns0:c>
      <ns0:c r="S82" s="113" t="n">
        <ns0:v>0.12</ns0:v>
      </ns0:c>
      <ns0:c r="T82" s="112" t="n">
        <ns0:v>3</ns0:v>
      </ns0:c>
      <ns0:c r="U82" s="112" t="n">
        <ns0:v>0</ns0:v>
      </ns0:c>
      <ns0:c r="V82" s="124" t="str">
        <ns0:v>普通冰冻盒</ns0:v>
      </ns0:c>
      <ns0:c r="W82" s="124" t="str">
        <ns0:v>单颗暂存盒</ns0:v>
      </ns0:c>
      <ns0:c r="X82" s="124" t="str">
        <ns0:v>普通冰冻盒×1；单颗暂存盒×1</ns0:v>
      </ns0:c>
      <ns0:c r="Y82" s="112" t="n">
        <ns0:f>SUMIFS('装量配置'!$I$6:$I$718,'装量配置'!$A$6:$A$718,A82)</ns0:f>
        <ns0:v>60</ns0:v>
      </ns0:c>
      <ns0:c r="Z82" s="112" t="str">
        <ns0:f>IF(AND(O82&lt;=25,N82=2,Y82=K82*4,H82&lt;=K82,P82+AT82&gt;=4,COUNTIFS('装量配置'!$A$6:$A$718,A82,'装量配置'!$O$6:$O$718,"需调整")=0),"装量通过；待逐味","需调整")</ns0:f>
        <ns0:v>装量通过；待逐味</ns0:v>
      </ns0:c>
      <ns0:c r="AA82" s="107" t="str">
        <ns0:v>四条件可行路线已保存（非最短解）</ns0:v>
      </ns0:c>
      <ns0:c r="AB82" s="107"/>
      <ns0:c r="AC82" s="107"/>
      <ns0:c r="AD82" s="113" t="n">
        <ns0:v>0.57</ns0:v>
      </ns0:c>
      <ns0:c r="AE82" s="114" t="n">
        <ns0:v>5.5</ns0:v>
      </ns0:c>
      <ns0:c r="AF82" s="109"/>
      <ns0:c r="AG82" s="109"/>
      <ns0:c r="AH82" s="110"/>
      <ns0:c r="AI82" s="131" t="str">
        <ns0:v>固定层序；待连续真人试玩</ns0:v>
      </ns0:c>
      <ns0:c r="AJ82" s="124" t="str">
        <ns0:v>去掉循环与隐藏，只保留普通冰冻和空单颗暂存；前段使用暂存，减轻连续规划负担。</ns0:v>
      </ns0:c>
      <ns0:c r="AK82" s="124" t="str">
        <ns0:v>连续居中，按盒数分排</ns0:v>
      </ns0:c>
      <ns0:c r="AL82" s="112" t="n">
        <ns0:v>1</ns0:v>
      </ns0:c>
      <ns0:c r="AM82" s="113" t="n">
        <ns0:v>0.78</ns0:v>
      </ns0:c>
      <ns0:c r="AN82" s="112"/>
      <ns0:c r="AO82" s="113"/>
      <ns0:c r="AP82" s="124" t="str">
        <ns0:v>双锁／单开A／单开B／双开完整回放</ns0:v>
      </ns0:c>
      <ns0:c r="AQ82" s="107"/>
      <ns0:c r="AR82" s="120" t="n">
        <ns0:f>SUMIFS('装量配置'!$I$6:$I$718,'装量配置'!$A$6:$A$718,A82,'装量配置'!$B$6:$B$718,"开局")</ns0:f>
        <ns0:v>60</ns0:v>
      </ns0:c>
      <ns0:c r="AS82" s="132" t="n">
        <ns0:f>SUMIFS('装量配置'!$I$6:$I$718,'装量配置'!$A$6:$A$718,A82,'装量配置'!$B$6:$B$718,"开局",'装量配置'!$D$6:$D$718,"普通盒",'装量配置'!$G$6:$G$718,"&gt;0")/(4*SUMIFS('装量配置'!$E$6:$E$718,'装量配置'!$A$6:$A$718,A82,'装量配置'!$B$6:$B$718,"开局",'装量配置'!$D$6:$D$718,"普通盒",'装量配置'!$G$6:$G$718,"&gt;0"))</ns0:f>
        <ns0:v>0.9333333333333333</ns0:v>
      </ns0:c>
      <ns0:c r="AT82" s="120" t="n">
        <ns0:f>SUMIFS('装量配置'!$L$6:$L$718,'装量配置'!$A$6:$A$718,A82)</ns0:f>
        <ns0:v>4</ns0:v>
      </ns0:c>
      <ns0:c r="AU82" s="120" t="n">
        <ns0:f>SUMIFS('装量配置'!$M$6:$M$718,'装量配置'!$A$6:$A$718,A82)</ns0:f>
        <ns0:v>0</ns0:v>
      </ns0:c>
      <ns0:c r="AV82" s="120" t="n">
        <ns0:f>SUMIFS('装量配置'!$N$6:$N$718,'装量配置'!$A$6:$A$718,A82)</ns0:f>
        <ns0:v>0</ns0:v>
      </ns0:c>
      <ns0:c r="AW82" s="132" t="n">
        <ns0:v>0.18</ns0:v>
      </ns0:c>
      <ns0:c r="AX82" s="120" t="n">
        <ns0:v>4</ns0:v>
      </ns0:c>
      <ns0:c r="AY82" s="120" t="n">
        <ns0:f>IF(AX82=1,1,0)</ns0:f>
        <ns0:v>0</ns0:v>
      </ns0:c>
      <ns0:c r="AZ82" s="120" t="n">
        <ns0:f>SUMIFS('装量配置'!$E$6:$E$718,'装量配置'!$A$6:$A$718,A82,'装量配置'!$B$6:$B$718,"开局",'装量配置'!$D$6:$D$718,"&lt;&gt;普通盒",'装量配置'!$D$6:$D$718,"&lt;&gt;广告锁定周转盒")</ns0:f>
        <ns0:v>2</ns0:v>
      </ns0:c>
      <ns0:c r="BA82" s="149" t="n">
        <ns0:f>IF(COUNTIFS('装量配置'!$A$6:$A$718,A82,'装量配置'!$B$6:$B$718,"开局",'装量配置'!$D$6:$D$718,"数字盖盒",'装量配置'!$E$6:$E$718,"&gt;0")&gt;0,1,0)+IF(COUNTIFS('装量配置'!$A$6:$A$718,A82,'装量配置'!$B$6:$B$718,"开局",'装量配置'!$D$6:$D$718,"普通冰冻盒",'装量配置'!$E$6:$E$718,"&gt;0")&gt;0,1,0)+IF(COUNTIFS('装量配置'!$A$6:$A$718,A82,'装量配置'!$B$6:$B$718,"开局",'装量配置'!$D$6:$D$718,"单颗暂存盒",'装量配置'!$E$6:$E$718,"&gt;0")&gt;0,1,0)+IF(COUNTIFS('装量配置'!$A$6:$A$718,A82,'装量配置'!$B$6:$B$718,"开局",'装量配置'!$D$6:$D$718,"数字冰冻盒",'装量配置'!$E$6:$E$718,"&gt;0")&gt;0,1,0)+IF(COUNTIFS('装量配置'!$A$6:$A$718,A82,'装量配置'!$B$6:$B$718,"开局",'装量配置'!$D$6:$D$718,"固定颜色盒",'装量配置'!$E$6:$E$718,"&gt;0")&gt;0,1,0)+IF(COUNTIFS('装量配置'!$A$6:$A$718,A82,'装量配置'!$B$6:$B$718,"开局",'装量配置'!$D$6:$D$718,"单向收纳盒",'装量配置'!$E$6:$E$718,"&gt;0")&gt;0,1,0)+IF(COUNTIFS('装量配置'!$A$6:$A$718,A82,'装量配置'!$B$6:$B$718,"开局",'装量配置'!$D$6:$D$718,"底部置顶盒",'装量配置'!$E$6:$E$718,"&gt;0")&gt;0,1,0)+IF(COUNTIFS('装量配置'!$A$6:$A$718,A82,'装量配置'!$B$6:$B$718,"开局",'装量配置'!$D$6:$D$718,"炸弹盒",'装量配置'!$E$6:$E$718,"&gt;0")&gt;0,1,0)</ns0:f>
        <ns0:v>2</ns0:v>
      </ns0:c>
      <ns0:c r="BB82" s="149" t="n">
        <ns0:f>SUMIFS('装量配置'!$E$6:$E$718,'装量配置'!$A$6:$A$718,A82,'装量配置'!$B$6:$B$718,"开局",'装量配置'!$D$6:$D$718,"数字盖盒")+SUMIFS('装量配置'!$E$6:$E$718,'装量配置'!$A$6:$A$718,A82,'装量配置'!$B$6:$B$718,"开局",'装量配置'!$D$6:$D$718,"普通冰冻盒")+SUMIFS('装量配置'!$E$6:$E$718,'装量配置'!$A$6:$A$718,A82,'装量配置'!$B$6:$B$718,"开局",'装量配置'!$D$6:$D$718,"数字冰冻盒")</ns0:f>
        <ns0:v>1</ns0:v>
      </ns0:c>
      <ns0:c r="BC82" s="149" t="n">
        <ns0:f>SUMIFS('装量配置'!$R$6:$R$718,'装量配置'!$A$6:$A$718,A82,'装量配置'!$B$6:$B$718,"开局")</ns0:f>
        <ns0:v>0</ns0:v>
      </ns0:c>
      <ns0:c r="BD82" s="146" t="str">
        <ns0:v>去掉循环与隐藏，只保留普通冰冻和空单颗暂存；前段使用暂存，减轻连续规划负担。</ns0:v>
      </ns0:c>
      <ns0:c r="BE82" s="149" t="n">
        <ns0:v>2</ns0:v>
      </ns0:c>
      <ns0:c r="BF82" s="146" t="str">
        <ns0:v>首归纳及时交付，逐关检查机关参与与补货余量</ns0:v>
      </ns0:c>
    </ns0:row>
    <ns0:row r="83" ht="33" customHeight="1">
      <ns0:c r="A83" s="105" t="n">
        <ns0:v>78</ns0:v>
      </ns0:c>
      <ns0:c r="B83" s="117" t="str">
        <ns0:v>多机制分工与收官</ns0:v>
      </ns0:c>
      <ns0:c r="C83" s="126" t="str">
        <ns0:v>机制组合</ns0:v>
      </ns0:c>
      <ns0:c r="D83" s="108" t="n">
        <ns0:v>4.9</ns0:v>
      </ns0:c>
      <ns0:c r="E83" s="123" t="str">
        <ns0:v>取料与归纳顺序</ns0:v>
      </ns0:c>
      <ns0:c r="F83" s="123" t="str">
        <ns0:v>机关与装量配合</ns0:v>
      </ns0:c>
      <ns0:c r="G83" s="105" t="str">
        <ns0:v>错落</ns0:v>
      </ns0:c>
      <ns0:c r="H83" s="105" t="n">
        <ns0:v>8</ns0:v>
      </ns0:c>
      <ns0:c r="I83" s="105" t="n">
        <ns0:f>SUMIFS('装量配置'!$E$6:$E$718,'装量配置'!$A$6:$A$718,A83,'装量配置'!$B$6:$B$718,"开局",'装量配置'!$F$6:$F$718,4,'装量配置'!$G$6:$G$718,"&gt;0")</ns0:f>
        <ns0:v>17</ns0:v>
      </ns0:c>
      <ns0:c r="J83" s="105" t="n">
        <ns0:f>SUMIFS('装量配置'!$E$6:$E$718,'装量配置'!$A$6:$A$718,A83,'装量配置'!$B$6:$B$718,"备货")</ns0:f>
        <ns0:v>0</ns0:v>
      </ns0:c>
      <ns0:c r="K83" s="105" t="n">
        <ns0:v>15</ns0:v>
      </ns0:c>
      <ns0:c r="L83" s="105" t="n">
        <ns0:f>SUMIFS('装量配置'!$E$6:$E$718,'装量配置'!$A$6:$A$718,A83,'装量配置'!$B$6:$B$718,"开局",'装量配置'!$F$6:$F$718,4,'装量配置'!$G$6:$G$718,0,'装量配置'!$D$6:$D$718,"&lt;&gt;广告锁定周转盒")</ns0:f>
        <ns0:v>1</ns0:v>
      </ns0:c>
      <ns0:c r="M83" s="105" t="n">
        <ns0:f>SUMIFS('装量配置'!$E$6:$E$718,'装量配置'!$A$6:$A$718,A83,'装量配置'!$B$6:$B$718,"开局",'装量配置'!$F$6:$F$718,1)</ns0:f>
        <ns0:v>0</ns0:v>
      </ns0:c>
      <ns0:c r="N83" s="105" t="n">
        <ns0:f>SUMIFS('装量配置'!$E$6:$E$718,'装量配置'!$A$6:$A$718,A83,'装量配置'!$B$6:$B$718,"开局",'装量配置'!$D$6:$D$718,"广告锁定周转盒")</ns0:f>
        <ns0:v>2</ns0:v>
      </ns0:c>
      <ns0:c r="O83" s="105" t="n">
        <ns0:f>SUMIFS('装量配置'!$E$6:$E$718,'装量配置'!$A$6:$A$718,A83,'装量配置'!$B$6:$B$718,"开局")</ns0:f>
        <ns0:v>20</ns0:v>
      </ns0:c>
      <ns0:c r="P83" s="105" t="n">
        <ns0:f>SUMIFS('装量配置'!$K$6:$K$718,'装量配置'!$A$6:$A$718,A83)</ns0:f>
        <ns0:v>0</ns0:v>
      </ns0:c>
      <ns0:c r="Q83" s="105" t="n">
        <ns0:v>4</ns0:v>
      </ns0:c>
      <ns0:c r="R83" s="106" t="n">
        <ns0:v>0.05</ns0:v>
      </ns0:c>
      <ns0:c r="S83" s="106" t="n">
        <ns0:v>0.12</ns0:v>
      </ns0:c>
      <ns0:c r="T83" s="105" t="n">
        <ns0:v>3</ns0:v>
      </ns0:c>
      <ns0:c r="U83" s="105" t="n">
        <ns0:v>0</ns0:v>
      </ns0:c>
      <ns0:c r="V83" s="123" t="str">
        <ns0:v>底部置顶盒</ns0:v>
      </ns0:c>
      <ns0:c r="W83" s="123" t="str">
        <ns0:v>固定颜色盒</ns0:v>
      </ns0:c>
      <ns0:c r="X83" s="123" t="str">
        <ns0:v>底部置顶盒×1；固定颜色盒×1</ns0:v>
      </ns0:c>
      <ns0:c r="Y83" s="105" t="n">
        <ns0:f>SUMIFS('装量配置'!$I$6:$I$718,'装量配置'!$A$6:$A$718,A83)</ns0:f>
        <ns0:v>60</ns0:v>
      </ns0:c>
      <ns0:c r="Z83" s="105" t="str">
        <ns0:f>IF(AND(O83&lt;=25,N83=2,Y83=K83*4,H83&lt;=K83,P83+AT83&gt;=4,COUNTIFS('装量配置'!$A$6:$A$718,A83,'装量配置'!$O$6:$O$718,"需调整")=0),"装量通过；待逐味","需调整")</ns0:f>
        <ns0:v>装量通过；待逐味</ns0:v>
      </ns0:c>
      <ns0:c r="AA83" s="107" t="str">
        <ns0:v>四条件可行路线已保存（非最短解）</ns0:v>
      </ns0:c>
      <ns0:c r="AB83" s="107"/>
      <ns0:c r="AC83" s="107"/>
      <ns0:c r="AD83" s="106" t="n">
        <ns0:v>0.44</ns0:v>
      </ns0:c>
      <ns0:c r="AE83" s="108" t="n">
        <ns0:v>6.5</ns0:v>
      </ns0:c>
      <ns0:c r="AF83" s="109"/>
      <ns0:c r="AG83" s="109"/>
      <ns0:c r="AH83" s="110"/>
      <ns0:c r="AI83" s="131" t="str">
        <ns0:v>固定层序；待连续真人试玩</ns0:v>
      </ns0:c>
      <ns0:c r="AJ83" s="123" t="str">
        <ns0:v>循环盒供料、固定盒接收，普通盒下三层隐藏；两只一颗盒与两只三颗盒提供分散余量。</ns0:v>
      </ns0:c>
      <ns0:c r="AK83" s="123" t="str">
        <ns0:v>连续居中，按盒数分排</ns0:v>
      </ns0:c>
      <ns0:c r="AL83" s="105" t="n">
        <ns0:v>1</ns0:v>
      </ns0:c>
      <ns0:c r="AM83" s="106" t="n">
        <ns0:v>0.78</ns0:v>
      </ns0:c>
      <ns0:c r="AN83" s="107"/>
      <ns0:c r="AO83" s="110"/>
      <ns0:c r="AP83" s="123" t="str">
        <ns0:v>双锁／单开A／单开B／双开完整回放</ns0:v>
      </ns0:c>
      <ns0:c r="AQ83" s="107"/>
      <ns0:c r="AR83" s="121" t="n">
        <ns0:f>SUMIFS('装量配置'!$I$6:$I$718,'装量配置'!$A$6:$A$718,A83,'装量配置'!$B$6:$B$718,"开局")</ns0:f>
        <ns0:v>60</ns0:v>
      </ns0:c>
      <ns0:c r="AS83" s="133" t="n">
        <ns0:f>SUMIFS('装量配置'!$I$6:$I$718,'装量配置'!$A$6:$A$718,A83,'装量配置'!$B$6:$B$718,"开局",'装量配置'!$D$6:$D$718,"普通盒",'装量配置'!$G$6:$G$718,"&gt;0")/(4*SUMIFS('装量配置'!$E$6:$E$718,'装量配置'!$A$6:$A$718,A83,'装量配置'!$B$6:$B$718,"开局",'装量配置'!$D$6:$D$718,"普通盒",'装量配置'!$G$6:$G$718,"&gt;0"))</ns0:f>
        <ns0:v>0.875</ns0:v>
      </ns0:c>
      <ns0:c r="AT83" s="121" t="n">
        <ns0:f>SUMIFS('装量配置'!$L$6:$L$718,'装量配置'!$A$6:$A$718,A83)</ns0:f>
        <ns0:v>8</ns0:v>
      </ns0:c>
      <ns0:c r="AU83" s="121" t="n">
        <ns0:f>SUMIFS('装量配置'!$M$6:$M$718,'装量配置'!$A$6:$A$718,A83)</ns0:f>
        <ns0:v>4</ns0:v>
      </ns0:c>
      <ns0:c r="AV83" s="121" t="n">
        <ns0:f>SUMIFS('装量配置'!$N$6:$N$718,'装量配置'!$A$6:$A$718,A83)</ns0:f>
        <ns0:v>0</ns0:v>
      </ns0:c>
      <ns0:c r="AW83" s="133" t="n">
        <ns0:v>0.18</ns0:v>
      </ns0:c>
      <ns0:c r="AX83" s="121" t="n">
        <ns0:v>4</ns0:v>
      </ns0:c>
      <ns0:c r="AY83" s="121" t="n">
        <ns0:f>IF(AX83=1,1,0)</ns0:f>
        <ns0:v>0</ns0:v>
      </ns0:c>
      <ns0:c r="AZ83" s="121" t="n">
        <ns0:f>SUMIFS('装量配置'!$E$6:$E$718,'装量配置'!$A$6:$A$718,A83,'装量配置'!$B$6:$B$718,"开局",'装量配置'!$D$6:$D$718,"&lt;&gt;普通盒",'装量配置'!$D$6:$D$718,"&lt;&gt;广告锁定周转盒")</ns0:f>
        <ns0:v>2</ns0:v>
      </ns0:c>
      <ns0:c r="BA83" s="150" t="n">
        <ns0:f>IF(COUNTIFS('装量配置'!$A$6:$A$718,A83,'装量配置'!$B$6:$B$718,"开局",'装量配置'!$D$6:$D$718,"数字盖盒",'装量配置'!$E$6:$E$718,"&gt;0")&gt;0,1,0)+IF(COUNTIFS('装量配置'!$A$6:$A$718,A83,'装量配置'!$B$6:$B$718,"开局",'装量配置'!$D$6:$D$718,"普通冰冻盒",'装量配置'!$E$6:$E$718,"&gt;0")&gt;0,1,0)+IF(COUNTIFS('装量配置'!$A$6:$A$718,A83,'装量配置'!$B$6:$B$718,"开局",'装量配置'!$D$6:$D$718,"单颗暂存盒",'装量配置'!$E$6:$E$718,"&gt;0")&gt;0,1,0)+IF(COUNTIFS('装量配置'!$A$6:$A$718,A83,'装量配置'!$B$6:$B$718,"开局",'装量配置'!$D$6:$D$718,"数字冰冻盒",'装量配置'!$E$6:$E$718,"&gt;0")&gt;0,1,0)+IF(COUNTIFS('装量配置'!$A$6:$A$718,A83,'装量配置'!$B$6:$B$718,"开局",'装量配置'!$D$6:$D$718,"固定颜色盒",'装量配置'!$E$6:$E$718,"&gt;0")&gt;0,1,0)+IF(COUNTIFS('装量配置'!$A$6:$A$718,A83,'装量配置'!$B$6:$B$718,"开局",'装量配置'!$D$6:$D$718,"单向收纳盒",'装量配置'!$E$6:$E$718,"&gt;0")&gt;0,1,0)+IF(COUNTIFS('装量配置'!$A$6:$A$718,A83,'装量配置'!$B$6:$B$718,"开局",'装量配置'!$D$6:$D$718,"底部置顶盒",'装量配置'!$E$6:$E$718,"&gt;0")&gt;0,1,0)+IF(COUNTIFS('装量配置'!$A$6:$A$718,A83,'装量配置'!$B$6:$B$718,"开局",'装量配置'!$D$6:$D$718,"炸弹盒",'装量配置'!$E$6:$E$718,"&gt;0")&gt;0,1,0)</ns0:f>
        <ns0:v>2</ns0:v>
      </ns0:c>
      <ns0:c r="BB83" s="150" t="n">
        <ns0:f>SUMIFS('装量配置'!$E$6:$E$718,'装量配置'!$A$6:$A$718,A83,'装量配置'!$B$6:$B$718,"开局",'装量配置'!$D$6:$D$718,"数字盖盒")+SUMIFS('装量配置'!$E$6:$E$718,'装量配置'!$A$6:$A$718,A83,'装量配置'!$B$6:$B$718,"开局",'装量配置'!$D$6:$D$718,"普通冰冻盒")+SUMIFS('装量配置'!$E$6:$E$718,'装量配置'!$A$6:$A$718,A83,'装量配置'!$B$6:$B$718,"开局",'装量配置'!$D$6:$D$718,"数字冰冻盒")</ns0:f>
        <ns0:v>0</ns0:v>
      </ns0:c>
      <ns0:c r="BC83" s="150" t="n">
        <ns0:f>SUMIFS('装量配置'!$R$6:$R$718,'装量配置'!$A$6:$A$718,A83,'装量配置'!$B$6:$B$718,"开局")</ns0:f>
        <ns0:v>0</ns0:v>
      </ns0:c>
      <ns0:c r="BD83" s="148" t="str">
        <ns0:v>循环盒供料、固定盒接收，普通盒下三层隐藏；两只一颗盒与两只三颗盒提供分散余量。</ns0:v>
      </ns0:c>
      <ns0:c r="BE83" s="150" t="n">
        <ns0:v>3</ns0:v>
      </ns0:c>
      <ns0:c r="BF83" s="148" t="str">
        <ns0:v>首归纳及时交付，逐关检查机关参与与补货余量</ns0:v>
      </ns0:c>
    </ns0:row>
    <ns0:row r="84" ht="33" customHeight="1">
      <ns0:c r="A84" s="112" t="n">
        <ns0:v>79</ns0:v>
      </ns0:c>
      <ns0:c r="B84" s="119" t="str">
        <ns0:v>多机制分工与收官</ns0:v>
      </ns0:c>
      <ns0:c r="C84" s="127" t="str">
        <ns0:v>阶段挑战</ns0:v>
      </ns0:c>
      <ns0:c r="D84" s="114" t="n">
        <ns0:v>5</ns0:v>
      </ns0:c>
      <ns0:c r="E84" s="124" t="str">
        <ns0:v>取料与归纳顺序</ns0:v>
      </ns0:c>
      <ns0:c r="F84" s="124" t="str">
        <ns0:v>机关与装量配合</ns0:v>
      </ns0:c>
      <ns0:c r="G84" s="112" t="str">
        <ns0:v>错落</ns0:v>
      </ns0:c>
      <ns0:c r="H84" s="112" t="n">
        <ns0:v>8</ns0:v>
      </ns0:c>
      <ns0:c r="I84" s="112" t="n">
        <ns0:f>SUMIFS('装量配置'!$E$6:$E$718,'装量配置'!$A$6:$A$718,A84,'装量配置'!$B$6:$B$718,"开局",'装量配置'!$F$6:$F$718,4,'装量配置'!$G$6:$G$718,"&gt;0")</ns0:f>
        <ns0:v>17</ns0:v>
      </ns0:c>
      <ns0:c r="J84" s="112" t="n">
        <ns0:f>SUMIFS('装量配置'!$E$6:$E$718,'装量配置'!$A$6:$A$718,A84,'装量配置'!$B$6:$B$718,"备货")</ns0:f>
        <ns0:v>2</ns0:v>
      </ns0:c>
      <ns0:c r="K84" s="112" t="n">
        <ns0:v>17</ns0:v>
      </ns0:c>
      <ns0:c r="L84" s="112" t="n">
        <ns0:f>SUMIFS('装量配置'!$E$6:$E$718,'装量配置'!$A$6:$A$718,A84,'装量配置'!$B$6:$B$718,"开局",'装量配置'!$F$6:$F$718,4,'装量配置'!$G$6:$G$718,0,'装量配置'!$D$6:$D$718,"&lt;&gt;广告锁定周转盒")</ns0:f>
        <ns0:v>0</ns0:v>
      </ns0:c>
      <ns0:c r="M84" s="112" t="n">
        <ns0:f>SUMIFS('装量配置'!$E$6:$E$718,'装量配置'!$A$6:$A$718,A84,'装量配置'!$B$6:$B$718,"开局",'装量配置'!$F$6:$F$718,1)</ns0:f>
        <ns0:v>1</ns0:v>
      </ns0:c>
      <ns0:c r="N84" s="112" t="n">
        <ns0:f>SUMIFS('装量配置'!$E$6:$E$718,'装量配置'!$A$6:$A$718,A84,'装量配置'!$B$6:$B$718,"开局",'装量配置'!$D$6:$D$718,"广告锁定周转盒")</ns0:f>
        <ns0:v>2</ns0:v>
      </ns0:c>
      <ns0:c r="O84" s="112" t="n">
        <ns0:f>SUMIFS('装量配置'!$E$6:$E$718,'装量配置'!$A$6:$A$718,A84,'装量配置'!$B$6:$B$718,"开局")</ns0:f>
        <ns0:v>20</ns0:v>
      </ns0:c>
      <ns0:c r="P84" s="112" t="n">
        <ns0:f>SUMIFS('装量配置'!$K$6:$K$718,'装量配置'!$A$6:$A$718,A84)</ns0:f>
        <ns0:v>0</ns0:v>
      </ns0:c>
      <ns0:c r="Q84" s="112" t="n">
        <ns0:v>4</ns0:v>
      </ns0:c>
      <ns0:c r="R84" s="113" t="n">
        <ns0:v>0.04411764705882353</ns0:v>
      </ns0:c>
      <ns0:c r="S84" s="113" t="n">
        <ns0:v>0.12</ns0:v>
      </ns0:c>
      <ns0:c r="T84" s="112" t="n">
        <ns0:v>3</ns0:v>
      </ns0:c>
      <ns0:c r="U84" s="112" t="n">
        <ns0:v>3</ns0:v>
      </ns0:c>
      <ns0:c r="V84" s="124" t="str">
        <ns0:v>底部置顶盒</ns0:v>
      </ns0:c>
      <ns0:c r="W84" s="124" t="str">
        <ns0:v>数字冰冻盒、单颗暂存盒</ns0:v>
      </ns0:c>
      <ns0:c r="X84" s="124" t="str">
        <ns0:v>底部置顶盒×2；数字冰冻盒×1；单颗暂存盒×1</ns0:v>
      </ns0:c>
      <ns0:c r="Y84" s="112" t="n">
        <ns0:f>SUMIFS('装量配置'!$I$6:$I$718,'装量配置'!$A$6:$A$718,A84)</ns0:f>
        <ns0:v>68</ns0:v>
      </ns0:c>
      <ns0:c r="Z84" s="112" t="str">
        <ns0:f>IF(AND(O84&lt;=25,N84=2,Y84=K84*4,H84&lt;=K84,P84+AT84&gt;=4,COUNTIFS('装量配置'!$A$6:$A$718,A84,'装量配置'!$O$6:$O$718,"需调整")=0),"装量通过；待逐味","需调整")</ns0:f>
        <ns0:v>装量通过；待逐味</ns0:v>
      </ns0:c>
      <ns0:c r="AA84" s="107" t="str">
        <ns0:v>四条件可行路线已保存（非最短解）</ns0:v>
      </ns0:c>
      <ns0:c r="AB84" s="107"/>
      <ns0:c r="AC84" s="107"/>
      <ns0:c r="AD84" s="113" t="n">
        <ns0:v>0.34</ns0:v>
      </ns0:c>
      <ns0:c r="AE84" s="114" t="n">
        <ns0:v>7.5</ns0:v>
      </ns0:c>
      <ns0:c r="AF84" s="109"/>
      <ns0:c r="AG84" s="109"/>
      <ns0:c r="AH84" s="110"/>
      <ns0:c r="AI84" s="131" t="str">
        <ns0:v>固定层序；待连续真人试玩</ns0:v>
      </ns0:c>
      <ns0:c r="AJ84" s="124" t="str">
        <ns0:v>双循环、数字冰冻2、预装暂存与三颗隐藏组成阶段挑战；两次补货分开，首单较早反馈。</ns0:v>
      </ns0:c>
      <ns0:c r="AK84" s="124" t="str">
        <ns0:v>连续居中，按盒数分排</ns0:v>
      </ns0:c>
      <ns0:c r="AL84" s="112" t="n">
        <ns0:v>2</ns0:v>
      </ns0:c>
      <ns0:c r="AM84" s="113" t="n">
        <ns0:v>0.65</ns0:v>
      </ns0:c>
      <ns0:c r="AN84" s="112"/>
      <ns0:c r="AO84" s="113"/>
      <ns0:c r="AP84" s="124" t="str">
        <ns0:v>双锁／单开A／单开B／双开完整回放</ns0:v>
      </ns0:c>
      <ns0:c r="AQ84" s="107"/>
      <ns0:c r="AR84" s="120" t="n">
        <ns0:f>SUMIFS('装量配置'!$I$6:$I$718,'装量配置'!$A$6:$A$718,A84,'装量配置'!$B$6:$B$718,"开局")</ns0:f>
        <ns0:v>60</ns0:v>
      </ns0:c>
      <ns0:c r="AS84" s="132" t="n">
        <ns0:f>SUMIFS('装量配置'!$I$6:$I$718,'装量配置'!$A$6:$A$718,A84,'装量配置'!$B$6:$B$718,"开局",'装量配置'!$D$6:$D$718,"普通盒",'装量配置'!$G$6:$G$718,"&gt;0")/(4*SUMIFS('装量配置'!$E$6:$E$718,'装量配置'!$A$6:$A$718,A84,'装量配置'!$B$6:$B$718,"开局",'装量配置'!$D$6:$D$718,"普通盒",'装量配置'!$G$6:$G$718,"&gt;0"))</ns0:f>
        <ns0:v>0.8392857142857143</ns0:v>
      </ns0:c>
      <ns0:c r="AT84" s="120" t="n">
        <ns0:f>SUMIFS('装量配置'!$L$6:$L$718,'装量配置'!$A$6:$A$718,A84)</ns0:f>
        <ns0:v>9</ns0:v>
      </ns0:c>
      <ns0:c r="AU84" s="120" t="n">
        <ns0:f>SUMIFS('装量配置'!$M$6:$M$718,'装量配置'!$A$6:$A$718,A84)</ns0:f>
        <ns0:v>0</ns0:v>
      </ns0:c>
      <ns0:c r="AV84" s="120" t="n">
        <ns0:f>SUMIFS('装量配置'!$N$6:$N$718,'装量配置'!$A$6:$A$718,A84)</ns0:f>
        <ns0:v>0</ns0:v>
      </ns0:c>
      <ns0:c r="AW84" s="132" t="n">
        <ns0:v>0.18</ns0:v>
      </ns0:c>
      <ns0:c r="AX84" s="120" t="n">
        <ns0:v>4</ns0:v>
      </ns0:c>
      <ns0:c r="AY84" s="120" t="n">
        <ns0:f>IF(AX84=1,1,0)</ns0:f>
        <ns0:v>0</ns0:v>
      </ns0:c>
      <ns0:c r="AZ84" s="120" t="n">
        <ns0:f>SUMIFS('装量配置'!$E$6:$E$718,'装量配置'!$A$6:$A$718,A84,'装量配置'!$B$6:$B$718,"开局",'装量配置'!$D$6:$D$718,"&lt;&gt;普通盒",'装量配置'!$D$6:$D$718,"&lt;&gt;广告锁定周转盒")</ns0:f>
        <ns0:v>4</ns0:v>
      </ns0:c>
      <ns0:c r="BA84" s="149" t="n">
        <ns0:f>IF(COUNTIFS('装量配置'!$A$6:$A$718,A84,'装量配置'!$B$6:$B$718,"开局",'装量配置'!$D$6:$D$718,"数字盖盒",'装量配置'!$E$6:$E$718,"&gt;0")&gt;0,1,0)+IF(COUNTIFS('装量配置'!$A$6:$A$718,A84,'装量配置'!$B$6:$B$718,"开局",'装量配置'!$D$6:$D$718,"普通冰冻盒",'装量配置'!$E$6:$E$718,"&gt;0")&gt;0,1,0)+IF(COUNTIFS('装量配置'!$A$6:$A$718,A84,'装量配置'!$B$6:$B$718,"开局",'装量配置'!$D$6:$D$718,"单颗暂存盒",'装量配置'!$E$6:$E$718,"&gt;0")&gt;0,1,0)+IF(COUNTIFS('装量配置'!$A$6:$A$718,A84,'装量配置'!$B$6:$B$718,"开局",'装量配置'!$D$6:$D$718,"数字冰冻盒",'装量配置'!$E$6:$E$718,"&gt;0")&gt;0,1,0)+IF(COUNTIFS('装量配置'!$A$6:$A$718,A84,'装量配置'!$B$6:$B$718,"开局",'装量配置'!$D$6:$D$718,"固定颜色盒",'装量配置'!$E$6:$E$718,"&gt;0")&gt;0,1,0)+IF(COUNTIFS('装量配置'!$A$6:$A$718,A84,'装量配置'!$B$6:$B$718,"开局",'装量配置'!$D$6:$D$718,"单向收纳盒",'装量配置'!$E$6:$E$718,"&gt;0")&gt;0,1,0)+IF(COUNTIFS('装量配置'!$A$6:$A$718,A84,'装量配置'!$B$6:$B$718,"开局",'装量配置'!$D$6:$D$718,"底部置顶盒",'装量配置'!$E$6:$E$718,"&gt;0")&gt;0,1,0)+IF(COUNTIFS('装量配置'!$A$6:$A$718,A84,'装量配置'!$B$6:$B$718,"开局",'装量配置'!$D$6:$D$718,"炸弹盒",'装量配置'!$E$6:$E$718,"&gt;0")&gt;0,1,0)</ns0:f>
        <ns0:v>3</ns0:v>
      </ns0:c>
      <ns0:c r="BB84" s="149" t="n">
        <ns0:f>SUMIFS('装量配置'!$E$6:$E$718,'装量配置'!$A$6:$A$718,A84,'装量配置'!$B$6:$B$718,"开局",'装量配置'!$D$6:$D$718,"数字盖盒")+SUMIFS('装量配置'!$E$6:$E$718,'装量配置'!$A$6:$A$718,A84,'装量配置'!$B$6:$B$718,"开局",'装量配置'!$D$6:$D$718,"普通冰冻盒")+SUMIFS('装量配置'!$E$6:$E$718,'装量配置'!$A$6:$A$718,A84,'装量配置'!$B$6:$B$718,"开局",'装量配置'!$D$6:$D$718,"数字冰冻盒")</ns0:f>
        <ns0:v>1</ns0:v>
      </ns0:c>
      <ns0:c r="BC84" s="149" t="n">
        <ns0:f>SUMIFS('装量配置'!$R$6:$R$718,'装量配置'!$A$6:$A$718,A84,'装量配置'!$B$6:$B$718,"开局")</ns0:f>
        <ns0:v>2</ns0:v>
      </ns0:c>
      <ns0:c r="BD84" s="146" t="str">
        <ns0:v>双循环、数字冰冻2、预装暂存与三颗隐藏组成阶段挑战；两次补货分开，首单较早反馈。</ns0:v>
      </ns0:c>
      <ns0:c r="BE84" s="149" t="n">
        <ns0:v>4</ns0:v>
      </ns0:c>
      <ns0:c r="BF84" s="146" t="str">
        <ns0:v>首归纳及时交付，逐关检查机关参与与补货余量</ns0:v>
      </ns0:c>
    </ns0:row>
    <ns0:row r="85" ht="33" customHeight="1">
      <ns0:c r="A85" s="105" t="n">
        <ns0:v>80</ns0:v>
      </ns0:c>
      <ns0:c r="B85" s="117" t="str">
        <ns0:v>多机制分工与收官</ns0:v>
      </ns0:c>
      <ns0:c r="C85" s="126" t="str">
        <ns0:v>缓和巩固</ns0:v>
      </ns0:c>
      <ns0:c r="D85" s="108" t="n">
        <ns0:v>4.7</ns0:v>
      </ns0:c>
      <ns0:c r="E85" s="123" t="str">
        <ns0:v>取料与归纳顺序</ns0:v>
      </ns0:c>
      <ns0:c r="F85" s="123" t="str">
        <ns0:v>机关与装量配合</ns0:v>
      </ns0:c>
      <ns0:c r="G85" s="105" t="str">
        <ns0:v>整齐</ns0:v>
      </ns0:c>
      <ns0:c r="H85" s="105" t="n">
        <ns0:v>7</ns0:v>
      </ns0:c>
      <ns0:c r="I85" s="105" t="n">
        <ns0:f>SUMIFS('装量配置'!$E$6:$E$718,'装量配置'!$A$6:$A$718,A85,'装量配置'!$B$6:$B$718,"开局",'装量配置'!$F$6:$F$718,4,'装量配置'!$G$6:$G$718,"&gt;0")</ns0:f>
        <ns0:v>15</ns0:v>
      </ns0:c>
      <ns0:c r="J85" s="105" t="n">
        <ns0:f>SUMIFS('装量配置'!$E$6:$E$718,'装量配置'!$A$6:$A$718,A85,'装量配置'!$B$6:$B$718,"备货")</ns0:f>
        <ns0:v>0</ns0:v>
      </ns0:c>
      <ns0:c r="K85" s="105" t="n">
        <ns0:v>14</ns0:v>
      </ns0:c>
      <ns0:c r="L85" s="105" t="n">
        <ns0:f>SUMIFS('装量配置'!$E$6:$E$718,'装量配置'!$A$6:$A$718,A85,'装量配置'!$B$6:$B$718,"开局",'装量配置'!$F$6:$F$718,4,'装量配置'!$G$6:$G$718,0,'装量配置'!$D$6:$D$718,"&lt;&gt;广告锁定周转盒")</ns0:f>
        <ns0:v>2</ns0:v>
      </ns0:c>
      <ns0:c r="M85" s="105" t="n">
        <ns0:f>SUMIFS('装量配置'!$E$6:$E$718,'装量配置'!$A$6:$A$718,A85,'装量配置'!$B$6:$B$718,"开局",'装量配置'!$F$6:$F$718,1)</ns0:f>
        <ns0:v>0</ns0:v>
      </ns0:c>
      <ns0:c r="N85" s="105" t="n">
        <ns0:f>SUMIFS('装量配置'!$E$6:$E$718,'装量配置'!$A$6:$A$718,A85,'装量配置'!$B$6:$B$718,"开局",'装量配置'!$D$6:$D$718,"广告锁定周转盒")</ns0:f>
        <ns0:v>2</ns0:v>
      </ns0:c>
      <ns0:c r="O85" s="105" t="n">
        <ns0:f>SUMIFS('装量配置'!$E$6:$E$718,'装量配置'!$A$6:$A$718,A85,'装量配置'!$B$6:$B$718,"开局")</ns0:f>
        <ns0:v>19</ns0:v>
      </ns0:c>
      <ns0:c r="P85" s="105" t="n">
        <ns0:f>SUMIFS('装量配置'!$K$6:$K$718,'装量配置'!$A$6:$A$718,A85)</ns0:f>
        <ns0:v>4</ns0:v>
      </ns0:c>
      <ns0:c r="Q85" s="105" t="n">
        <ns0:v>4</ns0:v>
      </ns0:c>
      <ns0:c r="R85" s="106" t="n">
        <ns0:v>0</ns0:v>
      </ns0:c>
      <ns0:c r="S85" s="106" t="n">
        <ns0:v>0.12</ns0:v>
      </ns0:c>
      <ns0:c r="T85" s="105" t="n">
        <ns0:v>3</ns0:v>
      </ns0:c>
      <ns0:c r="U85" s="105" t="n">
        <ns0:v>0</ns0:v>
      </ns0:c>
      <ns0:c r="V85" s="123" t="str">
        <ns0:v>普通冰冻盒</ns0:v>
      </ns0:c>
      <ns0:c r="W85" s="123" t="str">
        <ns0:v>固定颜色盒</ns0:v>
      </ns0:c>
      <ns0:c r="X85" s="123" t="str">
        <ns0:v>普通冰冻盒×1；固定颜色盒×1</ns0:v>
      </ns0:c>
      <ns0:c r="Y85" s="105" t="n">
        <ns0:f>SUMIFS('装量配置'!$I$6:$I$718,'装量配置'!$A$6:$A$718,A85)</ns0:f>
        <ns0:v>56</ns0:v>
      </ns0:c>
      <ns0:c r="Z85" s="105" t="str">
        <ns0:f>IF(AND(O85&lt;=25,N85=2,Y85=K85*4,H85&lt;=K85,P85+AT85&gt;=4,COUNTIFS('装量配置'!$A$6:$A$718,A85,'装量配置'!$O$6:$O$718,"需调整")=0),"装量通过；待逐味","需调整")</ns0:f>
        <ns0:v>装量通过；待逐味</ns0:v>
      </ns0:c>
      <ns0:c r="AA85" s="107" t="str">
        <ns0:v>四条件可行路线已保存（非最短解）</ns0:v>
      </ns0:c>
      <ns0:c r="AB85" s="107"/>
      <ns0:c r="AC85" s="107"/>
      <ns0:c r="AD85" s="106" t="n">
        <ns0:v>0.58</ns0:v>
      </ns0:c>
      <ns0:c r="AE85" s="108" t="n">
        <ns0:v>5.5</ns0:v>
      </ns0:c>
      <ns0:c r="AF85" s="109"/>
      <ns0:c r="AG85" s="109"/>
      <ns0:c r="AH85" s="110"/>
      <ns0:c r="AI85" s="131" t="str">
        <ns0:v>固定层序；待连续真人试玩</ns0:v>
      </ns0:c>
      <ns0:c r="AJ85" s="123" t="str">
        <ns0:v>七色、十四单，普通冰冻与固定口味收纳收尾；全明牌、无补货，降低材料与信息负担。</ns0:v>
      </ns0:c>
      <ns0:c r="AK85" s="123" t="str">
        <ns0:v>连续居中，按盒数分排</ns0:v>
      </ns0:c>
      <ns0:c r="AL85" s="105" t="n">
        <ns0:v>1</ns0:v>
      </ns0:c>
      <ns0:c r="AM85" s="106" t="n">
        <ns0:v>0.78</ns0:v>
      </ns0:c>
      <ns0:c r="AN85" s="107"/>
      <ns0:c r="AO85" s="110"/>
      <ns0:c r="AP85" s="123" t="str">
        <ns0:v>双锁／单开A／单开B／双开完整回放</ns0:v>
      </ns0:c>
      <ns0:c r="AQ85" s="107"/>
      <ns0:c r="AR85" s="121" t="n">
        <ns0:f>SUMIFS('装量配置'!$I$6:$I$718,'装量配置'!$A$6:$A$718,A85,'装量配置'!$B$6:$B$718,"开局")</ns0:f>
        <ns0:v>56</ns0:v>
      </ns0:c>
      <ns0:c r="AS85" s="133" t="n">
        <ns0:f>SUMIFS('装量配置'!$I$6:$I$718,'装量配置'!$A$6:$A$718,A85,'装量配置'!$B$6:$B$718,"开局",'装量配置'!$D$6:$D$718,"普通盒",'装量配置'!$G$6:$G$718,"&gt;0")/(4*SUMIFS('装量配置'!$E$6:$E$718,'装量配置'!$A$6:$A$718,A85,'装量配置'!$B$6:$B$718,"开局",'装量配置'!$D$6:$D$718,"普通盒",'装量配置'!$G$6:$G$718,"&gt;0"))</ns0:f>
        <ns0:v>0.9285714285714286</ns0:v>
      </ns0:c>
      <ns0:c r="AT85" s="121" t="n">
        <ns0:f>SUMIFS('装量配置'!$L$6:$L$718,'装量配置'!$A$6:$A$718,A85)</ns0:f>
        <ns0:v>4</ns0:v>
      </ns0:c>
      <ns0:c r="AU85" s="121" t="n">
        <ns0:f>SUMIFS('装量配置'!$M$6:$M$718,'装量配置'!$A$6:$A$718,A85)</ns0:f>
        <ns0:v>4</ns0:v>
      </ns0:c>
      <ns0:c r="AV85" s="121" t="n">
        <ns0:f>SUMIFS('装量配置'!$N$6:$N$718,'装量配置'!$A$6:$A$718,A85)</ns0:f>
        <ns0:v>0</ns0:v>
      </ns0:c>
      <ns0:c r="AW85" s="133" t="n">
        <ns0:v>0.18</ns0:v>
      </ns0:c>
      <ns0:c r="AX85" s="121" t="n">
        <ns0:v>4</ns0:v>
      </ns0:c>
      <ns0:c r="AY85" s="121" t="n">
        <ns0:f>IF(AX85=1,1,0)</ns0:f>
        <ns0:v>0</ns0:v>
      </ns0:c>
      <ns0:c r="AZ85" s="121" t="n">
        <ns0:f>SUMIFS('装量配置'!$E$6:$E$718,'装量配置'!$A$6:$A$718,A85,'装量配置'!$B$6:$B$718,"开局",'装量配置'!$D$6:$D$718,"&lt;&gt;普通盒",'装量配置'!$D$6:$D$718,"&lt;&gt;广告锁定周转盒")</ns0:f>
        <ns0:v>2</ns0:v>
      </ns0:c>
      <ns0:c r="BA85" s="150" t="n">
        <ns0:f>IF(COUNTIFS('装量配置'!$A$6:$A$718,A85,'装量配置'!$B$6:$B$718,"开局",'装量配置'!$D$6:$D$718,"数字盖盒",'装量配置'!$E$6:$E$718,"&gt;0")&gt;0,1,0)+IF(COUNTIFS('装量配置'!$A$6:$A$718,A85,'装量配置'!$B$6:$B$718,"开局",'装量配置'!$D$6:$D$718,"普通冰冻盒",'装量配置'!$E$6:$E$718,"&gt;0")&gt;0,1,0)+IF(COUNTIFS('装量配置'!$A$6:$A$718,A85,'装量配置'!$B$6:$B$718,"开局",'装量配置'!$D$6:$D$718,"单颗暂存盒",'装量配置'!$E$6:$E$718,"&gt;0")&gt;0,1,0)+IF(COUNTIFS('装量配置'!$A$6:$A$718,A85,'装量配置'!$B$6:$B$718,"开局",'装量配置'!$D$6:$D$718,"数字冰冻盒",'装量配置'!$E$6:$E$718,"&gt;0")&gt;0,1,0)+IF(COUNTIFS('装量配置'!$A$6:$A$718,A85,'装量配置'!$B$6:$B$718,"开局",'装量配置'!$D$6:$D$718,"固定颜色盒",'装量配置'!$E$6:$E$718,"&gt;0")&gt;0,1,0)+IF(COUNTIFS('装量配置'!$A$6:$A$718,A85,'装量配置'!$B$6:$B$718,"开局",'装量配置'!$D$6:$D$718,"单向收纳盒",'装量配置'!$E$6:$E$718,"&gt;0")&gt;0,1,0)+IF(COUNTIFS('装量配置'!$A$6:$A$718,A85,'装量配置'!$B$6:$B$718,"开局",'装量配置'!$D$6:$D$718,"底部置顶盒",'装量配置'!$E$6:$E$718,"&gt;0")&gt;0,1,0)+IF(COUNTIFS('装量配置'!$A$6:$A$718,A85,'装量配置'!$B$6:$B$718,"开局",'装量配置'!$D$6:$D$718,"炸弹盒",'装量配置'!$E$6:$E$718,"&gt;0")&gt;0,1,0)</ns0:f>
        <ns0:v>2</ns0:v>
      </ns0:c>
      <ns0:c r="BB85" s="150" t="n">
        <ns0:f>SUMIFS('装量配置'!$E$6:$E$718,'装量配置'!$A$6:$A$718,A85,'装量配置'!$B$6:$B$718,"开局",'装量配置'!$D$6:$D$718,"数字盖盒")+SUMIFS('装量配置'!$E$6:$E$718,'装量配置'!$A$6:$A$718,A85,'装量配置'!$B$6:$B$718,"开局",'装量配置'!$D$6:$D$718,"普通冰冻盒")+SUMIFS('装量配置'!$E$6:$E$718,'装量配置'!$A$6:$A$718,A85,'装量配置'!$B$6:$B$718,"开局",'装量配置'!$D$6:$D$718,"数字冰冻盒")</ns0:f>
        <ns0:v>1</ns0:v>
      </ns0:c>
      <ns0:c r="BC85" s="150" t="n">
        <ns0:f>SUMIFS('装量配置'!$R$6:$R$718,'装量配置'!$A$6:$A$718,A85,'装量配置'!$B$6:$B$718,"开局")</ns0:f>
        <ns0:v>0</ns0:v>
      </ns0:c>
      <ns0:c r="BD85" s="148" t="str">
        <ns0:v>七色、十四单，普通冰冻与固定口味收纳收尾；全明牌、无补货，降低材料与信息负担。</ns0:v>
      </ns0:c>
      <ns0:c r="BE85" s="150" t="n">
        <ns0:v>2</ns0:v>
      </ns0:c>
      <ns0:c r="BF85" s="148" t="str">
        <ns0:v>首归纳及时交付，逐关检查机关参与与补货余量</ns0:v>
      </ns0:c>
    </ns0:row>
    <ns0:row r="86" ht="33" customHeight="1">
      <ns0:c r="A86" s="97" t="n">
        <ns0:v>81</ns0:v>
      </ns0:c>
      <ns0:c r="B86" s="115" t="str">
        <ns0:v>炸弹与节奏起伏</ns0:v>
      </ns0:c>
      <ns0:c r="C86" s="125" t="str">
        <ns0:v>炸弹教学</ns0:v>
      </ns0:c>
      <ns0:c r="D86" s="100" t="n">
        <ns0:v>3.8</ns0:v>
      </ns0:c>
      <ns0:c r="E86" s="122" t="str">
        <ns0:v>拆弹与归纳顺序</ns0:v>
      </ns0:c>
      <ns0:c r="F86" s="122" t="str">
        <ns0:v>机关与装量配合</ns0:v>
      </ns0:c>
      <ns0:c r="G86" s="97" t="str">
        <ns0:v>整齐</ns0:v>
      </ns0:c>
      <ns0:c r="H86" s="97" t="n">
        <ns0:v>7</ns0:v>
      </ns0:c>
      <ns0:c r="I86" s="97" t="n">
        <ns0:f>SUMIFS('装量配置'!$E$6:$E$718,'装量配置'!$A$6:$A$718,A86,'装量配置'!$B$6:$B$718,"开局",'装量配置'!$F$6:$F$718,4,'装量配置'!$G$6:$G$718,"&gt;0")</ns0:f>
        <ns0:v>14</ns0:v>
      </ns0:c>
      <ns0:c r="J86" s="97" t="n">
        <ns0:f>SUMIFS('装量配置'!$E$6:$E$718,'装量配置'!$A$6:$A$718,A86,'装量配置'!$B$6:$B$718,"备货")</ns0:f>
        <ns0:v>0</ns0:v>
      </ns0:c>
      <ns0:c r="K86" s="97" t="n">
        <ns0:v>13</ns0:v>
      </ns0:c>
      <ns0:c r="L86" s="97" t="n">
        <ns0:f>SUMIFS('装量配置'!$E$6:$E$718,'装量配置'!$A$6:$A$718,A86,'装量配置'!$B$6:$B$718,"开局",'装量配置'!$F$6:$F$718,4,'装量配置'!$G$6:$G$718,0,'装量配置'!$D$6:$D$718,"&lt;&gt;广告锁定周转盒")</ns0:f>
        <ns0:v>2</ns0:v>
      </ns0:c>
      <ns0:c r="M86" s="97" t="n">
        <ns0:f>SUMIFS('装量配置'!$E$6:$E$718,'装量配置'!$A$6:$A$718,A86,'装量配置'!$B$6:$B$718,"开局",'装量配置'!$F$6:$F$718,1)</ns0:f>
        <ns0:v>0</ns0:v>
      </ns0:c>
      <ns0:c r="N86" s="97" t="n">
        <ns0:f>SUMIFS('装量配置'!$E$6:$E$718,'装量配置'!$A$6:$A$718,A86,'装量配置'!$B$6:$B$718,"开局",'装量配置'!$D$6:$D$718,"广告锁定周转盒")</ns0:f>
        <ns0:v>2</ns0:v>
      </ns0:c>
      <ns0:c r="O86" s="97" t="n">
        <ns0:f>SUMIFS('装量配置'!$E$6:$E$718,'装量配置'!$A$6:$A$718,A86,'装量配置'!$B$6:$B$718,"开局")</ns0:f>
        <ns0:v>18</ns0:v>
      </ns0:c>
      <ns0:c r="P86" s="97" t="n">
        <ns0:f>SUMIFS('装量配置'!$K$6:$K$718,'装量配置'!$A$6:$A$718,A86)</ns0:f>
        <ns0:v>8</ns0:v>
      </ns0:c>
      <ns0:c r="Q86" s="97" t="n">
        <ns0:v>3</ns0:v>
      </ns0:c>
      <ns0:c r="R86" s="98" t="n">
        <ns0:v>0</ns0:v>
      </ns0:c>
      <ns0:c r="S86" s="98" t="n">
        <ns0:v>0.12</ns0:v>
      </ns0:c>
      <ns0:c r="T86" s="97" t="n">
        <ns0:v>2</ns0:v>
      </ns0:c>
      <ns0:c r="U86" s="97" t="n">
        <ns0:v>0</ns0:v>
      </ns0:c>
      <ns0:c r="V86" s="122" t="str">
        <ns0:v>炸弹盒</ns0:v>
      </ns0:c>
      <ns0:c r="W86" s="122"/>
      <ns0:c r="X86" s="122" t="str">
        <ns0:v>炸弹盒×1；拆弹倍率1.50，时限待真人校准</ns0:v>
      </ns0:c>
      <ns0:c r="Y86" s="97" t="n">
        <ns0:f>SUMIFS('装量配置'!$I$6:$I$718,'装量配置'!$A$6:$A$718,A86)</ns0:f>
        <ns0:v>52</ns0:v>
      </ns0:c>
      <ns0:c r="Z86" s="97" t="str">
        <ns0:f>IF(AND(O86&lt;=25,N86=2,Y86=K86*4,H86&lt;=K86,P86+AT86&gt;=4,COUNTIFS('装量配置'!$A$6:$A$718,A86,'装量配置'!$O$6:$O$718,"需调整")=0),"装量通过；待逐味","需调整")</ns0:f>
        <ns0:v>装量通过；待逐味</ns0:v>
      </ns0:c>
      <ns0:c r="AA86" s="99" t="str">
        <ns0:v>四条件可行路线已保存（非最短解）</ns0:v>
      </ns0:c>
      <ns0:c r="AB86" s="99"/>
      <ns0:c r="AC86" s="99"/>
      <ns0:c r="AD86" s="98" t="n">
        <ns0:v>0.78</ns0:v>
      </ns0:c>
      <ns0:c r="AE86" s="100" t="n">
        <ns0:v>6</ns0:v>
      </ns0:c>
      <ns0:c r="AF86" s="101"/>
      <ns0:c r="AG86" s="101"/>
      <ns0:c r="AH86" s="102"/>
      <ns0:c r="AI86" s="130" t="str">
        <ns0:v>固定层序；待连续真人试玩</ns0:v>
      </ns0:c>
      <ns0:c r="AJ86" s="122" t="str">
        <ns0:v>炸弹首次教学，七色全明牌、两只普通空盒、无补货；先在炸弹托内完成四同味解除。</ns0:v>
      </ns0:c>
      <ns0:c r="AK86" s="122" t="str">
        <ns0:v>连续居中，按盒数分排</ns0:v>
      </ns0:c>
      <ns0:c r="AL86" s="97" t="n">
        <ns0:v>1</ns0:v>
      </ns0:c>
      <ns0:c r="AM86" s="98" t="n">
        <ns0:v>0.78</ns0:v>
      </ns0:c>
      <ns0:c r="AN86" s="97"/>
      <ns0:c r="AO86" s="98"/>
      <ns0:c r="AP86" s="122" t="str">
        <ns0:v>双锁／单开A／单开B／双开完整回放</ns0:v>
      </ns0:c>
      <ns0:c r="AQ86" s="99"/>
      <ns0:c r="AR86" s="120" t="n">
        <ns0:f>SUMIFS('装量配置'!$I$6:$I$718,'装量配置'!$A$6:$A$718,A86,'装量配置'!$B$6:$B$718,"开局")</ns0:f>
        <ns0:v>52</ns0:v>
      </ns0:c>
      <ns0:c r="AS86" s="132" t="n">
        <ns0:f>SUMIFS('装量配置'!$I$6:$I$718,'装量配置'!$A$6:$A$718,A86,'装量配置'!$B$6:$B$718,"开局",'装量配置'!$D$6:$D$718,"普通盒",'装量配置'!$G$6:$G$718,"&gt;0")/(4*SUMIFS('装量配置'!$E$6:$E$718,'装量配置'!$A$6:$A$718,A86,'装量配置'!$B$6:$B$718,"开局",'装量配置'!$D$6:$D$718,"普通盒",'装量配置'!$G$6:$G$718,"&gt;0"))</ns0:f>
        <ns0:v>0.9230769230769231</ns0:v>
      </ns0:c>
      <ns0:c r="AT86" s="120" t="n">
        <ns0:f>SUMIFS('装量配置'!$L$6:$L$718,'装量配置'!$A$6:$A$718,A86)</ns0:f>
        <ns0:v>4</ns0:v>
      </ns0:c>
      <ns0:c r="AU86" s="120" t="n">
        <ns0:f>SUMIFS('装量配置'!$M$6:$M$718,'装量配置'!$A$6:$A$718,A86)</ns0:f>
        <ns0:v>0</ns0:v>
      </ns0:c>
      <ns0:c r="AV86" s="120" t="n">
        <ns0:f>SUMIFS('装量配置'!$N$6:$N$718,'装量配置'!$A$6:$A$718,A86)</ns0:f>
        <ns0:v>0</ns0:v>
      </ns0:c>
      <ns0:c r="AW86" s="132" t="n">
        <ns0:v>0.18</ns0:v>
      </ns0:c>
      <ns0:c r="AX86" s="120" t="n">
        <ns0:v>3</ns0:v>
      </ns0:c>
      <ns0:c r="AY86" s="120" t="n">
        <ns0:f>IF(AX86=1,1,0)</ns0:f>
        <ns0:v>0</ns0:v>
      </ns0:c>
      <ns0:c r="AZ86" s="120" t="n">
        <ns0:f>SUMIFS('装量配置'!$E$6:$E$718,'装量配置'!$A$6:$A$718,A86,'装量配置'!$B$6:$B$718,"开局",'装量配置'!$D$6:$D$718,"&lt;&gt;普通盒",'装量配置'!$D$6:$D$718,"&lt;&gt;广告锁定周转盒")</ns0:f>
        <ns0:v>1</ns0:v>
      </ns0:c>
      <ns0:c r="BA86" s="149" t="n">
        <ns0:f>IF(COUNTIFS('装量配置'!$A$6:$A$718,A86,'装量配置'!$B$6:$B$718,"开局",'装量配置'!$D$6:$D$718,"数字盖盒",'装量配置'!$E$6:$E$718,"&gt;0")&gt;0,1,0)+IF(COUNTIFS('装量配置'!$A$6:$A$718,A86,'装量配置'!$B$6:$B$718,"开局",'装量配置'!$D$6:$D$718,"普通冰冻盒",'装量配置'!$E$6:$E$718,"&gt;0")&gt;0,1,0)+IF(COUNTIFS('装量配置'!$A$6:$A$718,A86,'装量配置'!$B$6:$B$718,"开局",'装量配置'!$D$6:$D$718,"单颗暂存盒",'装量配置'!$E$6:$E$718,"&gt;0")&gt;0,1,0)+IF(COUNTIFS('装量配置'!$A$6:$A$718,A86,'装量配置'!$B$6:$B$718,"开局",'装量配置'!$D$6:$D$718,"数字冰冻盒",'装量配置'!$E$6:$E$718,"&gt;0")&gt;0,1,0)+IF(COUNTIFS('装量配置'!$A$6:$A$718,A86,'装量配置'!$B$6:$B$718,"开局",'装量配置'!$D$6:$D$718,"固定颜色盒",'装量配置'!$E$6:$E$718,"&gt;0")&gt;0,1,0)+IF(COUNTIFS('装量配置'!$A$6:$A$718,A86,'装量配置'!$B$6:$B$718,"开局",'装量配置'!$D$6:$D$718,"单向收纳盒",'装量配置'!$E$6:$E$718,"&gt;0")&gt;0,1,0)+IF(COUNTIFS('装量配置'!$A$6:$A$718,A86,'装量配置'!$B$6:$B$718,"开局",'装量配置'!$D$6:$D$718,"底部置顶盒",'装量配置'!$E$6:$E$718,"&gt;0")&gt;0,1,0)+IF(COUNTIFS('装量配置'!$A$6:$A$718,A86,'装量配置'!$B$6:$B$718,"开局",'装量配置'!$D$6:$D$718,"炸弹盒",'装量配置'!$E$6:$E$718,"&gt;0")&gt;0,1,0)</ns0:f>
        <ns0:v>1</ns0:v>
      </ns0:c>
      <ns0:c r="BB86" s="149" t="n">
        <ns0:f>SUMIFS('装量配置'!$E$6:$E$718,'装量配置'!$A$6:$A$718,A86,'装量配置'!$B$6:$B$718,"开局",'装量配置'!$D$6:$D$718,"数字盖盒")+SUMIFS('装量配置'!$E$6:$E$718,'装量配置'!$A$6:$A$718,A86,'装量配置'!$B$6:$B$718,"开局",'装量配置'!$D$6:$D$718,"普通冰冻盒")+SUMIFS('装量配置'!$E$6:$E$718,'装量配置'!$A$6:$A$718,A86,'装量配置'!$B$6:$B$718,"开局",'装量配置'!$D$6:$D$718,"数字冰冻盒")</ns0:f>
        <ns0:v>0</ns0:v>
      </ns0:c>
      <ns0:c r="BC86" s="149" t="n">
        <ns0:f>SUMIFS('装量配置'!$R$6:$R$718,'装量配置'!$A$6:$A$718,A86,'装量配置'!$B$6:$B$718,"开局")</ns0:f>
        <ns0:v>0</ns0:v>
      </ns0:c>
      <ns0:c r="BD86" s="146" t="str">
        <ns0:v>炸弹首次教学，七色全明牌、两只普通空盒、无补货；先在炸弹托内完成四同味解除。</ns0:v>
      </ns0:c>
      <ns0:c r="BE86" s="149" t="n">
        <ns0:v>1</ns0:v>
      </ns0:c>
      <ns0:c r="BF86" s="146" t="str">
        <ns0:v>首归纳及时交付，炸弹材料明牌；逐关试玩核对时限</ns0:v>
      </ns0:c>
    </ns0:row>
    <ns0:row r="87" ht="33" customHeight="1">
      <ns0:c r="A87" s="105" t="n">
        <ns0:v>82</ns0:v>
      </ns0:c>
      <ns0:c r="B87" s="117" t="str">
        <ns0:v>炸弹与节奏起伏</ns0:v>
      </ns0:c>
      <ns0:c r="C87" s="126" t="str">
        <ns0:v>炸弹练习</ns0:v>
      </ns0:c>
      <ns0:c r="D87" s="108" t="n">
        <ns0:v>4.3</ns0:v>
      </ns0:c>
      <ns0:c r="E87" s="123" t="str">
        <ns0:v>拆弹与归纳顺序</ns0:v>
      </ns0:c>
      <ns0:c r="F87" s="123" t="str">
        <ns0:v>机关与装量配合</ns0:v>
      </ns0:c>
      <ns0:c r="G87" s="105" t="str">
        <ns0:v>整齐</ns0:v>
      </ns0:c>
      <ns0:c r="H87" s="105" t="n">
        <ns0:v>7</ns0:v>
      </ns0:c>
      <ns0:c r="I87" s="105" t="n">
        <ns0:f>SUMIFS('装量配置'!$E$6:$E$718,'装量配置'!$A$6:$A$718,A87,'装量配置'!$B$6:$B$718,"开局",'装量配置'!$F$6:$F$718,4,'装量配置'!$G$6:$G$718,"&gt;0")</ns0:f>
        <ns0:v>17</ns0:v>
      </ns0:c>
      <ns0:c r="J87" s="105" t="n">
        <ns0:f>SUMIFS('装量配置'!$E$6:$E$718,'装量配置'!$A$6:$A$718,A87,'装量配置'!$B$6:$B$718,"备货")</ns0:f>
        <ns0:v>0</ns0:v>
      </ns0:c>
      <ns0:c r="K87" s="105" t="n">
        <ns0:v>15</ns0:v>
      </ns0:c>
      <ns0:c r="L87" s="105" t="n">
        <ns0:f>SUMIFS('装量配置'!$E$6:$E$718,'装量配置'!$A$6:$A$718,A87,'装量配置'!$B$6:$B$718,"开局",'装量配置'!$F$6:$F$718,4,'装量配置'!$G$6:$G$718,0,'装量配置'!$D$6:$D$718,"&lt;&gt;广告锁定周转盒")</ns0:f>
        <ns0:v>1</ns0:v>
      </ns0:c>
      <ns0:c r="M87" s="105" t="n">
        <ns0:f>SUMIFS('装量配置'!$E$6:$E$718,'装量配置'!$A$6:$A$718,A87,'装量配置'!$B$6:$B$718,"开局",'装量配置'!$F$6:$F$718,1)</ns0:f>
        <ns0:v>0</ns0:v>
      </ns0:c>
      <ns0:c r="N87" s="105" t="n">
        <ns0:f>SUMIFS('装量配置'!$E$6:$E$718,'装量配置'!$A$6:$A$718,A87,'装量配置'!$B$6:$B$718,"开局",'装量配置'!$D$6:$D$718,"广告锁定周转盒")</ns0:f>
        <ns0:v>2</ns0:v>
      </ns0:c>
      <ns0:c r="O87" s="105" t="n">
        <ns0:f>SUMIFS('装量配置'!$E$6:$E$718,'装量配置'!$A$6:$A$718,A87,'装量配置'!$B$6:$B$718,"开局")</ns0:f>
        <ns0:v>20</ns0:v>
      </ns0:c>
      <ns0:c r="P87" s="105" t="n">
        <ns0:f>SUMIFS('装量配置'!$K$6:$K$718,'装量配置'!$A$6:$A$718,A87)</ns0:f>
        <ns0:v>4</ns0:v>
      </ns0:c>
      <ns0:c r="Q87" s="105" t="n">
        <ns0:v>3</ns0:v>
      </ns0:c>
      <ns0:c r="R87" s="106" t="n">
        <ns0:v>0</ns0:v>
      </ns0:c>
      <ns0:c r="S87" s="106" t="n">
        <ns0:v>0.12</ns0:v>
      </ns0:c>
      <ns0:c r="T87" s="105" t="n">
        <ns0:v>2</ns0:v>
      </ns0:c>
      <ns0:c r="U87" s="105" t="n">
        <ns0:v>0</ns0:v>
      </ns0:c>
      <ns0:c r="V87" s="123" t="str">
        <ns0:v>炸弹盒</ns0:v>
      </ns0:c>
      <ns0:c r="W87" s="123"/>
      <ns0:c r="X87" s="123" t="str">
        <ns0:v>炸弹盒×1；拆弹倍率1.50，时限待真人校准</ns0:v>
      </ns0:c>
      <ns0:c r="Y87" s="105" t="n">
        <ns0:f>SUMIFS('装量配置'!$I$6:$I$718,'装量配置'!$A$6:$A$718,A87)</ns0:f>
        <ns0:v>60</ns0:v>
      </ns0:c>
      <ns0:c r="Z87" s="105" t="str">
        <ns0:f>IF(AND(O87&lt;=25,N87=2,Y87=K87*4,H87&lt;=K87,P87+AT87&gt;=4,COUNTIFS('装量配置'!$A$6:$A$718,A87,'装量配置'!$O$6:$O$718,"需调整")=0),"装量通过；待逐味","需调整")</ns0:f>
        <ns0:v>装量通过；待逐味</ns0:v>
      </ns0:c>
      <ns0:c r="AA87" s="107" t="str">
        <ns0:v>四条件可行路线已保存（非最短解）</ns0:v>
      </ns0:c>
      <ns0:c r="AB87" s="107"/>
      <ns0:c r="AC87" s="107"/>
      <ns0:c r="AD87" s="106" t="n">
        <ns0:v>0.65</ns0:v>
      </ns0:c>
      <ns0:c r="AE87" s="108" t="n">
        <ns0:v>6</ns0:v>
      </ns0:c>
      <ns0:c r="AF87" s="109"/>
      <ns0:c r="AG87" s="109"/>
      <ns0:c r="AH87" s="110"/>
      <ns0:c r="AI87" s="131" t="str">
        <ns0:v>固定层序；待连续真人试玩</ns0:v>
      </ns0:c>
      <ns0:c r="AJ87" s="123" t="str">
        <ns0:v>三颗炸弹练习，七色明牌，先腾挪再补齐本托；一只普通空盒，减轻倒计时下的信息负担。</ns0:v>
      </ns0:c>
      <ns0:c r="AK87" s="123" t="str">
        <ns0:v>连续居中，按盒数分排</ns0:v>
      </ns0:c>
      <ns0:c r="AL87" s="105" t="n">
        <ns0:v>1</ns0:v>
      </ns0:c>
      <ns0:c r="AM87" s="106" t="n">
        <ns0:v>0.78</ns0:v>
      </ns0:c>
      <ns0:c r="AN87" s="107"/>
      <ns0:c r="AO87" s="110"/>
      <ns0:c r="AP87" s="123" t="str">
        <ns0:v>双锁／单开A／单开B／双开完整回放</ns0:v>
      </ns0:c>
      <ns0:c r="AQ87" s="107"/>
      <ns0:c r="AR87" s="121" t="n">
        <ns0:f>SUMIFS('装量配置'!$I$6:$I$718,'装量配置'!$A$6:$A$718,A87,'装量配置'!$B$6:$B$718,"开局")</ns0:f>
        <ns0:v>60</ns0:v>
      </ns0:c>
      <ns0:c r="AS87" s="133" t="n">
        <ns0:f>SUMIFS('装量配置'!$I$6:$I$718,'装量配置'!$A$6:$A$718,A87,'装量配置'!$B$6:$B$718,"开局",'装量配置'!$D$6:$D$718,"普通盒",'装量配置'!$G$6:$G$718,"&gt;0")/(4*SUMIFS('装量配置'!$E$6:$E$718,'装量配置'!$A$6:$A$718,A87,'装量配置'!$B$6:$B$718,"开局",'装量配置'!$D$6:$D$718,"普通盒",'装量配置'!$G$6:$G$718,"&gt;0"))</ns0:f>
        <ns0:v>0.890625</ns0:v>
      </ns0:c>
      <ns0:c r="AT87" s="121" t="n">
        <ns0:f>SUMIFS('装量配置'!$L$6:$L$718,'装量配置'!$A$6:$A$718,A87)</ns0:f>
        <ns0:v>8</ns0:v>
      </ns0:c>
      <ns0:c r="AU87" s="121" t="n">
        <ns0:f>SUMIFS('装量配置'!$M$6:$M$718,'装量配置'!$A$6:$A$718,A87)</ns0:f>
        <ns0:v>0</ns0:v>
      </ns0:c>
      <ns0:c r="AV87" s="121" t="n">
        <ns0:f>SUMIFS('装量配置'!$N$6:$N$718,'装量配置'!$A$6:$A$718,A87)</ns0:f>
        <ns0:v>0</ns0:v>
      </ns0:c>
      <ns0:c r="AW87" s="133" t="n">
        <ns0:v>0.18</ns0:v>
      </ns0:c>
      <ns0:c r="AX87" s="121" t="n">
        <ns0:v>4</ns0:v>
      </ns0:c>
      <ns0:c r="AY87" s="121" t="n">
        <ns0:f>IF(AX87=1,1,0)</ns0:f>
        <ns0:v>0</ns0:v>
      </ns0:c>
      <ns0:c r="AZ87" s="121" t="n">
        <ns0:f>SUMIFS('装量配置'!$E$6:$E$718,'装量配置'!$A$6:$A$718,A87,'装量配置'!$B$6:$B$718,"开局",'装量配置'!$D$6:$D$718,"&lt;&gt;普通盒",'装量配置'!$D$6:$D$718,"&lt;&gt;广告锁定周转盒")</ns0:f>
        <ns0:v>1</ns0:v>
      </ns0:c>
      <ns0:c r="BA87" s="150" t="n">
        <ns0:f>IF(COUNTIFS('装量配置'!$A$6:$A$718,A87,'装量配置'!$B$6:$B$718,"开局",'装量配置'!$D$6:$D$718,"数字盖盒",'装量配置'!$E$6:$E$718,"&gt;0")&gt;0,1,0)+IF(COUNTIFS('装量配置'!$A$6:$A$718,A87,'装量配置'!$B$6:$B$718,"开局",'装量配置'!$D$6:$D$718,"普通冰冻盒",'装量配置'!$E$6:$E$718,"&gt;0")&gt;0,1,0)+IF(COUNTIFS('装量配置'!$A$6:$A$718,A87,'装量配置'!$B$6:$B$718,"开局",'装量配置'!$D$6:$D$718,"单颗暂存盒",'装量配置'!$E$6:$E$718,"&gt;0")&gt;0,1,0)+IF(COUNTIFS('装量配置'!$A$6:$A$718,A87,'装量配置'!$B$6:$B$718,"开局",'装量配置'!$D$6:$D$718,"数字冰冻盒",'装量配置'!$E$6:$E$718,"&gt;0")&gt;0,1,0)+IF(COUNTIFS('装量配置'!$A$6:$A$718,A87,'装量配置'!$B$6:$B$718,"开局",'装量配置'!$D$6:$D$718,"固定颜色盒",'装量配置'!$E$6:$E$718,"&gt;0")&gt;0,1,0)+IF(COUNTIFS('装量配置'!$A$6:$A$718,A87,'装量配置'!$B$6:$B$718,"开局",'装量配置'!$D$6:$D$718,"单向收纳盒",'装量配置'!$E$6:$E$718,"&gt;0")&gt;0,1,0)+IF(COUNTIFS('装量配置'!$A$6:$A$718,A87,'装量配置'!$B$6:$B$718,"开局",'装量配置'!$D$6:$D$718,"底部置顶盒",'装量配置'!$E$6:$E$718,"&gt;0")&gt;0,1,0)+IF(COUNTIFS('装量配置'!$A$6:$A$718,A87,'装量配置'!$B$6:$B$718,"开局",'装量配置'!$D$6:$D$718,"炸弹盒",'装量配置'!$E$6:$E$718,"&gt;0")&gt;0,1,0)</ns0:f>
        <ns0:v>1</ns0:v>
      </ns0:c>
      <ns0:c r="BB87" s="150" t="n">
        <ns0:f>SUMIFS('装量配置'!$E$6:$E$718,'装量配置'!$A$6:$A$718,A87,'装量配置'!$B$6:$B$718,"开局",'装量配置'!$D$6:$D$718,"数字盖盒")+SUMIFS('装量配置'!$E$6:$E$718,'装量配置'!$A$6:$A$718,A87,'装量配置'!$B$6:$B$718,"开局",'装量配置'!$D$6:$D$718,"普通冰冻盒")+SUMIFS('装量配置'!$E$6:$E$718,'装量配置'!$A$6:$A$718,A87,'装量配置'!$B$6:$B$718,"开局",'装量配置'!$D$6:$D$718,"数字冰冻盒")</ns0:f>
        <ns0:v>0</ns0:v>
      </ns0:c>
      <ns0:c r="BC87" s="150" t="n">
        <ns0:f>SUMIFS('装量配置'!$R$6:$R$718,'装量配置'!$A$6:$A$718,A87,'装量配置'!$B$6:$B$718,"开局")</ns0:f>
        <ns0:v>0</ns0:v>
      </ns0:c>
      <ns0:c r="BD87" s="148" t="str">
        <ns0:v>三颗炸弹练习，七色明牌，先腾挪再补齐本托；一只普通空盒，减轻倒计时下的信息负担。</ns0:v>
      </ns0:c>
      <ns0:c r="BE87" s="150" t="n">
        <ns0:v>2</ns0:v>
      </ns0:c>
      <ns0:c r="BF87" s="148" t="str">
        <ns0:v>首归纳及时交付，炸弹材料明牌；逐关试玩核对时限</ns0:v>
      </ns0:c>
    </ns0:row>
    <ns0:row r="88" ht="33" customHeight="1">
      <ns0:c r="A88" s="112" t="n">
        <ns0:v>83</ns0:v>
      </ns0:c>
      <ns0:c r="B88" s="119" t="str">
        <ns0:v>炸弹与节奏起伏</ns0:v>
      </ns0:c>
      <ns0:c r="C88" s="127" t="str">
        <ns0:v>机制组合</ns0:v>
      </ns0:c>
      <ns0:c r="D88" s="114" t="n">
        <ns0:v>4.8</ns0:v>
      </ns0:c>
      <ns0:c r="E88" s="124" t="str">
        <ns0:v>拆弹与归纳顺序</ns0:v>
      </ns0:c>
      <ns0:c r="F88" s="124" t="str">
        <ns0:v>机关与装量配合</ns0:v>
      </ns0:c>
      <ns0:c r="G88" s="112" t="str">
        <ns0:v>错落</ns0:v>
      </ns0:c>
      <ns0:c r="H88" s="112" t="n">
        <ns0:v>8</ns0:v>
      </ns0:c>
      <ns0:c r="I88" s="112" t="n">
        <ns0:f>SUMIFS('装量配置'!$E$6:$E$718,'装量配置'!$A$6:$A$718,A88,'装量配置'!$B$6:$B$718,"开局",'装量配置'!$F$6:$F$718,4,'装量配置'!$G$6:$G$718,"&gt;0")</ns0:f>
        <ns0:v>16</ns0:v>
      </ns0:c>
      <ns0:c r="J88" s="112" t="n">
        <ns0:f>SUMIFS('装量配置'!$E$6:$E$718,'装量配置'!$A$6:$A$718,A88,'装量配置'!$B$6:$B$718,"备货")</ns0:f>
        <ns0:v>0</ns0:v>
      </ns0:c>
      <ns0:c r="K88" s="112" t="n">
        <ns0:v>15</ns0:v>
      </ns0:c>
      <ns0:c r="L88" s="112" t="n">
        <ns0:f>SUMIFS('装量配置'!$E$6:$E$718,'装量配置'!$A$6:$A$718,A88,'装量配置'!$B$6:$B$718,"开局",'装量配置'!$F$6:$F$718,4,'装量配置'!$G$6:$G$718,0,'装量配置'!$D$6:$D$718,"&lt;&gt;广告锁定周转盒")</ns0:f>
        <ns0:v>1</ns0:v>
      </ns0:c>
      <ns0:c r="M88" s="112" t="n">
        <ns0:f>SUMIFS('装量配置'!$E$6:$E$718,'装量配置'!$A$6:$A$718,A88,'装量配置'!$B$6:$B$718,"开局",'装量配置'!$F$6:$F$718,1)</ns0:f>
        <ns0:v>0</ns0:v>
      </ns0:c>
      <ns0:c r="N88" s="112" t="n">
        <ns0:f>SUMIFS('装量配置'!$E$6:$E$718,'装量配置'!$A$6:$A$718,A88,'装量配置'!$B$6:$B$718,"开局",'装量配置'!$D$6:$D$718,"广告锁定周转盒")</ns0:f>
        <ns0:v>2</ns0:v>
      </ns0:c>
      <ns0:c r="O88" s="112" t="n">
        <ns0:f>SUMIFS('装量配置'!$E$6:$E$718,'装量配置'!$A$6:$A$718,A88,'装量配置'!$B$6:$B$718,"开局")</ns0:f>
        <ns0:v>19</ns0:v>
      </ns0:c>
      <ns0:c r="P88" s="112" t="n">
        <ns0:f>SUMIFS('装量配置'!$K$6:$K$718,'装量配置'!$A$6:$A$718,A88)</ns0:f>
        <ns0:v>4</ns0:v>
      </ns0:c>
      <ns0:c r="Q88" s="112" t="n">
        <ns0:v>4</ns0:v>
      </ns0:c>
      <ns0:c r="R88" s="113" t="n">
        <ns0:v>0</ns0:v>
      </ns0:c>
      <ns0:c r="S88" s="113" t="n">
        <ns0:v>0.12</ns0:v>
      </ns0:c>
      <ns0:c r="T88" s="112" t="n">
        <ns0:v>3</ns0:v>
      </ns0:c>
      <ns0:c r="U88" s="112" t="n">
        <ns0:v>0</ns0:v>
      </ns0:c>
      <ns0:c r="V88" s="124" t="str">
        <ns0:v>炸弹盒</ns0:v>
      </ns0:c>
      <ns0:c r="W88" s="124" t="str">
        <ns0:v>底部置顶盒</ns0:v>
      </ns0:c>
      <ns0:c r="X88" s="124" t="str">
        <ns0:v>炸弹盒×1；底部置顶盒×1；拆弹倍率1.35，时限待真人校准</ns0:v>
      </ns0:c>
      <ns0:c r="Y88" s="112" t="n">
        <ns0:f>SUMIFS('装量配置'!$I$6:$I$718,'装量配置'!$A$6:$A$718,A88)</ns0:f>
        <ns0:v>60</ns0:v>
      </ns0:c>
      <ns0:c r="Z88" s="112" t="str">
        <ns0:f>IF(AND(O88&lt;=25,N88=2,Y88=K88*4,H88&lt;=K88,P88+AT88&gt;=4,COUNTIFS('装量配置'!$A$6:$A$718,A88,'装量配置'!$O$6:$O$718,"需调整")=0),"装量通过；待逐味","需调整")</ns0:f>
        <ns0:v>装量通过；待逐味</ns0:v>
      </ns0:c>
      <ns0:c r="AA88" s="107" t="str">
        <ns0:v>四条件可行路线已保存（非最短解）</ns0:v>
      </ns0:c>
      <ns0:c r="AB88" s="107"/>
      <ns0:c r="AC88" s="107"/>
      <ns0:c r="AD88" s="113" t="n">
        <ns0:v>0.48</ns0:v>
      </ns0:c>
      <ns0:c r="AE88" s="114" t="n">
        <ns0:v>6</ns0:v>
      </ns0:c>
      <ns0:c r="AF88" s="109"/>
      <ns0:c r="AG88" s="109"/>
      <ns0:c r="AH88" s="110"/>
      <ns0:c r="AI88" s="131" t="str">
        <ns0:v>固定层序；待连续真人试玩</ns0:v>
      </ns0:c>
      <ns0:c r="AJ88" s="124" t="str">
        <ns0:v>炸弹配循环供料，先拆弹再整理；明牌、无补货，观察换顶与拆弹的取料顺序。</ns0:v>
      </ns0:c>
      <ns0:c r="AK88" s="124" t="str">
        <ns0:v>连续居中，按盒数分排</ns0:v>
      </ns0:c>
      <ns0:c r="AL88" s="112" t="n">
        <ns0:v>1</ns0:v>
      </ns0:c>
      <ns0:c r="AM88" s="113" t="n">
        <ns0:v>0.78</ns0:v>
      </ns0:c>
      <ns0:c r="AN88" s="112"/>
      <ns0:c r="AO88" s="113"/>
      <ns0:c r="AP88" s="124" t="str">
        <ns0:v>双锁／单开A／单开B／双开完整回放</ns0:v>
      </ns0:c>
      <ns0:c r="AQ88" s="107"/>
      <ns0:c r="AR88" s="120" t="n">
        <ns0:f>SUMIFS('装量配置'!$I$6:$I$718,'装量配置'!$A$6:$A$718,A88,'装量配置'!$B$6:$B$718,"开局")</ns0:f>
        <ns0:v>60</ns0:v>
      </ns0:c>
      <ns0:c r="AS88" s="132" t="n">
        <ns0:f>SUMIFS('装量配置'!$I$6:$I$718,'装量配置'!$A$6:$A$718,A88,'装量配置'!$B$6:$B$718,"开局",'装量配置'!$D$6:$D$718,"普通盒",'装量配置'!$G$6:$G$718,"&gt;0")/(4*SUMIFS('装量配置'!$E$6:$E$718,'装量配置'!$A$6:$A$718,A88,'装量配置'!$B$6:$B$718,"开局",'装量配置'!$D$6:$D$718,"普通盒",'装量配置'!$G$6:$G$718,"&gt;0"))</ns0:f>
        <ns0:v>0.9285714285714286</ns0:v>
      </ns0:c>
      <ns0:c r="AT88" s="120" t="n">
        <ns0:f>SUMIFS('装量配置'!$L$6:$L$718,'装量配置'!$A$6:$A$718,A88)</ns0:f>
        <ns0:v>4</ns0:v>
      </ns0:c>
      <ns0:c r="AU88" s="120" t="n">
        <ns0:f>SUMIFS('装量配置'!$M$6:$M$718,'装量配置'!$A$6:$A$718,A88)</ns0:f>
        <ns0:v>0</ns0:v>
      </ns0:c>
      <ns0:c r="AV88" s="120" t="n">
        <ns0:f>SUMIFS('装量配置'!$N$6:$N$718,'装量配置'!$A$6:$A$718,A88)</ns0:f>
        <ns0:v>0</ns0:v>
      </ns0:c>
      <ns0:c r="AW88" s="132" t="n">
        <ns0:v>0.18</ns0:v>
      </ns0:c>
      <ns0:c r="AX88" s="120" t="n">
        <ns0:v>4</ns0:v>
      </ns0:c>
      <ns0:c r="AY88" s="120" t="n">
        <ns0:f>IF(AX88=1,1,0)</ns0:f>
        <ns0:v>0</ns0:v>
      </ns0:c>
      <ns0:c r="AZ88" s="120" t="n">
        <ns0:f>SUMIFS('装量配置'!$E$6:$E$718,'装量配置'!$A$6:$A$718,A88,'装量配置'!$B$6:$B$718,"开局",'装量配置'!$D$6:$D$718,"&lt;&gt;普通盒",'装量配置'!$D$6:$D$718,"&lt;&gt;广告锁定周转盒")</ns0:f>
        <ns0:v>2</ns0:v>
      </ns0:c>
      <ns0:c r="BA88" s="149" t="n">
        <ns0:f>IF(COUNTIFS('装量配置'!$A$6:$A$718,A88,'装量配置'!$B$6:$B$718,"开局",'装量配置'!$D$6:$D$718,"数字盖盒",'装量配置'!$E$6:$E$718,"&gt;0")&gt;0,1,0)+IF(COUNTIFS('装量配置'!$A$6:$A$718,A88,'装量配置'!$B$6:$B$718,"开局",'装量配置'!$D$6:$D$718,"普通冰冻盒",'装量配置'!$E$6:$E$718,"&gt;0")&gt;0,1,0)+IF(COUNTIFS('装量配置'!$A$6:$A$718,A88,'装量配置'!$B$6:$B$718,"开局",'装量配置'!$D$6:$D$718,"单颗暂存盒",'装量配置'!$E$6:$E$718,"&gt;0")&gt;0,1,0)+IF(COUNTIFS('装量配置'!$A$6:$A$718,A88,'装量配置'!$B$6:$B$718,"开局",'装量配置'!$D$6:$D$718,"数字冰冻盒",'装量配置'!$E$6:$E$718,"&gt;0")&gt;0,1,0)+IF(COUNTIFS('装量配置'!$A$6:$A$718,A88,'装量配置'!$B$6:$B$718,"开局",'装量配置'!$D$6:$D$718,"固定颜色盒",'装量配置'!$E$6:$E$718,"&gt;0")&gt;0,1,0)+IF(COUNTIFS('装量配置'!$A$6:$A$718,A88,'装量配置'!$B$6:$B$718,"开局",'装量配置'!$D$6:$D$718,"单向收纳盒",'装量配置'!$E$6:$E$718,"&gt;0")&gt;0,1,0)+IF(COUNTIFS('装量配置'!$A$6:$A$718,A88,'装量配置'!$B$6:$B$718,"开局",'装量配置'!$D$6:$D$718,"底部置顶盒",'装量配置'!$E$6:$E$718,"&gt;0")&gt;0,1,0)+IF(COUNTIFS('装量配置'!$A$6:$A$718,A88,'装量配置'!$B$6:$B$718,"开局",'装量配置'!$D$6:$D$718,"炸弹盒",'装量配置'!$E$6:$E$718,"&gt;0")&gt;0,1,0)</ns0:f>
        <ns0:v>2</ns0:v>
      </ns0:c>
      <ns0:c r="BB88" s="149" t="n">
        <ns0:f>SUMIFS('装量配置'!$E$6:$E$718,'装量配置'!$A$6:$A$718,A88,'装量配置'!$B$6:$B$718,"开局",'装量配置'!$D$6:$D$718,"数字盖盒")+SUMIFS('装量配置'!$E$6:$E$718,'装量配置'!$A$6:$A$718,A88,'装量配置'!$B$6:$B$718,"开局",'装量配置'!$D$6:$D$718,"普通冰冻盒")+SUMIFS('装量配置'!$E$6:$E$718,'装量配置'!$A$6:$A$718,A88,'装量配置'!$B$6:$B$718,"开局",'装量配置'!$D$6:$D$718,"数字冰冻盒")</ns0:f>
        <ns0:v>0</ns0:v>
      </ns0:c>
      <ns0:c r="BC88" s="149" t="n">
        <ns0:f>SUMIFS('装量配置'!$R$6:$R$718,'装量配置'!$A$6:$A$718,A88,'装量配置'!$B$6:$B$718,"开局")</ns0:f>
        <ns0:v>0</ns0:v>
      </ns0:c>
      <ns0:c r="BD88" s="146" t="str">
        <ns0:v>炸弹配循环供料，先拆弹再整理；明牌、无补货，观察换顶与拆弹的取料顺序。</ns0:v>
      </ns0:c>
      <ns0:c r="BE88" s="149" t="n">
        <ns0:v>3</ns0:v>
      </ns0:c>
      <ns0:c r="BF88" s="146" t="str">
        <ns0:v>首归纳及时交付，炸弹材料明牌；逐关试玩核对时限</ns0:v>
      </ns0:c>
    </ns0:row>
    <ns0:row r="89" ht="33" customHeight="1">
      <ns0:c r="A89" s="105" t="n">
        <ns0:v>84</ns0:v>
      </ns0:c>
      <ns0:c r="B89" s="117" t="str">
        <ns0:v>炸弹与节奏起伏</ns0:v>
      </ns0:c>
      <ns0:c r="C89" s="126" t="str">
        <ns0:v>缓和巩固</ns0:v>
      </ns0:c>
      <ns0:c r="D89" s="108" t="n">
        <ns0:v>4.6</ns0:v>
      </ns0:c>
      <ns0:c r="E89" s="123" t="str">
        <ns0:v>拆弹与归纳顺序</ns0:v>
      </ns0:c>
      <ns0:c r="F89" s="123" t="str">
        <ns0:v>机关与装量配合</ns0:v>
      </ns0:c>
      <ns0:c r="G89" s="105" t="str">
        <ns0:v>整齐</ns0:v>
      </ns0:c>
      <ns0:c r="H89" s="105" t="n">
        <ns0:v>7</ns0:v>
      </ns0:c>
      <ns0:c r="I89" s="105" t="n">
        <ns0:f>SUMIFS('装量配置'!$E$6:$E$718,'装量配置'!$A$6:$A$718,A89,'装量配置'!$B$6:$B$718,"开局",'装量配置'!$F$6:$F$718,4,'装量配置'!$G$6:$G$718,"&gt;0")</ns0:f>
        <ns0:v>15</ns0:v>
      </ns0:c>
      <ns0:c r="J89" s="105" t="n">
        <ns0:f>SUMIFS('装量配置'!$E$6:$E$718,'装量配置'!$A$6:$A$718,A89,'装量配置'!$B$6:$B$718,"备货")</ns0:f>
        <ns0:v>1</ns0:v>
      </ns0:c>
      <ns0:c r="K89" s="105" t="n">
        <ns0:v>15</ns0:v>
      </ns0:c>
      <ns0:c r="L89" s="105" t="n">
        <ns0:f>SUMIFS('装量配置'!$E$6:$E$718,'装量配置'!$A$6:$A$718,A89,'装量配置'!$B$6:$B$718,"开局",'装量配置'!$F$6:$F$718,4,'装量配置'!$G$6:$G$718,0,'装量配置'!$D$6:$D$718,"&lt;&gt;广告锁定周转盒")</ns0:f>
        <ns0:v>2</ns0:v>
      </ns0:c>
      <ns0:c r="M89" s="105" t="n">
        <ns0:f>SUMIFS('装量配置'!$E$6:$E$718,'装量配置'!$A$6:$A$718,A89,'装量配置'!$B$6:$B$718,"开局",'装量配置'!$F$6:$F$718,1)</ns0:f>
        <ns0:v>0</ns0:v>
      </ns0:c>
      <ns0:c r="N89" s="105" t="n">
        <ns0:f>SUMIFS('装量配置'!$E$6:$E$718,'装量配置'!$A$6:$A$718,A89,'装量配置'!$B$6:$B$718,"开局",'装量配置'!$D$6:$D$718,"广告锁定周转盒")</ns0:f>
        <ns0:v>2</ns0:v>
      </ns0:c>
      <ns0:c r="O89" s="105" t="n">
        <ns0:f>SUMIFS('装量配置'!$E$6:$E$718,'装量配置'!$A$6:$A$718,A89,'装量配置'!$B$6:$B$718,"开局")</ns0:f>
        <ns0:v>19</ns0:v>
      </ns0:c>
      <ns0:c r="P89" s="105" t="n">
        <ns0:f>SUMIFS('装量配置'!$K$6:$K$718,'装量配置'!$A$6:$A$718,A89)</ns0:f>
        <ns0:v>4</ns0:v>
      </ns0:c>
      <ns0:c r="Q89" s="105" t="n">
        <ns0:v>4</ns0:v>
      </ns0:c>
      <ns0:c r="R89" s="106" t="n">
        <ns0:v>0</ns0:v>
      </ns0:c>
      <ns0:c r="S89" s="106" t="n">
        <ns0:v>0.12</ns0:v>
      </ns0:c>
      <ns0:c r="T89" s="105" t="n">
        <ns0:v>3</ns0:v>
      </ns0:c>
      <ns0:c r="U89" s="105" t="n">
        <ns0:v>3</ns0:v>
      </ns0:c>
      <ns0:c r="V89" s="123" t="str">
        <ns0:v>固定颜色盒</ns0:v>
      </ns0:c>
      <ns0:c r="W89" s="123" t="str">
        <ns0:v>普通冰冻盒</ns0:v>
      </ns0:c>
      <ns0:c r="X89" s="123" t="str">
        <ns0:v>固定颜色盒×1；普通冰冻盒×1</ns0:v>
      </ns0:c>
      <ns0:c r="Y89" s="105" t="n">
        <ns0:f>SUMIFS('装量配置'!$I$6:$I$718,'装量配置'!$A$6:$A$718,A89)</ns0:f>
        <ns0:v>60</ns0:v>
      </ns0:c>
      <ns0:c r="Z89" s="105" t="str">
        <ns0:f>IF(AND(O89&lt;=25,N89=2,Y89=K89*4,H89&lt;=K89,P89+AT89&gt;=4,COUNTIFS('装量配置'!$A$6:$A$718,A89,'装量配置'!$O$6:$O$718,"需调整")=0),"装量通过；待逐味","需调整")</ns0:f>
        <ns0:v>装量通过；待逐味</ns0:v>
      </ns0:c>
      <ns0:c r="AA89" s="107" t="str">
        <ns0:v>四条件可行路线已保存（非最短解）</ns0:v>
      </ns0:c>
      <ns0:c r="AB89" s="107"/>
      <ns0:c r="AC89" s="107"/>
      <ns0:c r="AD89" s="106" t="n">
        <ns0:v>0.59</ns0:v>
      </ns0:c>
      <ns0:c r="AE89" s="108" t="n">
        <ns0:v>5.5</ns0:v>
      </ns0:c>
      <ns0:c r="AF89" s="109"/>
      <ns0:c r="AG89" s="109"/>
      <ns0:c r="AH89" s="110"/>
      <ns0:c r="AI89" s="131" t="str">
        <ns0:v>固定层序；待连续真人试玩</ns0:v>
      </ns0:c>
      <ns0:c r="AJ89" s="123" t="str">
        <ns0:v>撤去倒计时，七色固定口味托与普通冰冻配一次补货，作为缓和关。</ns0:v>
      </ns0:c>
      <ns0:c r="AK89" s="123" t="str">
        <ns0:v>连续居中，按盒数分排</ns0:v>
      </ns0:c>
      <ns0:c r="AL89" s="105" t="n">
        <ns0:v>1</ns0:v>
      </ns0:c>
      <ns0:c r="AM89" s="106" t="n">
        <ns0:v>0.78</ns0:v>
      </ns0:c>
      <ns0:c r="AN89" s="107"/>
      <ns0:c r="AO89" s="110"/>
      <ns0:c r="AP89" s="123" t="str">
        <ns0:v>双锁／单开A／单开B／双开完整回放</ns0:v>
      </ns0:c>
      <ns0:c r="AQ89" s="107"/>
      <ns0:c r="AR89" s="121" t="n">
        <ns0:f>SUMIFS('装量配置'!$I$6:$I$718,'装量配置'!$A$6:$A$718,A89,'装量配置'!$B$6:$B$718,"开局")</ns0:f>
        <ns0:v>56</ns0:v>
      </ns0:c>
      <ns0:c r="AS89" s="133" t="n">
        <ns0:f>SUMIFS('装量配置'!$I$6:$I$718,'装量配置'!$A$6:$A$718,A89,'装量配置'!$B$6:$B$718,"开局",'装量配置'!$D$6:$D$718,"普通盒",'装量配置'!$G$6:$G$718,"&gt;0")/(4*SUMIFS('装量配置'!$E$6:$E$718,'装量配置'!$A$6:$A$718,A89,'装量配置'!$B$6:$B$718,"开局",'装量配置'!$D$6:$D$718,"普通盒",'装量配置'!$G$6:$G$718,"&gt;0"))</ns0:f>
        <ns0:v>0.9285714285714286</ns0:v>
      </ns0:c>
      <ns0:c r="AT89" s="121" t="n">
        <ns0:f>SUMIFS('装量配置'!$L$6:$L$718,'装量配置'!$A$6:$A$718,A89)</ns0:f>
        <ns0:v>4</ns0:v>
      </ns0:c>
      <ns0:c r="AU89" s="121" t="n">
        <ns0:f>SUMIFS('装量配置'!$M$6:$M$718,'装量配置'!$A$6:$A$718,A89)</ns0:f>
        <ns0:v>4</ns0:v>
      </ns0:c>
      <ns0:c r="AV89" s="121" t="n">
        <ns0:f>SUMIFS('装量配置'!$N$6:$N$718,'装量配置'!$A$6:$A$718,A89)</ns0:f>
        <ns0:v>0</ns0:v>
      </ns0:c>
      <ns0:c r="AW89" s="133" t="n">
        <ns0:v>0.18</ns0:v>
      </ns0:c>
      <ns0:c r="AX89" s="121" t="n">
        <ns0:v>4</ns0:v>
      </ns0:c>
      <ns0:c r="AY89" s="121" t="n">
        <ns0:f>IF(AX89=1,1,0)</ns0:f>
        <ns0:v>0</ns0:v>
      </ns0:c>
      <ns0:c r="AZ89" s="121" t="n">
        <ns0:f>SUMIFS('装量配置'!$E$6:$E$718,'装量配置'!$A$6:$A$718,A89,'装量配置'!$B$6:$B$718,"开局",'装量配置'!$D$6:$D$718,"&lt;&gt;普通盒",'装量配置'!$D$6:$D$718,"&lt;&gt;广告锁定周转盒")</ns0:f>
        <ns0:v>2</ns0:v>
      </ns0:c>
      <ns0:c r="BA89" s="150" t="n">
        <ns0:f>IF(COUNTIFS('装量配置'!$A$6:$A$718,A89,'装量配置'!$B$6:$B$718,"开局",'装量配置'!$D$6:$D$718,"数字盖盒",'装量配置'!$E$6:$E$718,"&gt;0")&gt;0,1,0)+IF(COUNTIFS('装量配置'!$A$6:$A$718,A89,'装量配置'!$B$6:$B$718,"开局",'装量配置'!$D$6:$D$718,"普通冰冻盒",'装量配置'!$E$6:$E$718,"&gt;0")&gt;0,1,0)+IF(COUNTIFS('装量配置'!$A$6:$A$718,A89,'装量配置'!$B$6:$B$718,"开局",'装量配置'!$D$6:$D$718,"单颗暂存盒",'装量配置'!$E$6:$E$718,"&gt;0")&gt;0,1,0)+IF(COUNTIFS('装量配置'!$A$6:$A$718,A89,'装量配置'!$B$6:$B$718,"开局",'装量配置'!$D$6:$D$718,"数字冰冻盒",'装量配置'!$E$6:$E$718,"&gt;0")&gt;0,1,0)+IF(COUNTIFS('装量配置'!$A$6:$A$718,A89,'装量配置'!$B$6:$B$718,"开局",'装量配置'!$D$6:$D$718,"固定颜色盒",'装量配置'!$E$6:$E$718,"&gt;0")&gt;0,1,0)+IF(COUNTIFS('装量配置'!$A$6:$A$718,A89,'装量配置'!$B$6:$B$718,"开局",'装量配置'!$D$6:$D$718,"单向收纳盒",'装量配置'!$E$6:$E$718,"&gt;0")&gt;0,1,0)+IF(COUNTIFS('装量配置'!$A$6:$A$718,A89,'装量配置'!$B$6:$B$718,"开局",'装量配置'!$D$6:$D$718,"底部置顶盒",'装量配置'!$E$6:$E$718,"&gt;0")&gt;0,1,0)+IF(COUNTIFS('装量配置'!$A$6:$A$718,A89,'装量配置'!$B$6:$B$718,"开局",'装量配置'!$D$6:$D$718,"炸弹盒",'装量配置'!$E$6:$E$718,"&gt;0")&gt;0,1,0)</ns0:f>
        <ns0:v>2</ns0:v>
      </ns0:c>
      <ns0:c r="BB89" s="150" t="n">
        <ns0:f>SUMIFS('装量配置'!$E$6:$E$718,'装量配置'!$A$6:$A$718,A89,'装量配置'!$B$6:$B$718,"开局",'装量配置'!$D$6:$D$718,"数字盖盒")+SUMIFS('装量配置'!$E$6:$E$718,'装量配置'!$A$6:$A$718,A89,'装量配置'!$B$6:$B$718,"开局",'装量配置'!$D$6:$D$718,"普通冰冻盒")+SUMIFS('装量配置'!$E$6:$E$718,'装量配置'!$A$6:$A$718,A89,'装量配置'!$B$6:$B$718,"开局",'装量配置'!$D$6:$D$718,"数字冰冻盒")</ns0:f>
        <ns0:v>1</ns0:v>
      </ns0:c>
      <ns0:c r="BC89" s="150" t="n">
        <ns0:f>SUMIFS('装量配置'!$R$6:$R$718,'装量配置'!$A$6:$A$718,A89,'装量配置'!$B$6:$B$718,"开局")</ns0:f>
        <ns0:v>0</ns0:v>
      </ns0:c>
      <ns0:c r="BD89" s="148" t="str">
        <ns0:v>撤去倒计时，七色固定口味托与普通冰冻配一次补货，作为缓和关。</ns0:v>
      </ns0:c>
      <ns0:c r="BE89" s="150" t="n">
        <ns0:v>2</ns0:v>
      </ns0:c>
      <ns0:c r="BF89" s="148" t="str">
        <ns0:v>首归纳及时交付，炸弹材料明牌；逐关试玩核对时限</ns0:v>
      </ns0:c>
    </ns0:row>
    <ns0:row r="90" ht="33" customHeight="1">
      <ns0:c r="A90" s="112" t="n">
        <ns0:v>85</ns0:v>
      </ns0:c>
      <ns0:c r="B90" s="119" t="str">
        <ns0:v>炸弹与节奏起伏</ns0:v>
      </ns0:c>
      <ns0:c r="C90" s="127" t="str">
        <ns0:v>机制组合</ns0:v>
      </ns0:c>
      <ns0:c r="D90" s="114" t="n">
        <ns0:v>4.8</ns0:v>
      </ns0:c>
      <ns0:c r="E90" s="124" t="str">
        <ns0:v>拆弹与归纳顺序</ns0:v>
      </ns0:c>
      <ns0:c r="F90" s="124" t="str">
        <ns0:v>机关与装量配合</ns0:v>
      </ns0:c>
      <ns0:c r="G90" s="112" t="str">
        <ns0:v>错落</ns0:v>
      </ns0:c>
      <ns0:c r="H90" s="112" t="n">
        <ns0:v>8</ns0:v>
      </ns0:c>
      <ns0:c r="I90" s="112" t="n">
        <ns0:f>SUMIFS('装量配置'!$E$6:$E$718,'装量配置'!$A$6:$A$718,A90,'装量配置'!$B$6:$B$718,"开局",'装量配置'!$F$6:$F$718,4,'装量配置'!$G$6:$G$718,"&gt;0")</ns0:f>
        <ns0:v>15</ns0:v>
      </ns0:c>
      <ns0:c r="J90" s="112" t="n">
        <ns0:f>SUMIFS('装量配置'!$E$6:$E$718,'装量配置'!$A$6:$A$718,A90,'装量配置'!$B$6:$B$718,"备货")</ns0:f>
        <ns0:v>0</ns0:v>
      </ns0:c>
      <ns0:c r="K90" s="112" t="n">
        <ns0:v>14</ns0:v>
      </ns0:c>
      <ns0:c r="L90" s="112" t="n">
        <ns0:f>SUMIFS('装量配置'!$E$6:$E$718,'装量配置'!$A$6:$A$718,A90,'装量配置'!$B$6:$B$718,"开局",'装量配置'!$F$6:$F$718,4,'装量配置'!$G$6:$G$718,0,'装量配置'!$D$6:$D$718,"&lt;&gt;广告锁定周转盒")</ns0:f>
        <ns0:v>2</ns0:v>
      </ns0:c>
      <ns0:c r="M90" s="112" t="n">
        <ns0:f>SUMIFS('装量配置'!$E$6:$E$718,'装量配置'!$A$6:$A$718,A90,'装量配置'!$B$6:$B$718,"开局",'装量配置'!$F$6:$F$718,1)</ns0:f>
        <ns0:v>0</ns0:v>
      </ns0:c>
      <ns0:c r="N90" s="112" t="n">
        <ns0:f>SUMIFS('装量配置'!$E$6:$E$718,'装量配置'!$A$6:$A$718,A90,'装量配置'!$B$6:$B$718,"开局",'装量配置'!$D$6:$D$718,"广告锁定周转盒")</ns0:f>
        <ns0:v>2</ns0:v>
      </ns0:c>
      <ns0:c r="O90" s="112" t="n">
        <ns0:f>SUMIFS('装量配置'!$E$6:$E$718,'装量配置'!$A$6:$A$718,A90,'装量配置'!$B$6:$B$718,"开局")</ns0:f>
        <ns0:v>19</ns0:v>
      </ns0:c>
      <ns0:c r="P90" s="112" t="n">
        <ns0:f>SUMIFS('装量配置'!$K$6:$K$718,'装量配置'!$A$6:$A$718,A90)</ns0:f>
        <ns0:v>4</ns0:v>
      </ns0:c>
      <ns0:c r="Q90" s="112" t="n">
        <ns0:v>4</ns0:v>
      </ns0:c>
      <ns0:c r="R90" s="113" t="n">
        <ns0:v>0.05357142857142857</ns0:v>
      </ns0:c>
      <ns0:c r="S90" s="113" t="n">
        <ns0:v>0.12</ns0:v>
      </ns0:c>
      <ns0:c r="T90" s="112" t="n">
        <ns0:v>3</ns0:v>
      </ns0:c>
      <ns0:c r="U90" s="112" t="n">
        <ns0:v>0</ns0:v>
      </ns0:c>
      <ns0:c r="V90" s="124" t="str">
        <ns0:v>数字盖盒</ns0:v>
      </ns0:c>
      <ns0:c r="W90" s="124" t="str">
        <ns0:v>单向收纳盒</ns0:v>
      </ns0:c>
      <ns0:c r="X90" s="124" t="str">
        <ns0:v>数字盖盒×1；单向收纳盒×1</ns0:v>
      </ns0:c>
      <ns0:c r="Y90" s="112" t="n">
        <ns0:f>SUMIFS('装量配置'!$I$6:$I$718,'装量配置'!$A$6:$A$718,A90)</ns0:f>
        <ns0:v>56</ns0:v>
      </ns0:c>
      <ns0:c r="Z90" s="112" t="str">
        <ns0:f>IF(AND(O90&lt;=25,N90=2,Y90=K90*4,H90&lt;=K90,P90+AT90&gt;=4,COUNTIFS('装量配置'!$A$6:$A$718,A90,'装量配置'!$O$6:$O$718,"需调整")=0),"装量通过；待逐味","需调整")</ns0:f>
        <ns0:v>装量通过；待逐味</ns0:v>
      </ns0:c>
      <ns0:c r="AA90" s="107" t="str">
        <ns0:v>四条件可行路线已保存（非最短解）</ns0:v>
      </ns0:c>
      <ns0:c r="AB90" s="107"/>
      <ns0:c r="AC90" s="107"/>
      <ns0:c r="AD90" s="113" t="n">
        <ns0:v>0.49</ns0:v>
      </ns0:c>
      <ns0:c r="AE90" s="114" t="n">
        <ns0:v>6</ns0:v>
      </ns0:c>
      <ns0:c r="AF90" s="109"/>
      <ns0:c r="AG90" s="109"/>
      <ns0:c r="AH90" s="110"/>
      <ns0:c r="AI90" s="131" t="str">
        <ns0:v>固定层序；待连续真人试玩</ns0:v>
      </ns0:c>
      <ns0:c r="AJ90" s="124" t="str">
        <ns0:v>数字盖1与空单向盒形成归纳目标，普通满盒仅下三层隐藏；本关没有炸弹。</ns0:v>
      </ns0:c>
      <ns0:c r="AK90" s="124" t="str">
        <ns0:v>连续居中，按盒数分排</ns0:v>
      </ns0:c>
      <ns0:c r="AL90" s="112" t="n">
        <ns0:v>1</ns0:v>
      </ns0:c>
      <ns0:c r="AM90" s="113" t="n">
        <ns0:v>0.78</ns0:v>
      </ns0:c>
      <ns0:c r="AN90" s="112"/>
      <ns0:c r="AO90" s="113"/>
      <ns0:c r="AP90" s="124" t="str">
        <ns0:v>双锁／单开A／单开B／双开完整回放</ns0:v>
      </ns0:c>
      <ns0:c r="AQ90" s="107"/>
      <ns0:c r="AR90" s="120" t="n">
        <ns0:f>SUMIFS('装量配置'!$I$6:$I$718,'装量配置'!$A$6:$A$718,A90,'装量配置'!$B$6:$B$718,"开局")</ns0:f>
        <ns0:v>56</ns0:v>
      </ns0:c>
      <ns0:c r="AS90" s="132" t="n">
        <ns0:f>SUMIFS('装量配置'!$I$6:$I$718,'装量配置'!$A$6:$A$718,A90,'装量配置'!$B$6:$B$718,"开局",'装量配置'!$D$6:$D$718,"普通盒",'装量配置'!$G$6:$G$718,"&gt;0")/(4*SUMIFS('装量配置'!$E$6:$E$718,'装量配置'!$A$6:$A$718,A90,'装量配置'!$B$6:$B$718,"开局",'装量配置'!$D$6:$D$718,"普通盒",'装量配置'!$G$6:$G$718,"&gt;0"))</ns0:f>
        <ns0:v>0.9285714285714286</ns0:v>
      </ns0:c>
      <ns0:c r="AT90" s="120" t="n">
        <ns0:f>SUMIFS('装量配置'!$L$6:$L$718,'装量配置'!$A$6:$A$718,A90)</ns0:f>
        <ns0:v>4</ns0:v>
      </ns0:c>
      <ns0:c r="AU90" s="120" t="n">
        <ns0:f>SUMIFS('装量配置'!$M$6:$M$718,'装量配置'!$A$6:$A$718,A90)</ns0:f>
        <ns0:v>4</ns0:v>
      </ns0:c>
      <ns0:c r="AV90" s="120" t="n">
        <ns0:f>SUMIFS('装量配置'!$N$6:$N$718,'装量配置'!$A$6:$A$718,A90)</ns0:f>
        <ns0:v>0</ns0:v>
      </ns0:c>
      <ns0:c r="AW90" s="132" t="n">
        <ns0:v>0.18</ns0:v>
      </ns0:c>
      <ns0:c r="AX90" s="120" t="n">
        <ns0:v>4</ns0:v>
      </ns0:c>
      <ns0:c r="AY90" s="120" t="n">
        <ns0:f>IF(AX90=1,1,0)</ns0:f>
        <ns0:v>0</ns0:v>
      </ns0:c>
      <ns0:c r="AZ90" s="120" t="n">
        <ns0:f>SUMIFS('装量配置'!$E$6:$E$718,'装量配置'!$A$6:$A$718,A90,'装量配置'!$B$6:$B$718,"开局",'装量配置'!$D$6:$D$718,"&lt;&gt;普通盒",'装量配置'!$D$6:$D$718,"&lt;&gt;广告锁定周转盒")</ns0:f>
        <ns0:v>2</ns0:v>
      </ns0:c>
      <ns0:c r="BA90" s="149" t="n">
        <ns0:f>IF(COUNTIFS('装量配置'!$A$6:$A$718,A90,'装量配置'!$B$6:$B$718,"开局",'装量配置'!$D$6:$D$718,"数字盖盒",'装量配置'!$E$6:$E$718,"&gt;0")&gt;0,1,0)+IF(COUNTIFS('装量配置'!$A$6:$A$718,A90,'装量配置'!$B$6:$B$718,"开局",'装量配置'!$D$6:$D$718,"普通冰冻盒",'装量配置'!$E$6:$E$718,"&gt;0")&gt;0,1,0)+IF(COUNTIFS('装量配置'!$A$6:$A$718,A90,'装量配置'!$B$6:$B$718,"开局",'装量配置'!$D$6:$D$718,"单颗暂存盒",'装量配置'!$E$6:$E$718,"&gt;0")&gt;0,1,0)+IF(COUNTIFS('装量配置'!$A$6:$A$718,A90,'装量配置'!$B$6:$B$718,"开局",'装量配置'!$D$6:$D$718,"数字冰冻盒",'装量配置'!$E$6:$E$718,"&gt;0")&gt;0,1,0)+IF(COUNTIFS('装量配置'!$A$6:$A$718,A90,'装量配置'!$B$6:$B$718,"开局",'装量配置'!$D$6:$D$718,"固定颜色盒",'装量配置'!$E$6:$E$718,"&gt;0")&gt;0,1,0)+IF(COUNTIFS('装量配置'!$A$6:$A$718,A90,'装量配置'!$B$6:$B$718,"开局",'装量配置'!$D$6:$D$718,"单向收纳盒",'装量配置'!$E$6:$E$718,"&gt;0")&gt;0,1,0)+IF(COUNTIFS('装量配置'!$A$6:$A$718,A90,'装量配置'!$B$6:$B$718,"开局",'装量配置'!$D$6:$D$718,"底部置顶盒",'装量配置'!$E$6:$E$718,"&gt;0")&gt;0,1,0)+IF(COUNTIFS('装量配置'!$A$6:$A$718,A90,'装量配置'!$B$6:$B$718,"开局",'装量配置'!$D$6:$D$718,"炸弹盒",'装量配置'!$E$6:$E$718,"&gt;0")&gt;0,1,0)</ns0:f>
        <ns0:v>2</ns0:v>
      </ns0:c>
      <ns0:c r="BB90" s="149" t="n">
        <ns0:f>SUMIFS('装量配置'!$E$6:$E$718,'装量配置'!$A$6:$A$718,A90,'装量配置'!$B$6:$B$718,"开局",'装量配置'!$D$6:$D$718,"数字盖盒")+SUMIFS('装量配置'!$E$6:$E$718,'装量配置'!$A$6:$A$718,A90,'装量配置'!$B$6:$B$718,"开局",'装量配置'!$D$6:$D$718,"普通冰冻盒")+SUMIFS('装量配置'!$E$6:$E$718,'装量配置'!$A$6:$A$718,A90,'装量配置'!$B$6:$B$718,"开局",'装量配置'!$D$6:$D$718,"数字冰冻盒")</ns0:f>
        <ns0:v>1</ns0:v>
      </ns0:c>
      <ns0:c r="BC90" s="149" t="n">
        <ns0:f>SUMIFS('装量配置'!$R$6:$R$718,'装量配置'!$A$6:$A$718,A90,'装量配置'!$B$6:$B$718,"开局")</ns0:f>
        <ns0:v>1</ns0:v>
      </ns0:c>
      <ns0:c r="BD90" s="146" t="str">
        <ns0:v>数字盖1与空单向盒形成归纳目标，普通满盒仅下三层隐藏；本关没有炸弹。</ns0:v>
      </ns0:c>
      <ns0:c r="BE90" s="149" t="n">
        <ns0:v>3</ns0:v>
      </ns0:c>
      <ns0:c r="BF90" s="146" t="str">
        <ns0:v>首归纳及时交付，炸弹材料明牌；逐关试玩核对时限</ns0:v>
      </ns0:c>
    </ns0:row>
    <ns0:row r="91" ht="33" customHeight="1">
      <ns0:c r="A91" s="105" t="n">
        <ns0:v>86</ns0:v>
      </ns0:c>
      <ns0:c r="B91" s="117" t="str">
        <ns0:v>炸弹与节奏起伏</ns0:v>
      </ns0:c>
      <ns0:c r="C91" s="126" t="str">
        <ns0:v>机制组合</ns0:v>
      </ns0:c>
      <ns0:c r="D91" s="108" t="n">
        <ns0:v>4.9</ns0:v>
      </ns0:c>
      <ns0:c r="E91" s="123" t="str">
        <ns0:v>拆弹与归纳顺序</ns0:v>
      </ns0:c>
      <ns0:c r="F91" s="123" t="str">
        <ns0:v>机关与装量配合</ns0:v>
      </ns0:c>
      <ns0:c r="G91" s="105" t="str">
        <ns0:v>错落</ns0:v>
      </ns0:c>
      <ns0:c r="H91" s="105" t="n">
        <ns0:v>8</ns0:v>
      </ns0:c>
      <ns0:c r="I91" s="105" t="n">
        <ns0:f>SUMIFS('装量配置'!$E$6:$E$718,'装量配置'!$A$6:$A$718,A91,'装量配置'!$B$6:$B$718,"开局",'装量配置'!$F$6:$F$718,4,'装量配置'!$G$6:$G$718,"&gt;0")</ns0:f>
        <ns0:v>17</ns0:v>
      </ns0:c>
      <ns0:c r="J91" s="105" t="n">
        <ns0:f>SUMIFS('装量配置'!$E$6:$E$718,'装量配置'!$A$6:$A$718,A91,'装量配置'!$B$6:$B$718,"备货")</ns0:f>
        <ns0:v>2</ns0:v>
      </ns0:c>
      <ns0:c r="K91" s="105" t="n">
        <ns0:v>18</ns0:v>
      </ns0:c>
      <ns0:c r="L91" s="105" t="n">
        <ns0:f>SUMIFS('装量配置'!$E$6:$E$718,'装量配置'!$A$6:$A$718,A91,'装量配置'!$B$6:$B$718,"开局",'装量配置'!$F$6:$F$718,4,'装量配置'!$G$6:$G$718,0,'装量配置'!$D$6:$D$718,"&lt;&gt;广告锁定周转盒")</ns0:f>
        <ns0:v>1</ns0:v>
      </ns0:c>
      <ns0:c r="M91" s="105" t="n">
        <ns0:f>SUMIFS('装量配置'!$E$6:$E$718,'装量配置'!$A$6:$A$718,A91,'装量配置'!$B$6:$B$718,"开局",'装量配置'!$F$6:$F$718,1)</ns0:f>
        <ns0:v>0</ns0:v>
      </ns0:c>
      <ns0:c r="N91" s="105" t="n">
        <ns0:f>SUMIFS('装量配置'!$E$6:$E$718,'装量配置'!$A$6:$A$718,A91,'装量配置'!$B$6:$B$718,"开局",'装量配置'!$D$6:$D$718,"广告锁定周转盒")</ns0:f>
        <ns0:v>2</ns0:v>
      </ns0:c>
      <ns0:c r="O91" s="105" t="n">
        <ns0:f>SUMIFS('装量配置'!$E$6:$E$718,'装量配置'!$A$6:$A$718,A91,'装量配置'!$B$6:$B$718,"开局")</ns0:f>
        <ns0:v>20</ns0:v>
      </ns0:c>
      <ns0:c r="P91" s="105" t="n">
        <ns0:f>SUMIFS('装量配置'!$K$6:$K$718,'装量配置'!$A$6:$A$718,A91)</ns0:f>
        <ns0:v>4</ns0:v>
      </ns0:c>
      <ns0:c r="Q91" s="105" t="n">
        <ns0:v>4</ns0:v>
      </ns0:c>
      <ns0:c r="R91" s="106" t="n">
        <ns0:v>0</ns0:v>
      </ns0:c>
      <ns0:c r="S91" s="106" t="n">
        <ns0:v>0.12</ns0:v>
      </ns0:c>
      <ns0:c r="T91" s="105" t="n">
        <ns0:v>3</ns0:v>
      </ns0:c>
      <ns0:c r="U91" s="105" t="n">
        <ns0:v>3</ns0:v>
      </ns0:c>
      <ns0:c r="V91" s="123" t="str">
        <ns0:v>炸弹盒</ns0:v>
      </ns0:c>
      <ns0:c r="W91" s="123" t="str">
        <ns0:v>底部置顶盒、普通冰冻盒</ns0:v>
      </ns0:c>
      <ns0:c r="X91" s="123" t="str">
        <ns0:v>炸弹盒×1；底部置顶盒×1；普通冰冻盒×1；拆弹倍率1.35，时限待真人校准</ns0:v>
      </ns0:c>
      <ns0:c r="Y91" s="105" t="n">
        <ns0:f>SUMIFS('装量配置'!$I$6:$I$718,'装量配置'!$A$6:$A$718,A91)</ns0:f>
        <ns0:v>72</ns0:v>
      </ns0:c>
      <ns0:c r="Z91" s="105" t="str">
        <ns0:f>IF(AND(O91&lt;=25,N91=2,Y91=K91*4,H91&lt;=K91,P91+AT91&gt;=4,COUNTIFS('装量配置'!$A$6:$A$718,A91,'装量配置'!$O$6:$O$718,"需调整")=0),"装量通过；待逐味","需调整")</ns0:f>
        <ns0:v>装量通过；待逐味</ns0:v>
      </ns0:c>
      <ns0:c r="AA91" s="107" t="str">
        <ns0:v>四条件可行路线已保存（非最短解）</ns0:v>
      </ns0:c>
      <ns0:c r="AB91" s="107"/>
      <ns0:c r="AC91" s="107"/>
      <ns0:c r="AD91" s="106" t="n">
        <ns0:v>0.43</ns0:v>
      </ns0:c>
      <ns0:c r="AE91" s="108" t="n">
        <ns0:v>6</ns0:v>
      </ns0:c>
      <ns0:c r="AF91" s="109"/>
      <ns0:c r="AG91" s="109"/>
      <ns0:c r="AH91" s="110"/>
      <ns0:c r="AI91" s="131" t="str">
        <ns0:v>固定层序；待连续真人试玩</ns0:v>
      </ns0:c>
      <ns0:c r="AJ91" s="123" t="str">
        <ns0:v>炸弹、循环与普通冰冻分工；拆弹期间两批补货保持可操作余量，解除后继续整理，保留普通空盒。</ns0:v>
      </ns0:c>
      <ns0:c r="AK91" s="123" t="str">
        <ns0:v>连续居中，按盒数分排</ns0:v>
      </ns0:c>
      <ns0:c r="AL91" s="105" t="n">
        <ns0:v>1</ns0:v>
      </ns0:c>
      <ns0:c r="AM91" s="106" t="n">
        <ns0:v>0.78</ns0:v>
      </ns0:c>
      <ns0:c r="AN91" s="107"/>
      <ns0:c r="AO91" s="110"/>
      <ns0:c r="AP91" s="123" t="str">
        <ns0:v>双锁／单开A／单开B／双开完整回放</ns0:v>
      </ns0:c>
      <ns0:c r="AQ91" s="107"/>
      <ns0:c r="AR91" s="121" t="n">
        <ns0:f>SUMIFS('装量配置'!$I$6:$I$718,'装量配置'!$A$6:$A$718,A91,'装量配置'!$B$6:$B$718,"开局")</ns0:f>
        <ns0:v>64</ns0:v>
      </ns0:c>
      <ns0:c r="AS91" s="133" t="n">
        <ns0:f>SUMIFS('装量配置'!$I$6:$I$718,'装量配置'!$A$6:$A$718,A91,'装量配置'!$B$6:$B$718,"开局",'装量配置'!$D$6:$D$718,"普通盒",'装量配置'!$G$6:$G$718,"&gt;0")/(4*SUMIFS('装量配置'!$E$6:$E$718,'装量配置'!$A$6:$A$718,A91,'装量配置'!$B$6:$B$718,"开局",'装量配置'!$D$6:$D$718,"普通盒",'装量配置'!$G$6:$G$718,"&gt;0"))</ns0:f>
        <ns0:v>0.9285714285714286</ns0:v>
      </ns0:c>
      <ns0:c r="AT91" s="121" t="n">
        <ns0:f>SUMIFS('装量配置'!$L$6:$L$718,'装量配置'!$A$6:$A$718,A91)</ns0:f>
        <ns0:v>4</ns0:v>
      </ns0:c>
      <ns0:c r="AU91" s="121" t="n">
        <ns0:f>SUMIFS('装量配置'!$M$6:$M$718,'装量配置'!$A$6:$A$718,A91)</ns0:f>
        <ns0:v>0</ns0:v>
      </ns0:c>
      <ns0:c r="AV91" s="121" t="n">
        <ns0:f>SUMIFS('装量配置'!$N$6:$N$718,'装量配置'!$A$6:$A$718,A91)</ns0:f>
        <ns0:v>0</ns0:v>
      </ns0:c>
      <ns0:c r="AW91" s="133" t="n">
        <ns0:v>0.18</ns0:v>
      </ns0:c>
      <ns0:c r="AX91" s="121" t="n">
        <ns0:v>4</ns0:v>
      </ns0:c>
      <ns0:c r="AY91" s="121" t="n">
        <ns0:f>IF(AX91=1,1,0)</ns0:f>
        <ns0:v>0</ns0:v>
      </ns0:c>
      <ns0:c r="AZ91" s="121" t="n">
        <ns0:f>SUMIFS('装量配置'!$E$6:$E$718,'装量配置'!$A$6:$A$718,A91,'装量配置'!$B$6:$B$718,"开局",'装量配置'!$D$6:$D$718,"&lt;&gt;普通盒",'装量配置'!$D$6:$D$718,"&lt;&gt;广告锁定周转盒")</ns0:f>
        <ns0:v>3</ns0:v>
      </ns0:c>
      <ns0:c r="BA91" s="150" t="n">
        <ns0:f>IF(COUNTIFS('装量配置'!$A$6:$A$718,A91,'装量配置'!$B$6:$B$718,"开局",'装量配置'!$D$6:$D$718,"数字盖盒",'装量配置'!$E$6:$E$718,"&gt;0")&gt;0,1,0)+IF(COUNTIFS('装量配置'!$A$6:$A$718,A91,'装量配置'!$B$6:$B$718,"开局",'装量配置'!$D$6:$D$718,"普通冰冻盒",'装量配置'!$E$6:$E$718,"&gt;0")&gt;0,1,0)+IF(COUNTIFS('装量配置'!$A$6:$A$718,A91,'装量配置'!$B$6:$B$718,"开局",'装量配置'!$D$6:$D$718,"单颗暂存盒",'装量配置'!$E$6:$E$718,"&gt;0")&gt;0,1,0)+IF(COUNTIFS('装量配置'!$A$6:$A$718,A91,'装量配置'!$B$6:$B$718,"开局",'装量配置'!$D$6:$D$718,"数字冰冻盒",'装量配置'!$E$6:$E$718,"&gt;0")&gt;0,1,0)+IF(COUNTIFS('装量配置'!$A$6:$A$718,A91,'装量配置'!$B$6:$B$718,"开局",'装量配置'!$D$6:$D$718,"固定颜色盒",'装量配置'!$E$6:$E$718,"&gt;0")&gt;0,1,0)+IF(COUNTIFS('装量配置'!$A$6:$A$718,A91,'装量配置'!$B$6:$B$718,"开局",'装量配置'!$D$6:$D$718,"单向收纳盒",'装量配置'!$E$6:$E$718,"&gt;0")&gt;0,1,0)+IF(COUNTIFS('装量配置'!$A$6:$A$718,A91,'装量配置'!$B$6:$B$718,"开局",'装量配置'!$D$6:$D$718,"底部置顶盒",'装量配置'!$E$6:$E$718,"&gt;0")&gt;0,1,0)+IF(COUNTIFS('装量配置'!$A$6:$A$718,A91,'装量配置'!$B$6:$B$718,"开局",'装量配置'!$D$6:$D$718,"炸弹盒",'装量配置'!$E$6:$E$718,"&gt;0")&gt;0,1,0)</ns0:f>
        <ns0:v>3</ns0:v>
      </ns0:c>
      <ns0:c r="BB91" s="150" t="n">
        <ns0:f>SUMIFS('装量配置'!$E$6:$E$718,'装量配置'!$A$6:$A$718,A91,'装量配置'!$B$6:$B$718,"开局",'装量配置'!$D$6:$D$718,"数字盖盒")+SUMIFS('装量配置'!$E$6:$E$718,'装量配置'!$A$6:$A$718,A91,'装量配置'!$B$6:$B$718,"开局",'装量配置'!$D$6:$D$718,"普通冰冻盒")+SUMIFS('装量配置'!$E$6:$E$718,'装量配置'!$A$6:$A$718,A91,'装量配置'!$B$6:$B$718,"开局",'装量配置'!$D$6:$D$718,"数字冰冻盒")</ns0:f>
        <ns0:v>1</ns0:v>
      </ns0:c>
      <ns0:c r="BC91" s="150" t="n">
        <ns0:f>SUMIFS('装量配置'!$R$6:$R$718,'装量配置'!$A$6:$A$718,A91,'装量配置'!$B$6:$B$718,"开局")</ns0:f>
        <ns0:v>0</ns0:v>
      </ns0:c>
      <ns0:c r="BD91" s="148" t="str">
        <ns0:v>炸弹、循环与普通冰冻分工；拆弹期间两批补货保持可操作余量，解除后继续整理，保留普通空盒。</ns0:v>
      </ns0:c>
      <ns0:c r="BE91" s="150" t="n">
        <ns0:v>4</ns0:v>
      </ns0:c>
      <ns0:c r="BF91" s="148" t="str">
        <ns0:v>首归纳及时交付，炸弹材料明牌；逐关试玩核对时限</ns0:v>
      </ns0:c>
    </ns0:row>
    <ns0:row r="92" ht="33" customHeight="1">
      <ns0:c r="A92" s="112" t="n">
        <ns0:v>87</ns0:v>
      </ns0:c>
      <ns0:c r="B92" s="119" t="str">
        <ns0:v>炸弹与节奏起伏</ns0:v>
      </ns0:c>
      <ns0:c r="C92" s="127" t="str">
        <ns0:v>缓和巩固</ns0:v>
      </ns0:c>
      <ns0:c r="D92" s="114" t="n">
        <ns0:v>4.6</ns0:v>
      </ns0:c>
      <ns0:c r="E92" s="124" t="str">
        <ns0:v>拆弹与归纳顺序</ns0:v>
      </ns0:c>
      <ns0:c r="F92" s="124" t="str">
        <ns0:v>机关与装量配合</ns0:v>
      </ns0:c>
      <ns0:c r="G92" s="112" t="str">
        <ns0:v>整齐</ns0:v>
      </ns0:c>
      <ns0:c r="H92" s="112" t="n">
        <ns0:v>7</ns0:v>
      </ns0:c>
      <ns0:c r="I92" s="112" t="n">
        <ns0:f>SUMIFS('装量配置'!$E$6:$E$718,'装量配置'!$A$6:$A$718,A92,'装量配置'!$B$6:$B$718,"开局",'装量配置'!$F$6:$F$718,4,'装量配置'!$G$6:$G$718,"&gt;0")</ns0:f>
        <ns0:v>15</ns0:v>
      </ns0:c>
      <ns0:c r="J92" s="112" t="n">
        <ns0:f>SUMIFS('装量配置'!$E$6:$E$718,'装量配置'!$A$6:$A$718,A92,'装量配置'!$B$6:$B$718,"备货")</ns0:f>
        <ns0:v>0</ns0:v>
      </ns0:c>
      <ns0:c r="K92" s="112" t="n">
        <ns0:v>14</ns0:v>
      </ns0:c>
      <ns0:c r="L92" s="112" t="n">
        <ns0:f>SUMIFS('装量配置'!$E$6:$E$718,'装量配置'!$A$6:$A$718,A92,'装量配置'!$B$6:$B$718,"开局",'装量配置'!$F$6:$F$718,4,'装量配置'!$G$6:$G$718,0,'装量配置'!$D$6:$D$718,"&lt;&gt;广告锁定周转盒")</ns0:f>
        <ns0:v>1</ns0:v>
      </ns0:c>
      <ns0:c r="M92" s="112" t="n">
        <ns0:f>SUMIFS('装量配置'!$E$6:$E$718,'装量配置'!$A$6:$A$718,A92,'装量配置'!$B$6:$B$718,"开局",'装量配置'!$F$6:$F$718,1)</ns0:f>
        <ns0:v>1</ns0:v>
      </ns0:c>
      <ns0:c r="N92" s="112" t="n">
        <ns0:f>SUMIFS('装量配置'!$E$6:$E$718,'装量配置'!$A$6:$A$718,A92,'装量配置'!$B$6:$B$718,"开局",'装量配置'!$D$6:$D$718,"广告锁定周转盒")</ns0:f>
        <ns0:v>2</ns0:v>
      </ns0:c>
      <ns0:c r="O92" s="112" t="n">
        <ns0:f>SUMIFS('装量配置'!$E$6:$E$718,'装量配置'!$A$6:$A$718,A92,'装量配置'!$B$6:$B$718,"开局")</ns0:f>
        <ns0:v>19</ns0:v>
      </ns0:c>
      <ns0:c r="P92" s="112" t="n">
        <ns0:f>SUMIFS('装量配置'!$K$6:$K$718,'装量配置'!$A$6:$A$718,A92)</ns0:f>
        <ns0:v>5</ns0:v>
      </ns0:c>
      <ns0:c r="Q92" s="112" t="n">
        <ns0:v>4</ns0:v>
      </ns0:c>
      <ns0:c r="R92" s="113" t="n">
        <ns0:v>0</ns0:v>
      </ns0:c>
      <ns0:c r="S92" s="113" t="n">
        <ns0:v>0.12</ns0:v>
      </ns0:c>
      <ns0:c r="T92" s="112" t="n">
        <ns0:v>3</ns0:v>
      </ns0:c>
      <ns0:c r="U92" s="112" t="n">
        <ns0:v>0</ns0:v>
      </ns0:c>
      <ns0:c r="V92" s="124" t="str">
        <ns0:v>普通冰冻盒</ns0:v>
      </ns0:c>
      <ns0:c r="W92" s="124" t="str">
        <ns0:v>单颗暂存盒</ns0:v>
      </ns0:c>
      <ns0:c r="X92" s="124" t="str">
        <ns0:v>普通冰冻盒×1；单颗暂存盒×1</ns0:v>
      </ns0:c>
      <ns0:c r="Y92" s="112" t="n">
        <ns0:f>SUMIFS('装量配置'!$I$6:$I$718,'装量配置'!$A$6:$A$718,A92)</ns0:f>
        <ns0:v>56</ns0:v>
      </ns0:c>
      <ns0:c r="Z92" s="112" t="str">
        <ns0:f>IF(AND(O92&lt;=25,N92=2,Y92=K92*4,H92&lt;=K92,P92+AT92&gt;=4,COUNTIFS('装量配置'!$A$6:$A$718,A92,'装量配置'!$O$6:$O$718,"需调整")=0),"装量通过；待逐味","需调整")</ns0:f>
        <ns0:v>装量通过；待逐味</ns0:v>
      </ns0:c>
      <ns0:c r="AA92" s="107" t="str">
        <ns0:v>四条件可行路线已保存（非最短解）</ns0:v>
      </ns0:c>
      <ns0:c r="AB92" s="107"/>
      <ns0:c r="AC92" s="107"/>
      <ns0:c r="AD92" s="113" t="n">
        <ns0:v>0.6</ns0:v>
      </ns0:c>
      <ns0:c r="AE92" s="114" t="n">
        <ns0:v>5.5</ns0:v>
      </ns0:c>
      <ns0:c r="AF92" s="109"/>
      <ns0:c r="AG92" s="109"/>
      <ns0:c r="AH92" s="110"/>
      <ns0:c r="AI92" s="131" t="str">
        <ns0:v>固定层序；待连续真人试玩</ns0:v>
      </ns0:c>
      <ns0:c r="AJ92" s="124" t="str">
        <ns0:v>撤去倒计时与补货，七色普通冰冻加空单颗暂存；尽早使用暂存形成缓和。</ns0:v>
      </ns0:c>
      <ns0:c r="AK92" s="124" t="str">
        <ns0:v>连续居中，按盒数分排</ns0:v>
      </ns0:c>
      <ns0:c r="AL92" s="112" t="n">
        <ns0:v>1</ns0:v>
      </ns0:c>
      <ns0:c r="AM92" s="113" t="n">
        <ns0:v>0.78</ns0:v>
      </ns0:c>
      <ns0:c r="AN92" s="112"/>
      <ns0:c r="AO92" s="113"/>
      <ns0:c r="AP92" s="124" t="str">
        <ns0:v>双锁／单开A／单开B／双开完整回放</ns0:v>
      </ns0:c>
      <ns0:c r="AQ92" s="107"/>
      <ns0:c r="AR92" s="120" t="n">
        <ns0:f>SUMIFS('装量配置'!$I$6:$I$718,'装量配置'!$A$6:$A$718,A92,'装量配置'!$B$6:$B$718,"开局")</ns0:f>
        <ns0:v>56</ns0:v>
      </ns0:c>
      <ns0:c r="AS92" s="132" t="n">
        <ns0:f>SUMIFS('装量配置'!$I$6:$I$718,'装量配置'!$A$6:$A$718,A92,'装量配置'!$B$6:$B$718,"开局",'装量配置'!$D$6:$D$718,"普通盒",'装量配置'!$G$6:$G$718,"&gt;0")/(4*SUMIFS('装量配置'!$E$6:$E$718,'装量配置'!$A$6:$A$718,A92,'装量配置'!$B$6:$B$718,"开局",'装量配置'!$D$6:$D$718,"普通盒",'装量配置'!$G$6:$G$718,"&gt;0"))</ns0:f>
        <ns0:v>0.9285714285714286</ns0:v>
      </ns0:c>
      <ns0:c r="AT92" s="120" t="n">
        <ns0:f>SUMIFS('装量配置'!$L$6:$L$718,'装量配置'!$A$6:$A$718,A92)</ns0:f>
        <ns0:v>4</ns0:v>
      </ns0:c>
      <ns0:c r="AU92" s="120" t="n">
        <ns0:f>SUMIFS('装量配置'!$M$6:$M$718,'装量配置'!$A$6:$A$718,A92)</ns0:f>
        <ns0:v>0</ns0:v>
      </ns0:c>
      <ns0:c r="AV92" s="120" t="n">
        <ns0:f>SUMIFS('装量配置'!$N$6:$N$718,'装量配置'!$A$6:$A$718,A92)</ns0:f>
        <ns0:v>0</ns0:v>
      </ns0:c>
      <ns0:c r="AW92" s="132" t="n">
        <ns0:v>0.18</ns0:v>
      </ns0:c>
      <ns0:c r="AX92" s="120" t="n">
        <ns0:v>4</ns0:v>
      </ns0:c>
      <ns0:c r="AY92" s="120" t="n">
        <ns0:f>IF(AX92=1,1,0)</ns0:f>
        <ns0:v>0</ns0:v>
      </ns0:c>
      <ns0:c r="AZ92" s="120" t="n">
        <ns0:f>SUMIFS('装量配置'!$E$6:$E$718,'装量配置'!$A$6:$A$718,A92,'装量配置'!$B$6:$B$718,"开局",'装量配置'!$D$6:$D$718,"&lt;&gt;普通盒",'装量配置'!$D$6:$D$718,"&lt;&gt;广告锁定周转盒")</ns0:f>
        <ns0:v>2</ns0:v>
      </ns0:c>
      <ns0:c r="BA92" s="149" t="n">
        <ns0:f>IF(COUNTIFS('装量配置'!$A$6:$A$718,A92,'装量配置'!$B$6:$B$718,"开局",'装量配置'!$D$6:$D$718,"数字盖盒",'装量配置'!$E$6:$E$718,"&gt;0")&gt;0,1,0)+IF(COUNTIFS('装量配置'!$A$6:$A$718,A92,'装量配置'!$B$6:$B$718,"开局",'装量配置'!$D$6:$D$718,"普通冰冻盒",'装量配置'!$E$6:$E$718,"&gt;0")&gt;0,1,0)+IF(COUNTIFS('装量配置'!$A$6:$A$718,A92,'装量配置'!$B$6:$B$718,"开局",'装量配置'!$D$6:$D$718,"单颗暂存盒",'装量配置'!$E$6:$E$718,"&gt;0")&gt;0,1,0)+IF(COUNTIFS('装量配置'!$A$6:$A$718,A92,'装量配置'!$B$6:$B$718,"开局",'装量配置'!$D$6:$D$718,"数字冰冻盒",'装量配置'!$E$6:$E$718,"&gt;0")&gt;0,1,0)+IF(COUNTIFS('装量配置'!$A$6:$A$718,A92,'装量配置'!$B$6:$B$718,"开局",'装量配置'!$D$6:$D$718,"固定颜色盒",'装量配置'!$E$6:$E$718,"&gt;0")&gt;0,1,0)+IF(COUNTIFS('装量配置'!$A$6:$A$718,A92,'装量配置'!$B$6:$B$718,"开局",'装量配置'!$D$6:$D$718,"单向收纳盒",'装量配置'!$E$6:$E$718,"&gt;0")&gt;0,1,0)+IF(COUNTIFS('装量配置'!$A$6:$A$718,A92,'装量配置'!$B$6:$B$718,"开局",'装量配置'!$D$6:$D$718,"底部置顶盒",'装量配置'!$E$6:$E$718,"&gt;0")&gt;0,1,0)+IF(COUNTIFS('装量配置'!$A$6:$A$718,A92,'装量配置'!$B$6:$B$718,"开局",'装量配置'!$D$6:$D$718,"炸弹盒",'装量配置'!$E$6:$E$718,"&gt;0")&gt;0,1,0)</ns0:f>
        <ns0:v>2</ns0:v>
      </ns0:c>
      <ns0:c r="BB92" s="149" t="n">
        <ns0:f>SUMIFS('装量配置'!$E$6:$E$718,'装量配置'!$A$6:$A$718,A92,'装量配置'!$B$6:$B$718,"开局",'装量配置'!$D$6:$D$718,"数字盖盒")+SUMIFS('装量配置'!$E$6:$E$718,'装量配置'!$A$6:$A$718,A92,'装量配置'!$B$6:$B$718,"开局",'装量配置'!$D$6:$D$718,"普通冰冻盒")+SUMIFS('装量配置'!$E$6:$E$718,'装量配置'!$A$6:$A$718,A92,'装量配置'!$B$6:$B$718,"开局",'装量配置'!$D$6:$D$718,"数字冰冻盒")</ns0:f>
        <ns0:v>1</ns0:v>
      </ns0:c>
      <ns0:c r="BC92" s="149" t="n">
        <ns0:f>SUMIFS('装量配置'!$R$6:$R$718,'装量配置'!$A$6:$A$718,A92,'装量配置'!$B$6:$B$718,"开局")</ns0:f>
        <ns0:v>0</ns0:v>
      </ns0:c>
      <ns0:c r="BD92" s="146" t="str">
        <ns0:v>撤去倒计时与补货，七色普通冰冻加空单颗暂存；尽早使用暂存形成缓和。</ns0:v>
      </ns0:c>
      <ns0:c r="BE92" s="149" t="n">
        <ns0:v>2</ns0:v>
      </ns0:c>
      <ns0:c r="BF92" s="146" t="str">
        <ns0:v>首归纳及时交付，炸弹材料明牌；逐关试玩核对时限</ns0:v>
      </ns0:c>
    </ns0:row>
    <ns0:row r="93" ht="33" customHeight="1">
      <ns0:c r="A93" s="105" t="n">
        <ns0:v>88</ns0:v>
      </ns0:c>
      <ns0:c r="B93" s="117" t="str">
        <ns0:v>炸弹与节奏起伏</ns0:v>
      </ns0:c>
      <ns0:c r="C93" s="126" t="str">
        <ns0:v>机制组合</ns0:v>
      </ns0:c>
      <ns0:c r="D93" s="108" t="n">
        <ns0:v>4.9</ns0:v>
      </ns0:c>
      <ns0:c r="E93" s="123" t="str">
        <ns0:v>拆弹与归纳顺序</ns0:v>
      </ns0:c>
      <ns0:c r="F93" s="123" t="str">
        <ns0:v>机关与装量配合</ns0:v>
      </ns0:c>
      <ns0:c r="G93" s="105" t="str">
        <ns0:v>错落</ns0:v>
      </ns0:c>
      <ns0:c r="H93" s="105" t="n">
        <ns0:v>8</ns0:v>
      </ns0:c>
      <ns0:c r="I93" s="105" t="n">
        <ns0:f>SUMIFS('装量配置'!$E$6:$E$718,'装量配置'!$A$6:$A$718,A93,'装量配置'!$B$6:$B$718,"开局",'装量配置'!$F$6:$F$718,4,'装量配置'!$G$6:$G$718,"&gt;0")</ns0:f>
        <ns0:v>17</ns0:v>
      </ns0:c>
      <ns0:c r="J93" s="105" t="n">
        <ns0:f>SUMIFS('装量配置'!$E$6:$E$718,'装量配置'!$A$6:$A$718,A93,'装量配置'!$B$6:$B$718,"备货")</ns0:f>
        <ns0:v>0</ns0:v>
      </ns0:c>
      <ns0:c r="K93" s="105" t="n">
        <ns0:v>15</ns0:v>
      </ns0:c>
      <ns0:c r="L93" s="105" t="n">
        <ns0:f>SUMIFS('装量配置'!$E$6:$E$718,'装量配置'!$A$6:$A$718,A93,'装量配置'!$B$6:$B$718,"开局",'装量配置'!$F$6:$F$718,4,'装量配置'!$G$6:$G$718,0,'装量配置'!$D$6:$D$718,"&lt;&gt;广告锁定周转盒")</ns0:f>
        <ns0:v>1</ns0:v>
      </ns0:c>
      <ns0:c r="M93" s="105" t="n">
        <ns0:f>SUMIFS('装量配置'!$E$6:$E$718,'装量配置'!$A$6:$A$718,A93,'装量配置'!$B$6:$B$718,"开局",'装量配置'!$F$6:$F$718,1)</ns0:f>
        <ns0:v>0</ns0:v>
      </ns0:c>
      <ns0:c r="N93" s="105" t="n">
        <ns0:f>SUMIFS('装量配置'!$E$6:$E$718,'装量配置'!$A$6:$A$718,A93,'装量配置'!$B$6:$B$718,"开局",'装量配置'!$D$6:$D$718,"广告锁定周转盒")</ns0:f>
        <ns0:v>2</ns0:v>
      </ns0:c>
      <ns0:c r="O93" s="105" t="n">
        <ns0:f>SUMIFS('装量配置'!$E$6:$E$718,'装量配置'!$A$6:$A$718,A93,'装量配置'!$B$6:$B$718,"开局")</ns0:f>
        <ns0:v>20</ns0:v>
      </ns0:c>
      <ns0:c r="P93" s="105" t="n">
        <ns0:f>SUMIFS('装量配置'!$K$6:$K$718,'装量配置'!$A$6:$A$718,A93)</ns0:f>
        <ns0:v>0</ns0:v>
      </ns0:c>
      <ns0:c r="Q93" s="105" t="n">
        <ns0:v>4</ns0:v>
      </ns0:c>
      <ns0:c r="R93" s="106" t="n">
        <ns0:v>0.05</ns0:v>
      </ns0:c>
      <ns0:c r="S93" s="106" t="n">
        <ns0:v>0.12</ns0:v>
      </ns0:c>
      <ns0:c r="T93" s="105" t="n">
        <ns0:v>3</ns0:v>
      </ns0:c>
      <ns0:c r="U93" s="105" t="n">
        <ns0:v>0</ns0:v>
      </ns0:c>
      <ns0:c r="V93" s="123" t="str">
        <ns0:v>炸弹盒</ns0:v>
      </ns0:c>
      <ns0:c r="W93" s="123" t="str">
        <ns0:v>固定颜色盒</ns0:v>
      </ns0:c>
      <ns0:c r="X93" s="123" t="str">
        <ns0:v>炸弹盒×1；固定颜色盒×1；拆弹倍率1.35，时限待真人校准</ns0:v>
      </ns0:c>
      <ns0:c r="Y93" s="105" t="n">
        <ns0:f>SUMIFS('装量配置'!$I$6:$I$718,'装量配置'!$A$6:$A$718,A93)</ns0:f>
        <ns0:v>60</ns0:v>
      </ns0:c>
      <ns0:c r="Z93" s="105" t="str">
        <ns0:f>IF(AND(O93&lt;=25,N93=2,Y93=K93*4,H93&lt;=K93,P93+AT93&gt;=4,COUNTIFS('装量配置'!$A$6:$A$718,A93,'装量配置'!$O$6:$O$718,"需调整")=0),"装量通过；待逐味","需调整")</ns0:f>
        <ns0:v>装量通过；待逐味</ns0:v>
      </ns0:c>
      <ns0:c r="AA93" s="107" t="str">
        <ns0:v>四条件可行路线已保存（非最短解）</ns0:v>
      </ns0:c>
      <ns0:c r="AB93" s="107"/>
      <ns0:c r="AC93" s="107"/>
      <ns0:c r="AD93" s="106" t="n">
        <ns0:v>0.44</ns0:v>
      </ns0:c>
      <ns0:c r="AE93" s="108" t="n">
        <ns0:v>6</ns0:v>
      </ns0:c>
      <ns0:c r="AF93" s="109"/>
      <ns0:c r="AG93" s="109"/>
      <ns0:c r="AH93" s="110"/>
      <ns0:c r="AI93" s="131" t="str">
        <ns0:v>固定层序；待连续真人试玩</ns0:v>
      </ns0:c>
      <ns0:c r="AJ93" s="123" t="str">
        <ns0:v>炸弹与固定口味托分工，普通盒下三层隐藏；拆弹所需同味材料全部明牌，不靠猜隐藏拆弹。</ns0:v>
      </ns0:c>
      <ns0:c r="AK93" s="123" t="str">
        <ns0:v>连续居中，按盒数分排</ns0:v>
      </ns0:c>
      <ns0:c r="AL93" s="105" t="n">
        <ns0:v>1</ns0:v>
      </ns0:c>
      <ns0:c r="AM93" s="106" t="n">
        <ns0:v>0.78</ns0:v>
      </ns0:c>
      <ns0:c r="AN93" s="107"/>
      <ns0:c r="AO93" s="110"/>
      <ns0:c r="AP93" s="123" t="str">
        <ns0:v>双锁／单开A／单开B／双开完整回放</ns0:v>
      </ns0:c>
      <ns0:c r="AQ93" s="107"/>
      <ns0:c r="AR93" s="121" t="n">
        <ns0:f>SUMIFS('装量配置'!$I$6:$I$718,'装量配置'!$A$6:$A$718,A93,'装量配置'!$B$6:$B$718,"开局")</ns0:f>
        <ns0:v>60</ns0:v>
      </ns0:c>
      <ns0:c r="AS93" s="133" t="n">
        <ns0:f>SUMIFS('装量配置'!$I$6:$I$718,'装量配置'!$A$6:$A$718,A93,'装量配置'!$B$6:$B$718,"开局",'装量配置'!$D$6:$D$718,"普通盒",'装量配置'!$G$6:$G$718,"&gt;0")/(4*SUMIFS('装量配置'!$E$6:$E$718,'装量配置'!$A$6:$A$718,A93,'装量配置'!$B$6:$B$718,"开局",'装量配置'!$D$6:$D$718,"普通盒",'装量配置'!$G$6:$G$718,"&gt;0"))</ns0:f>
        <ns0:v>0.875</ns0:v>
      </ns0:c>
      <ns0:c r="AT93" s="121" t="n">
        <ns0:f>SUMIFS('装量配置'!$L$6:$L$718,'装量配置'!$A$6:$A$718,A93)</ns0:f>
        <ns0:v>8</ns0:v>
      </ns0:c>
      <ns0:c r="AU93" s="121" t="n">
        <ns0:f>SUMIFS('装量配置'!$M$6:$M$718,'装量配置'!$A$6:$A$718,A93)</ns0:f>
        <ns0:v>4</ns0:v>
      </ns0:c>
      <ns0:c r="AV93" s="121" t="n">
        <ns0:f>SUMIFS('装量配置'!$N$6:$N$718,'装量配置'!$A$6:$A$718,A93)</ns0:f>
        <ns0:v>0</ns0:v>
      </ns0:c>
      <ns0:c r="AW93" s="133" t="n">
        <ns0:v>0.18</ns0:v>
      </ns0:c>
      <ns0:c r="AX93" s="121" t="n">
        <ns0:v>4</ns0:v>
      </ns0:c>
      <ns0:c r="AY93" s="121" t="n">
        <ns0:f>IF(AX93=1,1,0)</ns0:f>
        <ns0:v>0</ns0:v>
      </ns0:c>
      <ns0:c r="AZ93" s="121" t="n">
        <ns0:f>SUMIFS('装量配置'!$E$6:$E$718,'装量配置'!$A$6:$A$718,A93,'装量配置'!$B$6:$B$718,"开局",'装量配置'!$D$6:$D$718,"&lt;&gt;普通盒",'装量配置'!$D$6:$D$718,"&lt;&gt;广告锁定周转盒")</ns0:f>
        <ns0:v>2</ns0:v>
      </ns0:c>
      <ns0:c r="BA93" s="150" t="n">
        <ns0:f>IF(COUNTIFS('装量配置'!$A$6:$A$718,A93,'装量配置'!$B$6:$B$718,"开局",'装量配置'!$D$6:$D$718,"数字盖盒",'装量配置'!$E$6:$E$718,"&gt;0")&gt;0,1,0)+IF(COUNTIFS('装量配置'!$A$6:$A$718,A93,'装量配置'!$B$6:$B$718,"开局",'装量配置'!$D$6:$D$718,"普通冰冻盒",'装量配置'!$E$6:$E$718,"&gt;0")&gt;0,1,0)+IF(COUNTIFS('装量配置'!$A$6:$A$718,A93,'装量配置'!$B$6:$B$718,"开局",'装量配置'!$D$6:$D$718,"单颗暂存盒",'装量配置'!$E$6:$E$718,"&gt;0")&gt;0,1,0)+IF(COUNTIFS('装量配置'!$A$6:$A$718,A93,'装量配置'!$B$6:$B$718,"开局",'装量配置'!$D$6:$D$718,"数字冰冻盒",'装量配置'!$E$6:$E$718,"&gt;0")&gt;0,1,0)+IF(COUNTIFS('装量配置'!$A$6:$A$718,A93,'装量配置'!$B$6:$B$718,"开局",'装量配置'!$D$6:$D$718,"固定颜色盒",'装量配置'!$E$6:$E$718,"&gt;0")&gt;0,1,0)+IF(COUNTIFS('装量配置'!$A$6:$A$718,A93,'装量配置'!$B$6:$B$718,"开局",'装量配置'!$D$6:$D$718,"单向收纳盒",'装量配置'!$E$6:$E$718,"&gt;0")&gt;0,1,0)+IF(COUNTIFS('装量配置'!$A$6:$A$718,A93,'装量配置'!$B$6:$B$718,"开局",'装量配置'!$D$6:$D$718,"底部置顶盒",'装量配置'!$E$6:$E$718,"&gt;0")&gt;0,1,0)+IF(COUNTIFS('装量配置'!$A$6:$A$718,A93,'装量配置'!$B$6:$B$718,"开局",'装量配置'!$D$6:$D$718,"炸弹盒",'装量配置'!$E$6:$E$718,"&gt;0")&gt;0,1,0)</ns0:f>
        <ns0:v>2</ns0:v>
      </ns0:c>
      <ns0:c r="BB93" s="150" t="n">
        <ns0:f>SUMIFS('装量配置'!$E$6:$E$718,'装量配置'!$A$6:$A$718,A93,'装量配置'!$B$6:$B$718,"开局",'装量配置'!$D$6:$D$718,"数字盖盒")+SUMIFS('装量配置'!$E$6:$E$718,'装量配置'!$A$6:$A$718,A93,'装量配置'!$B$6:$B$718,"开局",'装量配置'!$D$6:$D$718,"普通冰冻盒")+SUMIFS('装量配置'!$E$6:$E$718,'装量配置'!$A$6:$A$718,A93,'装量配置'!$B$6:$B$718,"开局",'装量配置'!$D$6:$D$718,"数字冰冻盒")</ns0:f>
        <ns0:v>0</ns0:v>
      </ns0:c>
      <ns0:c r="BC93" s="150" t="n">
        <ns0:f>SUMIFS('装量配置'!$R$6:$R$718,'装量配置'!$A$6:$A$718,A93,'装量配置'!$B$6:$B$718,"开局")</ns0:f>
        <ns0:v>0</ns0:v>
      </ns0:c>
      <ns0:c r="BD93" s="148" t="str">
        <ns0:v>炸弹与固定口味托分工，普通盒下三层隐藏；拆弹所需同味材料全部明牌，不靠猜隐藏拆弹。</ns0:v>
      </ns0:c>
      <ns0:c r="BE93" s="150" t="n">
        <ns0:v>3</ns0:v>
      </ns0:c>
      <ns0:c r="BF93" s="148" t="str">
        <ns0:v>首归纳及时交付，炸弹材料明牌；逐关试玩核对时限</ns0:v>
      </ns0:c>
    </ns0:row>
    <ns0:row r="94" ht="33" customHeight="1">
      <ns0:c r="A94" s="112" t="n">
        <ns0:v>89</ns0:v>
      </ns0:c>
      <ns0:c r="B94" s="119" t="str">
        <ns0:v>炸弹与节奏起伏</ns0:v>
      </ns0:c>
      <ns0:c r="C94" s="127" t="str">
        <ns0:v>阶段挑战</ns0:v>
      </ns0:c>
      <ns0:c r="D94" s="114" t="n">
        <ns0:v>5</ns0:v>
      </ns0:c>
      <ns0:c r="E94" s="124" t="str">
        <ns0:v>拆弹与归纳顺序</ns0:v>
      </ns0:c>
      <ns0:c r="F94" s="124" t="str">
        <ns0:v>机关与装量配合</ns0:v>
      </ns0:c>
      <ns0:c r="G94" s="112" t="str">
        <ns0:v>错落</ns0:v>
      </ns0:c>
      <ns0:c r="H94" s="112" t="n">
        <ns0:v>8</ns0:v>
      </ns0:c>
      <ns0:c r="I94" s="112" t="n">
        <ns0:f>SUMIFS('装量配置'!$E$6:$E$718,'装量配置'!$A$6:$A$718,A94,'装量配置'!$B$6:$B$718,"开局",'装量配置'!$F$6:$F$718,4,'装量配置'!$G$6:$G$718,"&gt;0")</ns0:f>
        <ns0:v>15</ns0:v>
      </ns0:c>
      <ns0:c r="J94" s="112" t="n">
        <ns0:f>SUMIFS('装量配置'!$E$6:$E$718,'装量配置'!$A$6:$A$718,A94,'装量配置'!$B$6:$B$718,"备货")</ns0:f>
        <ns0:v>2</ns0:v>
      </ns0:c>
      <ns0:c r="K94" s="112" t="n">
        <ns0:v>16</ns0:v>
      </ns0:c>
      <ns0:c r="L94" s="112" t="n">
        <ns0:f>SUMIFS('装量配置'!$E$6:$E$718,'装量配置'!$A$6:$A$718,A94,'装量配置'!$B$6:$B$718,"开局",'装量配置'!$F$6:$F$718,4,'装量配置'!$G$6:$G$718,0,'装量配置'!$D$6:$D$718,"&lt;&gt;广告锁定周转盒")</ns0:f>
        <ns0:v>0</ns0:v>
      </ns0:c>
      <ns0:c r="M94" s="112" t="n">
        <ns0:f>SUMIFS('装量配置'!$E$6:$E$718,'装量配置'!$A$6:$A$718,A94,'装量配置'!$B$6:$B$718,"开局",'装量配置'!$F$6:$F$718,1)</ns0:f>
        <ns0:v>1</ns0:v>
      </ns0:c>
      <ns0:c r="N94" s="112" t="n">
        <ns0:f>SUMIFS('装量配置'!$E$6:$E$718,'装量配置'!$A$6:$A$718,A94,'装量配置'!$B$6:$B$718,"开局",'装量配置'!$D$6:$D$718,"广告锁定周转盒")</ns0:f>
        <ns0:v>2</ns0:v>
      </ns0:c>
      <ns0:c r="O94" s="112" t="n">
        <ns0:f>SUMIFS('装量配置'!$E$6:$E$718,'装量配置'!$A$6:$A$718,A94,'装量配置'!$B$6:$B$718,"开局")</ns0:f>
        <ns0:v>18</ns0:v>
      </ns0:c>
      <ns0:c r="P94" s="112" t="n">
        <ns0:f>SUMIFS('装量配置'!$K$6:$K$718,'装量配置'!$A$6:$A$718,A94)</ns0:f>
        <ns0:v>1</ns0:v>
      </ns0:c>
      <ns0:c r="Q94" s="112" t="n">
        <ns0:v>4</ns0:v>
      </ns0:c>
      <ns0:c r="R94" s="113" t="n">
        <ns0:v>0.046875</ns0:v>
      </ns0:c>
      <ns0:c r="S94" s="113" t="n">
        <ns0:v>0.12</ns0:v>
      </ns0:c>
      <ns0:c r="T94" s="112" t="n">
        <ns0:v>3</ns0:v>
      </ns0:c>
      <ns0:c r="U94" s="112" t="n">
        <ns0:v>3</ns0:v>
      </ns0:c>
      <ns0:c r="V94" s="124" t="str">
        <ns0:v>炸弹盒</ns0:v>
      </ns0:c>
      <ns0:c r="W94" s="124" t="str">
        <ns0:v>数字冰冻盒、单颗暂存盒</ns0:v>
      </ns0:c>
      <ns0:c r="X94" s="124" t="str">
        <ns0:v>炸弹盒×1；数字冰冻盒×1；单颗暂存盒×1；拆弹倍率1.35，时限待真人校准</ns0:v>
      </ns0:c>
      <ns0:c r="Y94" s="112" t="n">
        <ns0:f>SUMIFS('装量配置'!$I$6:$I$718,'装量配置'!$A$6:$A$718,A94)</ns0:f>
        <ns0:v>64</ns0:v>
      </ns0:c>
      <ns0:c r="Z94" s="112" t="str">
        <ns0:f>IF(AND(O94&lt;=25,N94=2,Y94=K94*4,H94&lt;=K94,P94+AT94&gt;=4,COUNTIFS('装量配置'!$A$6:$A$718,A94,'装量配置'!$O$6:$O$718,"需调整")=0),"装量通过；待逐味","需调整")</ns0:f>
        <ns0:v>装量通过；待逐味</ns0:v>
      </ns0:c>
      <ns0:c r="AA94" s="107" t="str">
        <ns0:v>四条件可行路线已保存（非最短解）</ns0:v>
      </ns0:c>
      <ns0:c r="AB94" s="107"/>
      <ns0:c r="AC94" s="107"/>
      <ns0:c r="AD94" s="113" t="n">
        <ns0:v>0.35</ns0:v>
      </ns0:c>
      <ns0:c r="AE94" s="114" t="n">
        <ns0:v>7.5</ns0:v>
      </ns0:c>
      <ns0:c r="AF94" s="109"/>
      <ns0:c r="AG94" s="109"/>
      <ns0:c r="AH94" s="110"/>
      <ns0:c r="AI94" s="131" t="str">
        <ns0:v>固定层序；待连续真人试玩</ns0:v>
      </ns0:c>
      <ns0:c r="AJ94" s="124" t="str">
        <ns0:v>炸弹、数字冰冻2、空暂存与分批补货组成高点；拆弹同味材料明牌，三颗隐藏留给后段整理。</ns0:v>
      </ns0:c>
      <ns0:c r="AK94" s="124" t="str">
        <ns0:v>连续居中，按盒数分排</ns0:v>
      </ns0:c>
      <ns0:c r="AL94" s="112" t="n">
        <ns0:v>2</ns0:v>
      </ns0:c>
      <ns0:c r="AM94" s="113" t="n">
        <ns0:v>0.65</ns0:v>
      </ns0:c>
      <ns0:c r="AN94" s="112"/>
      <ns0:c r="AO94" s="113"/>
      <ns0:c r="AP94" s="124" t="str">
        <ns0:v>双锁／单开A／单开B／双开完整回放</ns0:v>
      </ns0:c>
      <ns0:c r="AQ94" s="107"/>
      <ns0:c r="AR94" s="120" t="n">
        <ns0:f>SUMIFS('装量配置'!$I$6:$I$718,'装量配置'!$A$6:$A$718,A94,'装量配置'!$B$6:$B$718,"开局")</ns0:f>
        <ns0:v>56</ns0:v>
      </ns0:c>
      <ns0:c r="AS94" s="132" t="n">
        <ns0:f>SUMIFS('装量配置'!$I$6:$I$718,'装量配置'!$A$6:$A$718,A94,'装量配置'!$B$6:$B$718,"开局",'装量配置'!$D$6:$D$718,"普通盒",'装量配置'!$G$6:$G$718,"&gt;0")/(4*SUMIFS('装量配置'!$E$6:$E$718,'装量配置'!$A$6:$A$718,A94,'装量配置'!$B$6:$B$718,"开局",'装量配置'!$D$6:$D$718,"普通盒",'装量配置'!$G$6:$G$718,"&gt;0"))</ns0:f>
        <ns0:v>0.9230769230769231</ns0:v>
      </ns0:c>
      <ns0:c r="AT94" s="120" t="n">
        <ns0:f>SUMIFS('装量配置'!$L$6:$L$718,'装量配置'!$A$6:$A$718,A94)</ns0:f>
        <ns0:v>4</ns0:v>
      </ns0:c>
      <ns0:c r="AU94" s="120" t="n">
        <ns0:f>SUMIFS('装量配置'!$M$6:$M$718,'装量配置'!$A$6:$A$718,A94)</ns0:f>
        <ns0:v>0</ns0:v>
      </ns0:c>
      <ns0:c r="AV94" s="120" t="n">
        <ns0:f>SUMIFS('装量配置'!$N$6:$N$718,'装量配置'!$A$6:$A$718,A94)</ns0:f>
        <ns0:v>0</ns0:v>
      </ns0:c>
      <ns0:c r="AW94" s="132" t="n">
        <ns0:v>0.18</ns0:v>
      </ns0:c>
      <ns0:c r="AX94" s="120" t="n">
        <ns0:v>4</ns0:v>
      </ns0:c>
      <ns0:c r="AY94" s="120" t="n">
        <ns0:f>IF(AX94=1,1,0)</ns0:f>
        <ns0:v>0</ns0:v>
      </ns0:c>
      <ns0:c r="AZ94" s="120" t="n">
        <ns0:f>SUMIFS('装量配置'!$E$6:$E$718,'装量配置'!$A$6:$A$718,A94,'装量配置'!$B$6:$B$718,"开局",'装量配置'!$D$6:$D$718,"&lt;&gt;普通盒",'装量配置'!$D$6:$D$718,"&lt;&gt;广告锁定周转盒")</ns0:f>
        <ns0:v>3</ns0:v>
      </ns0:c>
      <ns0:c r="BA94" s="149" t="n">
        <ns0:f>IF(COUNTIFS('装量配置'!$A$6:$A$718,A94,'装量配置'!$B$6:$B$718,"开局",'装量配置'!$D$6:$D$718,"数字盖盒",'装量配置'!$E$6:$E$718,"&gt;0")&gt;0,1,0)+IF(COUNTIFS('装量配置'!$A$6:$A$718,A94,'装量配置'!$B$6:$B$718,"开局",'装量配置'!$D$6:$D$718,"普通冰冻盒",'装量配置'!$E$6:$E$718,"&gt;0")&gt;0,1,0)+IF(COUNTIFS('装量配置'!$A$6:$A$718,A94,'装量配置'!$B$6:$B$718,"开局",'装量配置'!$D$6:$D$718,"单颗暂存盒",'装量配置'!$E$6:$E$718,"&gt;0")&gt;0,1,0)+IF(COUNTIFS('装量配置'!$A$6:$A$718,A94,'装量配置'!$B$6:$B$718,"开局",'装量配置'!$D$6:$D$718,"数字冰冻盒",'装量配置'!$E$6:$E$718,"&gt;0")&gt;0,1,0)+IF(COUNTIFS('装量配置'!$A$6:$A$718,A94,'装量配置'!$B$6:$B$718,"开局",'装量配置'!$D$6:$D$718,"固定颜色盒",'装量配置'!$E$6:$E$718,"&gt;0")&gt;0,1,0)+IF(COUNTIFS('装量配置'!$A$6:$A$718,A94,'装量配置'!$B$6:$B$718,"开局",'装量配置'!$D$6:$D$718,"单向收纳盒",'装量配置'!$E$6:$E$718,"&gt;0")&gt;0,1,0)+IF(COUNTIFS('装量配置'!$A$6:$A$718,A94,'装量配置'!$B$6:$B$718,"开局",'装量配置'!$D$6:$D$718,"底部置顶盒",'装量配置'!$E$6:$E$718,"&gt;0")&gt;0,1,0)+IF(COUNTIFS('装量配置'!$A$6:$A$718,A94,'装量配置'!$B$6:$B$718,"开局",'装量配置'!$D$6:$D$718,"炸弹盒",'装量配置'!$E$6:$E$718,"&gt;0")&gt;0,1,0)</ns0:f>
        <ns0:v>3</ns0:v>
      </ns0:c>
      <ns0:c r="BB94" s="149" t="n">
        <ns0:f>SUMIFS('装量配置'!$E$6:$E$718,'装量配置'!$A$6:$A$718,A94,'装量配置'!$B$6:$B$718,"开局",'装量配置'!$D$6:$D$718,"数字盖盒")+SUMIFS('装量配置'!$E$6:$E$718,'装量配置'!$A$6:$A$718,A94,'装量配置'!$B$6:$B$718,"开局",'装量配置'!$D$6:$D$718,"普通冰冻盒")+SUMIFS('装量配置'!$E$6:$E$718,'装量配置'!$A$6:$A$718,A94,'装量配置'!$B$6:$B$718,"开局",'装量配置'!$D$6:$D$718,"数字冰冻盒")</ns0:f>
        <ns0:v>1</ns0:v>
      </ns0:c>
      <ns0:c r="BC94" s="149" t="n">
        <ns0:f>SUMIFS('装量配置'!$R$6:$R$718,'装量配置'!$A$6:$A$718,A94,'装量配置'!$B$6:$B$718,"开局")</ns0:f>
        <ns0:v>2</ns0:v>
      </ns0:c>
      <ns0:c r="BD94" s="146" t="str">
        <ns0:v>炸弹、数字冰冻2、空暂存与分批补货组成高点；拆弹同味材料明牌，三颗隐藏留给后段整理。</ns0:v>
      </ns0:c>
      <ns0:c r="BE94" s="149" t="n">
        <ns0:v>4</ns0:v>
      </ns0:c>
      <ns0:c r="BF94" s="146" t="str">
        <ns0:v>首归纳及时交付，炸弹材料明牌；逐关试玩核对时限</ns0:v>
      </ns0:c>
    </ns0:row>
    <ns0:row r="95" ht="33" customHeight="1">
      <ns0:c r="A95" s="105" t="n">
        <ns0:v>90</ns0:v>
      </ns0:c>
      <ns0:c r="B95" s="117" t="str">
        <ns0:v>炸弹与节奏起伏</ns0:v>
      </ns0:c>
      <ns0:c r="C95" s="126" t="str">
        <ns0:v>缓和巩固</ns0:v>
      </ns0:c>
      <ns0:c r="D95" s="108" t="n">
        <ns0:v>4.6</ns0:v>
      </ns0:c>
      <ns0:c r="E95" s="123" t="str">
        <ns0:v>拆弹与归纳顺序</ns0:v>
      </ns0:c>
      <ns0:c r="F95" s="123" t="str">
        <ns0:v>机关与装量配合</ns0:v>
      </ns0:c>
      <ns0:c r="G95" s="105" t="str">
        <ns0:v>整齐</ns0:v>
      </ns0:c>
      <ns0:c r="H95" s="105" t="n">
        <ns0:v>7</ns0:v>
      </ns0:c>
      <ns0:c r="I95" s="105" t="n">
        <ns0:f>SUMIFS('装量配置'!$E$6:$E$718,'装量配置'!$A$6:$A$718,A95,'装量配置'!$B$6:$B$718,"开局",'装量配置'!$F$6:$F$718,4,'装量配置'!$G$6:$G$718,"&gt;0")</ns0:f>
        <ns0:v>15</ns0:v>
      </ns0:c>
      <ns0:c r="J95" s="105" t="n">
        <ns0:f>SUMIFS('装量配置'!$E$6:$E$718,'装量配置'!$A$6:$A$718,A95,'装量配置'!$B$6:$B$718,"备货")</ns0:f>
        <ns0:v>0</ns0:v>
      </ns0:c>
      <ns0:c r="K95" s="105" t="n">
        <ns0:v>14</ns0:v>
      </ns0:c>
      <ns0:c r="L95" s="105" t="n">
        <ns0:f>SUMIFS('装量配置'!$E$6:$E$718,'装量配置'!$A$6:$A$718,A95,'装量配置'!$B$6:$B$718,"开局",'装量配置'!$F$6:$F$718,4,'装量配置'!$G$6:$G$718,0,'装量配置'!$D$6:$D$718,"&lt;&gt;广告锁定周转盒")</ns0:f>
        <ns0:v>2</ns0:v>
      </ns0:c>
      <ns0:c r="M95" s="105" t="n">
        <ns0:f>SUMIFS('装量配置'!$E$6:$E$718,'装量配置'!$A$6:$A$718,A95,'装量配置'!$B$6:$B$718,"开局",'装量配置'!$F$6:$F$718,1)</ns0:f>
        <ns0:v>0</ns0:v>
      </ns0:c>
      <ns0:c r="N95" s="105" t="n">
        <ns0:f>SUMIFS('装量配置'!$E$6:$E$718,'装量配置'!$A$6:$A$718,A95,'装量配置'!$B$6:$B$718,"开局",'装量配置'!$D$6:$D$718,"广告锁定周转盒")</ns0:f>
        <ns0:v>2</ns0:v>
      </ns0:c>
      <ns0:c r="O95" s="105" t="n">
        <ns0:f>SUMIFS('装量配置'!$E$6:$E$718,'装量配置'!$A$6:$A$718,A95,'装量配置'!$B$6:$B$718,"开局")</ns0:f>
        <ns0:v>19</ns0:v>
      </ns0:c>
      <ns0:c r="P95" s="105" t="n">
        <ns0:f>SUMIFS('装量配置'!$K$6:$K$718,'装量配置'!$A$6:$A$718,A95)</ns0:f>
        <ns0:v>4</ns0:v>
      </ns0:c>
      <ns0:c r="Q95" s="105" t="n">
        <ns0:v>4</ns0:v>
      </ns0:c>
      <ns0:c r="R95" s="106" t="n">
        <ns0:v>0</ns0:v>
      </ns0:c>
      <ns0:c r="S95" s="106" t="n">
        <ns0:v>0.12</ns0:v>
      </ns0:c>
      <ns0:c r="T95" s="105" t="n">
        <ns0:v>3</ns0:v>
      </ns0:c>
      <ns0:c r="U95" s="105" t="n">
        <ns0:v>0</ns0:v>
      </ns0:c>
      <ns0:c r="V95" s="123" t="str">
        <ns0:v>底部置顶盒</ns0:v>
      </ns0:c>
      <ns0:c r="W95" s="123" t="str">
        <ns0:v>固定颜色盒</ns0:v>
      </ns0:c>
      <ns0:c r="X95" s="123" t="str">
        <ns0:v>底部置顶盒×1；固定颜色盒×1</ns0:v>
      </ns0:c>
      <ns0:c r="Y95" s="105" t="n">
        <ns0:f>SUMIFS('装量配置'!$I$6:$I$718,'装量配置'!$A$6:$A$718,A95)</ns0:f>
        <ns0:v>56</ns0:v>
      </ns0:c>
      <ns0:c r="Z95" s="105" t="str">
        <ns0:f>IF(AND(O95&lt;=25,N95=2,Y95=K95*4,H95&lt;=K95,P95+AT95&gt;=4,COUNTIFS('装量配置'!$A$6:$A$718,A95,'装量配置'!$O$6:$O$718,"需调整")=0),"装量通过；待逐味","需调整")</ns0:f>
        <ns0:v>装量通过；待逐味</ns0:v>
      </ns0:c>
      <ns0:c r="AA95" s="107" t="str">
        <ns0:v>四条件可行路线已保存（非最短解）</ns0:v>
      </ns0:c>
      <ns0:c r="AB95" s="107"/>
      <ns0:c r="AC95" s="107"/>
      <ns0:c r="AD95" s="106" t="n">
        <ns0:v>0.61</ns0:v>
      </ns0:c>
      <ns0:c r="AE95" s="108" t="n">
        <ns0:v>5.5</ns0:v>
      </ns0:c>
      <ns0:c r="AF95" s="109"/>
      <ns0:c r="AG95" s="109"/>
      <ns0:c r="AH95" s="110"/>
      <ns0:c r="AI95" s="131" t="str">
        <ns0:v>固定层序；待连续真人试玩</ns0:v>
      </ns0:c>
      <ns0:c r="AJ95" s="123" t="str">
        <ns0:v>撤去倒计时和未知层，七色循环供料与固定托接收；无补货、较少物料，收尾回落。</ns0:v>
      </ns0:c>
      <ns0:c r="AK95" s="123" t="str">
        <ns0:v>连续居中，按盒数分排</ns0:v>
      </ns0:c>
      <ns0:c r="AL95" s="105" t="n">
        <ns0:v>1</ns0:v>
      </ns0:c>
      <ns0:c r="AM95" s="106" t="n">
        <ns0:v>0.78</ns0:v>
      </ns0:c>
      <ns0:c r="AN95" s="107"/>
      <ns0:c r="AO95" s="110"/>
      <ns0:c r="AP95" s="123" t="str">
        <ns0:v>双锁／单开A／单开B／双开完整回放</ns0:v>
      </ns0:c>
      <ns0:c r="AQ95" s="107"/>
      <ns0:c r="AR95" s="121" t="n">
        <ns0:f>SUMIFS('装量配置'!$I$6:$I$718,'装量配置'!$A$6:$A$718,A95,'装量配置'!$B$6:$B$718,"开局")</ns0:f>
        <ns0:v>56</ns0:v>
      </ns0:c>
      <ns0:c r="AS95" s="133" t="n">
        <ns0:f>SUMIFS('装量配置'!$I$6:$I$718,'装量配置'!$A$6:$A$718,A95,'装量配置'!$B$6:$B$718,"开局",'装量配置'!$D$6:$D$718,"普通盒",'装量配置'!$G$6:$G$718,"&gt;0")/(4*SUMIFS('装量配置'!$E$6:$E$718,'装量配置'!$A$6:$A$718,A95,'装量配置'!$B$6:$B$718,"开局",'装量配置'!$D$6:$D$718,"普通盒",'装量配置'!$G$6:$G$718,"&gt;0"))</ns0:f>
        <ns0:v>0.9285714285714286</ns0:v>
      </ns0:c>
      <ns0:c r="AT95" s="121" t="n">
        <ns0:f>SUMIFS('装量配置'!$L$6:$L$718,'装量配置'!$A$6:$A$718,A95)</ns0:f>
        <ns0:v>4</ns0:v>
      </ns0:c>
      <ns0:c r="AU95" s="121" t="n">
        <ns0:f>SUMIFS('装量配置'!$M$6:$M$718,'装量配置'!$A$6:$A$718,A95)</ns0:f>
        <ns0:v>4</ns0:v>
      </ns0:c>
      <ns0:c r="AV95" s="121" t="n">
        <ns0:f>SUMIFS('装量配置'!$N$6:$N$718,'装量配置'!$A$6:$A$718,A95)</ns0:f>
        <ns0:v>0</ns0:v>
      </ns0:c>
      <ns0:c r="AW95" s="133" t="n">
        <ns0:v>0.18</ns0:v>
      </ns0:c>
      <ns0:c r="AX95" s="121" t="n">
        <ns0:v>4</ns0:v>
      </ns0:c>
      <ns0:c r="AY95" s="121" t="n">
        <ns0:f>IF(AX95=1,1,0)</ns0:f>
        <ns0:v>0</ns0:v>
      </ns0:c>
      <ns0:c r="AZ95" s="121" t="n">
        <ns0:f>SUMIFS('装量配置'!$E$6:$E$718,'装量配置'!$A$6:$A$718,A95,'装量配置'!$B$6:$B$718,"开局",'装量配置'!$D$6:$D$718,"&lt;&gt;普通盒",'装量配置'!$D$6:$D$718,"&lt;&gt;广告锁定周转盒")</ns0:f>
        <ns0:v>2</ns0:v>
      </ns0:c>
      <ns0:c r="BA95" s="150" t="n">
        <ns0:f>IF(COUNTIFS('装量配置'!$A$6:$A$718,A95,'装量配置'!$B$6:$B$718,"开局",'装量配置'!$D$6:$D$718,"数字盖盒",'装量配置'!$E$6:$E$718,"&gt;0")&gt;0,1,0)+IF(COUNTIFS('装量配置'!$A$6:$A$718,A95,'装量配置'!$B$6:$B$718,"开局",'装量配置'!$D$6:$D$718,"普通冰冻盒",'装量配置'!$E$6:$E$718,"&gt;0")&gt;0,1,0)+IF(COUNTIFS('装量配置'!$A$6:$A$718,A95,'装量配置'!$B$6:$B$718,"开局",'装量配置'!$D$6:$D$718,"单颗暂存盒",'装量配置'!$E$6:$E$718,"&gt;0")&gt;0,1,0)+IF(COUNTIFS('装量配置'!$A$6:$A$718,A95,'装量配置'!$B$6:$B$718,"开局",'装量配置'!$D$6:$D$718,"数字冰冻盒",'装量配置'!$E$6:$E$718,"&gt;0")&gt;0,1,0)+IF(COUNTIFS('装量配置'!$A$6:$A$718,A95,'装量配置'!$B$6:$B$718,"开局",'装量配置'!$D$6:$D$718,"固定颜色盒",'装量配置'!$E$6:$E$718,"&gt;0")&gt;0,1,0)+IF(COUNTIFS('装量配置'!$A$6:$A$718,A95,'装量配置'!$B$6:$B$718,"开局",'装量配置'!$D$6:$D$718,"单向收纳盒",'装量配置'!$E$6:$E$718,"&gt;0")&gt;0,1,0)+IF(COUNTIFS('装量配置'!$A$6:$A$718,A95,'装量配置'!$B$6:$B$718,"开局",'装量配置'!$D$6:$D$718,"底部置顶盒",'装量配置'!$E$6:$E$718,"&gt;0")&gt;0,1,0)+IF(COUNTIFS('装量配置'!$A$6:$A$718,A95,'装量配置'!$B$6:$B$718,"开局",'装量配置'!$D$6:$D$718,"炸弹盒",'装量配置'!$E$6:$E$718,"&gt;0")&gt;0,1,0)</ns0:f>
        <ns0:v>2</ns0:v>
      </ns0:c>
      <ns0:c r="BB95" s="150" t="n">
        <ns0:f>SUMIFS('装量配置'!$E$6:$E$718,'装量配置'!$A$6:$A$718,A95,'装量配置'!$B$6:$B$718,"开局",'装量配置'!$D$6:$D$718,"数字盖盒")+SUMIFS('装量配置'!$E$6:$E$718,'装量配置'!$A$6:$A$718,A95,'装量配置'!$B$6:$B$718,"开局",'装量配置'!$D$6:$D$718,"普通冰冻盒")+SUMIFS('装量配置'!$E$6:$E$718,'装量配置'!$A$6:$A$718,A95,'装量配置'!$B$6:$B$718,"开局",'装量配置'!$D$6:$D$718,"数字冰冻盒")</ns0:f>
        <ns0:v>0</ns0:v>
      </ns0:c>
      <ns0:c r="BC95" s="150" t="n">
        <ns0:f>SUMIFS('装量配置'!$R$6:$R$718,'装量配置'!$A$6:$A$718,A95,'装量配置'!$B$6:$B$718,"开局")</ns0:f>
        <ns0:v>0</ns0:v>
      </ns0:c>
      <ns0:c r="BD95" s="148" t="str">
        <ns0:v>撤去倒计时和未知层，七色循环供料与固定托接收；无补货、较少物料，收尾回落。</ns0:v>
      </ns0:c>
      <ns0:c r="BE95" s="150" t="n">
        <ns0:v>2</ns0:v>
      </ns0:c>
      <ns0:c r="BF95" s="148" t="str">
        <ns0:v>首归纳及时交付，炸弹材料明牌；逐关试玩核对时限</ns0:v>
      </ns0:c>
    </ns0:row>
    <ns0:row r="96" ht="33" customHeight="1">
      <ns0:c r="A96" s="97" t="n">
        <ns0:v>91</ns0:v>
      </ns0:c>
      <ns0:c r="B96" s="115" t="str">
        <ns0:v>百关收官与节奏起伏</ns0:v>
      </ns0:c>
      <ns0:c r="C96" s="125" t="str">
        <ns0:v>机制组合</ns0:v>
      </ns0:c>
      <ns0:c r="D96" s="100" t="n">
        <ns0:v>4.7</ns0:v>
      </ns0:c>
      <ns0:c r="E96" s="122" t="str">
        <ns0:v>机关与归纳顺序</ns0:v>
      </ns0:c>
      <ns0:c r="F96" s="122" t="str">
        <ns0:v>装量与周转配合</ns0:v>
      </ns0:c>
      <ns0:c r="G96" s="97" t="str">
        <ns0:v>整齐</ns0:v>
      </ns0:c>
      <ns0:c r="H96" s="97" t="n">
        <ns0:v>7</ns0:v>
      </ns0:c>
      <ns0:c r="I96" s="97" t="n">
        <ns0:f>SUMIFS('装量配置'!$E$6:$E$718,'装量配置'!$A$6:$A$718,A96,'装量配置'!$B$6:$B$718,"开局",'装量配置'!$F$6:$F$718,4,'装量配置'!$G$6:$G$718,"&gt;0")</ns0:f>
        <ns0:v>15</ns0:v>
      </ns0:c>
      <ns0:c r="J96" s="97" t="n">
        <ns0:f>SUMIFS('装量配置'!$E$6:$E$718,'装量配置'!$A$6:$A$718,A96,'装量配置'!$B$6:$B$718,"备货")</ns0:f>
        <ns0:v>0</ns0:v>
      </ns0:c>
      <ns0:c r="K96" s="97" t="n">
        <ns0:v>14</ns0:v>
      </ns0:c>
      <ns0:c r="L96" s="97" t="n">
        <ns0:f>SUMIFS('装量配置'!$E$6:$E$718,'装量配置'!$A$6:$A$718,A96,'装量配置'!$B$6:$B$718,"开局",'装量配置'!$F$6:$F$718,4,'装量配置'!$G$6:$G$718,0,'装量配置'!$D$6:$D$718,"&lt;&gt;广告锁定周转盒")</ns0:f>
        <ns0:v>2</ns0:v>
      </ns0:c>
      <ns0:c r="M96" s="97" t="n">
        <ns0:f>SUMIFS('装量配置'!$E$6:$E$718,'装量配置'!$A$6:$A$718,A96,'装量配置'!$B$6:$B$718,"开局",'装量配置'!$F$6:$F$718,1)</ns0:f>
        <ns0:v>0</ns0:v>
      </ns0:c>
      <ns0:c r="N96" s="97" t="n">
        <ns0:f>SUMIFS('装量配置'!$E$6:$E$718,'装量配置'!$A$6:$A$718,A96,'装量配置'!$B$6:$B$718,"开局",'装量配置'!$D$6:$D$718,"广告锁定周转盒")</ns0:f>
        <ns0:v>2</ns0:v>
      </ns0:c>
      <ns0:c r="O96" s="97" t="n">
        <ns0:f>SUMIFS('装量配置'!$E$6:$E$718,'装量配置'!$A$6:$A$718,A96,'装量配置'!$B$6:$B$718,"开局")</ns0:f>
        <ns0:v>19</ns0:v>
      </ns0:c>
      <ns0:c r="P96" s="97" t="n">
        <ns0:f>SUMIFS('装量配置'!$K$6:$K$718,'装量配置'!$A$6:$A$718,A96)</ns0:f>
        <ns0:v>4</ns0:v>
      </ns0:c>
      <ns0:c r="Q96" s="97" t="n">
        <ns0:v>4</ns0:v>
      </ns0:c>
      <ns0:c r="R96" s="98" t="n">
        <ns0:v>0</ns0:v>
      </ns0:c>
      <ns0:c r="S96" s="98" t="n">
        <ns0:v>0.12</ns0:v>
      </ns0:c>
      <ns0:c r="T96" s="97" t="n">
        <ns0:v>3</ns0:v>
      </ns0:c>
      <ns0:c r="U96" s="97" t="n">
        <ns0:v>0</ns0:v>
      </ns0:c>
      <ns0:c r="V96" s="122" t="str">
        <ns0:v>底部置顶盒</ns0:v>
      </ns0:c>
      <ns0:c r="W96" s="122" t="str">
        <ns0:v>单向收纳盒</ns0:v>
      </ns0:c>
      <ns0:c r="X96" s="122" t="str">
        <ns0:v>底部置顶盒×1；单向收纳盒×1</ns0:v>
      </ns0:c>
      <ns0:c r="Y96" s="97" t="n">
        <ns0:f>SUMIFS('装量配置'!$I$6:$I$718,'装量配置'!$A$6:$A$718,A96)</ns0:f>
        <ns0:v>56</ns0:v>
      </ns0:c>
      <ns0:c r="Z96" s="97" t="str">
        <ns0:f>IF(AND(O96&lt;=25,N96=2,Y96=K96*4,H96&lt;=K96,P96+AT96&gt;=4,COUNTIFS('装量配置'!$A$6:$A$718,A96,'装量配置'!$O$6:$O$718,"需调整")=0),"装量通过；待逐味","需调整")</ns0:f>
        <ns0:v>装量通过；待逐味</ns0:v>
      </ns0:c>
      <ns0:c r="AA96" s="99" t="str">
        <ns0:v>四条件可行路线已保存（非最短解）</ns0:v>
      </ns0:c>
      <ns0:c r="AB96" s="99"/>
      <ns0:c r="AC96" s="99"/>
      <ns0:c r="AD96" s="98" t="n">
        <ns0:v>0.6</ns0:v>
      </ns0:c>
      <ns0:c r="AE96" s="100" t="n">
        <ns0:v>6</ns0:v>
      </ns0:c>
      <ns0:c r="AF96" s="101"/>
      <ns0:c r="AG96" s="101"/>
      <ns0:c r="AH96" s="102"/>
      <ns0:c r="AI96" s="130" t="str">
        <ns0:v>固定层序；待连续真人试玩</ns0:v>
      </ns0:c>
      <ns0:c r="AJ96" s="122" t="str">
        <ns0:v>循环供料配空单向盒，先观察换顶再确定收纳口味；七色明牌、无补货。</ns0:v>
      </ns0:c>
      <ns0:c r="AK96" s="122" t="str">
        <ns0:v>连续居中，按盒数分排</ns0:v>
      </ns0:c>
      <ns0:c r="AL96" s="97" t="n">
        <ns0:v>1</ns0:v>
      </ns0:c>
      <ns0:c r="AM96" s="98" t="n">
        <ns0:v>0.88</ns0:v>
      </ns0:c>
      <ns0:c r="AN96" s="97"/>
      <ns0:c r="AO96" s="98"/>
      <ns0:c r="AP96" s="122" t="str">
        <ns0:v>双锁／单开A／单开B／双开完整回放</ns0:v>
      </ns0:c>
      <ns0:c r="AQ96" s="99"/>
      <ns0:c r="AR96" s="120" t="n">
        <ns0:f>SUMIFS('装量配置'!$I$6:$I$718,'装量配置'!$A$6:$A$718,A96,'装量配置'!$B$6:$B$718,"开局")</ns0:f>
        <ns0:v>56</ns0:v>
      </ns0:c>
      <ns0:c r="AS96" s="132" t="n">
        <ns0:f>SUMIFS('装量配置'!$I$6:$I$718,'装量配置'!$A$6:$A$718,A96,'装量配置'!$B$6:$B$718,"开局",'装量配置'!$D$6:$D$718,"普通盒",'装量配置'!$G$6:$G$718,"&gt;0")/(4*SUMIFS('装量配置'!$E$6:$E$718,'装量配置'!$A$6:$A$718,A96,'装量配置'!$B$6:$B$718,"开局",'装量配置'!$D$6:$D$718,"普通盒",'装量配置'!$G$6:$G$718,"&gt;0"))</ns0:f>
        <ns0:v>0.9285714285714286</ns0:v>
      </ns0:c>
      <ns0:c r="AT96" s="120" t="n">
        <ns0:f>SUMIFS('装量配置'!$L$6:$L$718,'装量配置'!$A$6:$A$718,A96)</ns0:f>
        <ns0:v>4</ns0:v>
      </ns0:c>
      <ns0:c r="AU96" s="120" t="n">
        <ns0:f>SUMIFS('装量配置'!$M$6:$M$718,'装量配置'!$A$6:$A$718,A96)</ns0:f>
        <ns0:v>4</ns0:v>
      </ns0:c>
      <ns0:c r="AV96" s="120" t="n">
        <ns0:f>SUMIFS('装量配置'!$N$6:$N$718,'装量配置'!$A$6:$A$718,A96)</ns0:f>
        <ns0:v>0</ns0:v>
      </ns0:c>
      <ns0:c r="AW96" s="132" t="n">
        <ns0:v>0.18</ns0:v>
      </ns0:c>
      <ns0:c r="AX96" s="120" t="n">
        <ns0:v>4</ns0:v>
      </ns0:c>
      <ns0:c r="AY96" s="120" t="n">
        <ns0:f>IF(AX96=1,1,0)</ns0:f>
        <ns0:v>0</ns0:v>
      </ns0:c>
      <ns0:c r="AZ96" s="120" t="n">
        <ns0:f>SUMIFS('装量配置'!$E$6:$E$718,'装量配置'!$A$6:$A$718,A96,'装量配置'!$B$6:$B$718,"开局",'装量配置'!$D$6:$D$718,"&lt;&gt;普通盒",'装量配置'!$D$6:$D$718,"&lt;&gt;广告锁定周转盒")</ns0:f>
        <ns0:v>2</ns0:v>
      </ns0:c>
      <ns0:c r="BA96" s="149" t="n">
        <ns0:f>IF(COUNTIFS('装量配置'!$A$6:$A$718,A96,'装量配置'!$B$6:$B$718,"开局",'装量配置'!$D$6:$D$718,"数字盖盒",'装量配置'!$E$6:$E$718,"&gt;0")&gt;0,1,0)+IF(COUNTIFS('装量配置'!$A$6:$A$718,A96,'装量配置'!$B$6:$B$718,"开局",'装量配置'!$D$6:$D$718,"普通冰冻盒",'装量配置'!$E$6:$E$718,"&gt;0")&gt;0,1,0)+IF(COUNTIFS('装量配置'!$A$6:$A$718,A96,'装量配置'!$B$6:$B$718,"开局",'装量配置'!$D$6:$D$718,"单颗暂存盒",'装量配置'!$E$6:$E$718,"&gt;0")&gt;0,1,0)+IF(COUNTIFS('装量配置'!$A$6:$A$718,A96,'装量配置'!$B$6:$B$718,"开局",'装量配置'!$D$6:$D$718,"数字冰冻盒",'装量配置'!$E$6:$E$718,"&gt;0")&gt;0,1,0)+IF(COUNTIFS('装量配置'!$A$6:$A$718,A96,'装量配置'!$B$6:$B$718,"开局",'装量配置'!$D$6:$D$718,"固定颜色盒",'装量配置'!$E$6:$E$718,"&gt;0")&gt;0,1,0)+IF(COUNTIFS('装量配置'!$A$6:$A$718,A96,'装量配置'!$B$6:$B$718,"开局",'装量配置'!$D$6:$D$718,"单向收纳盒",'装量配置'!$E$6:$E$718,"&gt;0")&gt;0,1,0)+IF(COUNTIFS('装量配置'!$A$6:$A$718,A96,'装量配置'!$B$6:$B$718,"开局",'装量配置'!$D$6:$D$718,"底部置顶盒",'装量配置'!$E$6:$E$718,"&gt;0")&gt;0,1,0)+IF(COUNTIFS('装量配置'!$A$6:$A$718,A96,'装量配置'!$B$6:$B$718,"开局",'装量配置'!$D$6:$D$718,"炸弹盒",'装量配置'!$E$6:$E$718,"&gt;0")&gt;0,1,0)</ns0:f>
        <ns0:v>2</ns0:v>
      </ns0:c>
      <ns0:c r="BB96" s="149" t="n">
        <ns0:f>SUMIFS('装量配置'!$E$6:$E$718,'装量配置'!$A$6:$A$718,A96,'装量配置'!$B$6:$B$718,"开局",'装量配置'!$D$6:$D$718,"数字盖盒")+SUMIFS('装量配置'!$E$6:$E$718,'装量配置'!$A$6:$A$718,A96,'装量配置'!$B$6:$B$718,"开局",'装量配置'!$D$6:$D$718,"普通冰冻盒")+SUMIFS('装量配置'!$E$6:$E$718,'装量配置'!$A$6:$A$718,A96,'装量配置'!$B$6:$B$718,"开局",'装量配置'!$D$6:$D$718,"数字冰冻盒")</ns0:f>
        <ns0:v>0</ns0:v>
      </ns0:c>
      <ns0:c r="BC96" s="149" t="n">
        <ns0:f>SUMIFS('装量配置'!$R$6:$R$718,'装量配置'!$A$6:$A$718,A96,'装量配置'!$B$6:$B$718,"开局")</ns0:f>
        <ns0:v>0</ns0:v>
      </ns0:c>
      <ns0:c r="BD96" s="146" t="str">
        <ns0:v>循环供料配空单向盒，先观察换顶再确定收纳口味；七色明牌、无补货。</ns0:v>
      </ns0:c>
      <ns0:c r="BE96" s="149" t="n">
        <ns0:v>3</ns0:v>
      </ns0:c>
      <ns0:c r="BF96" s="146" t="str">
        <ns0:v>首归纳及时交付，逐关试玩核对机关与收尾节奏</ns0:v>
      </ns0:c>
    </ns0:row>
    <ns0:row r="97" ht="33" customHeight="1">
      <ns0:c r="A97" s="105" t="n">
        <ns0:v>92</ns0:v>
      </ns0:c>
      <ns0:c r="B97" s="117" t="str">
        <ns0:v>百关收官与节奏起伏</ns0:v>
      </ns0:c>
      <ns0:c r="C97" s="126" t="str">
        <ns0:v>机制组合</ns0:v>
      </ns0:c>
      <ns0:c r="D97" s="108" t="n">
        <ns0:v>4.8</ns0:v>
      </ns0:c>
      <ns0:c r="E97" s="123" t="str">
        <ns0:v>机关与归纳顺序</ns0:v>
      </ns0:c>
      <ns0:c r="F97" s="123" t="str">
        <ns0:v>装量与周转配合</ns0:v>
      </ns0:c>
      <ns0:c r="G97" s="105" t="str">
        <ns0:v>错落</ns0:v>
      </ns0:c>
      <ns0:c r="H97" s="105" t="n">
        <ns0:v>8</ns0:v>
      </ns0:c>
      <ns0:c r="I97" s="105" t="n">
        <ns0:f>SUMIFS('装量配置'!$E$6:$E$718,'装量配置'!$A$6:$A$718,A97,'装量配置'!$B$6:$B$718,"开局",'装量配置'!$F$6:$F$718,4,'装量配置'!$G$6:$G$718,"&gt;0")</ns0:f>
        <ns0:v>15</ns0:v>
      </ns0:c>
      <ns0:c r="J97" s="105" t="n">
        <ns0:f>SUMIFS('装量配置'!$E$6:$E$718,'装量配置'!$A$6:$A$718,A97,'装量配置'!$B$6:$B$718,"备货")</ns0:f>
        <ns0:v>0</ns0:v>
      </ns0:c>
      <ns0:c r="K97" s="105" t="n">
        <ns0:v>14</ns0:v>
      </ns0:c>
      <ns0:c r="L97" s="105" t="n">
        <ns0:f>SUMIFS('装量配置'!$E$6:$E$718,'装量配置'!$A$6:$A$718,A97,'装量配置'!$B$6:$B$718,"开局",'装量配置'!$F$6:$F$718,4,'装量配置'!$G$6:$G$718,0,'装量配置'!$D$6:$D$718,"&lt;&gt;广告锁定周转盒")</ns0:f>
        <ns0:v>2</ns0:v>
      </ns0:c>
      <ns0:c r="M97" s="105" t="n">
        <ns0:f>SUMIFS('装量配置'!$E$6:$E$718,'装量配置'!$A$6:$A$718,A97,'装量配置'!$B$6:$B$718,"开局",'装量配置'!$F$6:$F$718,1)</ns0:f>
        <ns0:v>0</ns0:v>
      </ns0:c>
      <ns0:c r="N97" s="105" t="n">
        <ns0:f>SUMIFS('装量配置'!$E$6:$E$718,'装量配置'!$A$6:$A$718,A97,'装量配置'!$B$6:$B$718,"开局",'装量配置'!$D$6:$D$718,"广告锁定周转盒")</ns0:f>
        <ns0:v>2</ns0:v>
      </ns0:c>
      <ns0:c r="O97" s="105" t="n">
        <ns0:f>SUMIFS('装量配置'!$E$6:$E$718,'装量配置'!$A$6:$A$718,A97,'装量配置'!$B$6:$B$718,"开局")</ns0:f>
        <ns0:v>19</ns0:v>
      </ns0:c>
      <ns0:c r="P97" s="105" t="n">
        <ns0:f>SUMIFS('装量配置'!$K$6:$K$718,'装量配置'!$A$6:$A$718,A97)</ns0:f>
        <ns0:v>4</ns0:v>
      </ns0:c>
      <ns0:c r="Q97" s="105" t="n">
        <ns0:v>4</ns0:v>
      </ns0:c>
      <ns0:c r="R97" s="106" t="n">
        <ns0:v>0</ns0:v>
      </ns0:c>
      <ns0:c r="S97" s="106" t="n">
        <ns0:v>0.12</ns0:v>
      </ns0:c>
      <ns0:c r="T97" s="105" t="n">
        <ns0:v>3</ns0:v>
      </ns0:c>
      <ns0:c r="U97" s="105" t="n">
        <ns0:v>0</ns0:v>
      </ns0:c>
      <ns0:c r="V97" s="123" t="str">
        <ns0:v>炸弹盒</ns0:v>
      </ns0:c>
      <ns0:c r="W97" s="123" t="str">
        <ns0:v>固定颜色盒</ns0:v>
      </ns0:c>
      <ns0:c r="X97" s="123" t="str">
        <ns0:v>炸弹盒×1；固定颜色盒×1；拆弹倍率1.35，时限待真人校准</ns0:v>
      </ns0:c>
      <ns0:c r="Y97" s="105" t="n">
        <ns0:f>SUMIFS('装量配置'!$I$6:$I$718,'装量配置'!$A$6:$A$718,A97)</ns0:f>
        <ns0:v>56</ns0:v>
      </ns0:c>
      <ns0:c r="Z97" s="105" t="str">
        <ns0:f>IF(AND(O97&lt;=25,N97=2,Y97=K97*4,H97&lt;=K97,P97+AT97&gt;=4,COUNTIFS('装量配置'!$A$6:$A$718,A97,'装量配置'!$O$6:$O$718,"需调整")=0),"装量通过；待逐味","需调整")</ns0:f>
        <ns0:v>装量通过；待逐味</ns0:v>
      </ns0:c>
      <ns0:c r="AA97" s="107" t="str">
        <ns0:v>四条件可行路线已保存（非最短解）</ns0:v>
      </ns0:c>
      <ns0:c r="AB97" s="107"/>
      <ns0:c r="AC97" s="107"/>
      <ns0:c r="AD97" s="106" t="n">
        <ns0:v>0.62</ns0:v>
      </ns0:c>
      <ns0:c r="AE97" s="108" t="n">
        <ns0:v>6</ns0:v>
      </ns0:c>
      <ns0:c r="AF97" s="109"/>
      <ns0:c r="AG97" s="109"/>
      <ns0:c r="AH97" s="110"/>
      <ns0:c r="AI97" s="131" t="str">
        <ns0:v>固定层序；待连续真人试玩</ns0:v>
      </ns0:c>
      <ns0:c r="AJ97" s="123" t="str">
        <ns0:v>炸弹与固定口味托分工，拆弹材料全明牌；先解除计时，再整理固定口味目标。</ns0:v>
      </ns0:c>
      <ns0:c r="AK97" s="123" t="str">
        <ns0:v>连续居中，按盒数分排</ns0:v>
      </ns0:c>
      <ns0:c r="AL97" s="105" t="n">
        <ns0:v>1</ns0:v>
      </ns0:c>
      <ns0:c r="AM97" s="106" t="n">
        <ns0:v>0.88</ns0:v>
      </ns0:c>
      <ns0:c r="AN97" s="107"/>
      <ns0:c r="AO97" s="110"/>
      <ns0:c r="AP97" s="123" t="str">
        <ns0:v>双锁／单开A／单开B／双开完整回放</ns0:v>
      </ns0:c>
      <ns0:c r="AQ97" s="107"/>
      <ns0:c r="AR97" s="121" t="n">
        <ns0:f>SUMIFS('装量配置'!$I$6:$I$718,'装量配置'!$A$6:$A$718,A97,'装量配置'!$B$6:$B$718,"开局")</ns0:f>
        <ns0:v>56</ns0:v>
      </ns0:c>
      <ns0:c r="AS97" s="133" t="n">
        <ns0:f>SUMIFS('装量配置'!$I$6:$I$718,'装量配置'!$A$6:$A$718,A97,'装量配置'!$B$6:$B$718,"开局",'装量配置'!$D$6:$D$718,"普通盒",'装量配置'!$G$6:$G$718,"&gt;0")/(4*SUMIFS('装量配置'!$E$6:$E$718,'装量配置'!$A$6:$A$718,A97,'装量配置'!$B$6:$B$718,"开局",'装量配置'!$D$6:$D$718,"普通盒",'装量配置'!$G$6:$G$718,"&gt;0"))</ns0:f>
        <ns0:v>0.9285714285714286</ns0:v>
      </ns0:c>
      <ns0:c r="AT97" s="121" t="n">
        <ns0:f>SUMIFS('装量配置'!$L$6:$L$718,'装量配置'!$A$6:$A$718,A97)</ns0:f>
        <ns0:v>4</ns0:v>
      </ns0:c>
      <ns0:c r="AU97" s="121" t="n">
        <ns0:f>SUMIFS('装量配置'!$M$6:$M$718,'装量配置'!$A$6:$A$718,A97)</ns0:f>
        <ns0:v>4</ns0:v>
      </ns0:c>
      <ns0:c r="AV97" s="121" t="n">
        <ns0:f>SUMIFS('装量配置'!$N$6:$N$718,'装量配置'!$A$6:$A$718,A97)</ns0:f>
        <ns0:v>0</ns0:v>
      </ns0:c>
      <ns0:c r="AW97" s="133" t="n">
        <ns0:v>0.18</ns0:v>
      </ns0:c>
      <ns0:c r="AX97" s="121" t="n">
        <ns0:v>4</ns0:v>
      </ns0:c>
      <ns0:c r="AY97" s="121" t="n">
        <ns0:f>IF(AX97=1,1,0)</ns0:f>
        <ns0:v>0</ns0:v>
      </ns0:c>
      <ns0:c r="AZ97" s="121" t="n">
        <ns0:f>SUMIFS('装量配置'!$E$6:$E$718,'装量配置'!$A$6:$A$718,A97,'装量配置'!$B$6:$B$718,"开局",'装量配置'!$D$6:$D$718,"&lt;&gt;普通盒",'装量配置'!$D$6:$D$718,"&lt;&gt;广告锁定周转盒")</ns0:f>
        <ns0:v>2</ns0:v>
      </ns0:c>
      <ns0:c r="BA97" s="150" t="n">
        <ns0:f>IF(COUNTIFS('装量配置'!$A$6:$A$718,A97,'装量配置'!$B$6:$B$718,"开局",'装量配置'!$D$6:$D$718,"数字盖盒",'装量配置'!$E$6:$E$718,"&gt;0")&gt;0,1,0)+IF(COUNTIFS('装量配置'!$A$6:$A$718,A97,'装量配置'!$B$6:$B$718,"开局",'装量配置'!$D$6:$D$718,"普通冰冻盒",'装量配置'!$E$6:$E$718,"&gt;0")&gt;0,1,0)+IF(COUNTIFS('装量配置'!$A$6:$A$718,A97,'装量配置'!$B$6:$B$718,"开局",'装量配置'!$D$6:$D$718,"单颗暂存盒",'装量配置'!$E$6:$E$718,"&gt;0")&gt;0,1,0)+IF(COUNTIFS('装量配置'!$A$6:$A$718,A97,'装量配置'!$B$6:$B$718,"开局",'装量配置'!$D$6:$D$718,"数字冰冻盒",'装量配置'!$E$6:$E$718,"&gt;0")&gt;0,1,0)+IF(COUNTIFS('装量配置'!$A$6:$A$718,A97,'装量配置'!$B$6:$B$718,"开局",'装量配置'!$D$6:$D$718,"固定颜色盒",'装量配置'!$E$6:$E$718,"&gt;0")&gt;0,1,0)+IF(COUNTIFS('装量配置'!$A$6:$A$718,A97,'装量配置'!$B$6:$B$718,"开局",'装量配置'!$D$6:$D$718,"单向收纳盒",'装量配置'!$E$6:$E$718,"&gt;0")&gt;0,1,0)+IF(COUNTIFS('装量配置'!$A$6:$A$718,A97,'装量配置'!$B$6:$B$718,"开局",'装量配置'!$D$6:$D$718,"底部置顶盒",'装量配置'!$E$6:$E$718,"&gt;0")&gt;0,1,0)+IF(COUNTIFS('装量配置'!$A$6:$A$718,A97,'装量配置'!$B$6:$B$718,"开局",'装量配置'!$D$6:$D$718,"炸弹盒",'装量配置'!$E$6:$E$718,"&gt;0")&gt;0,1,0)</ns0:f>
        <ns0:v>2</ns0:v>
      </ns0:c>
      <ns0:c r="BB97" s="150" t="n">
        <ns0:f>SUMIFS('装量配置'!$E$6:$E$718,'装量配置'!$A$6:$A$718,A97,'装量配置'!$B$6:$B$718,"开局",'装量配置'!$D$6:$D$718,"数字盖盒")+SUMIFS('装量配置'!$E$6:$E$718,'装量配置'!$A$6:$A$718,A97,'装量配置'!$B$6:$B$718,"开局",'装量配置'!$D$6:$D$718,"普通冰冻盒")+SUMIFS('装量配置'!$E$6:$E$718,'装量配置'!$A$6:$A$718,A97,'装量配置'!$B$6:$B$718,"开局",'装量配置'!$D$6:$D$718,"数字冰冻盒")</ns0:f>
        <ns0:v>0</ns0:v>
      </ns0:c>
      <ns0:c r="BC97" s="150" t="n">
        <ns0:f>SUMIFS('装量配置'!$R$6:$R$718,'装量配置'!$A$6:$A$718,A97,'装量配置'!$B$6:$B$718,"开局")</ns0:f>
        <ns0:v>0</ns0:v>
      </ns0:c>
      <ns0:c r="BD97" s="148" t="str">
        <ns0:v>炸弹与固定口味托分工，拆弹材料全明牌；先解除计时，再整理固定口味目标。</ns0:v>
      </ns0:c>
      <ns0:c r="BE97" s="150" t="n">
        <ns0:v>3</ns0:v>
      </ns0:c>
      <ns0:c r="BF97" s="148" t="str">
        <ns0:v>首归纳及时交付，逐关试玩核对机关与收尾节奏</ns0:v>
      </ns0:c>
    </ns0:row>
    <ns0:row r="98" ht="33" customHeight="1">
      <ns0:c r="A98" s="112" t="n">
        <ns0:v>93</ns0:v>
      </ns0:c>
      <ns0:c r="B98" s="119" t="str">
        <ns0:v>百关收官与节奏起伏</ns0:v>
      </ns0:c>
      <ns0:c r="C98" s="127" t="str">
        <ns0:v>机制组合</ns0:v>
      </ns0:c>
      <ns0:c r="D98" s="114" t="n">
        <ns0:v>4.9</ns0:v>
      </ns0:c>
      <ns0:c r="E98" s="124" t="str">
        <ns0:v>机关与归纳顺序</ns0:v>
      </ns0:c>
      <ns0:c r="F98" s="124" t="str">
        <ns0:v>装量与周转配合</ns0:v>
      </ns0:c>
      <ns0:c r="G98" s="112" t="str">
        <ns0:v>错落</ns0:v>
      </ns0:c>
      <ns0:c r="H98" s="112" t="n">
        <ns0:v>8</ns0:v>
      </ns0:c>
      <ns0:c r="I98" s="112" t="n">
        <ns0:f>SUMIFS('装量配置'!$E$6:$E$718,'装量配置'!$A$6:$A$718,A98,'装量配置'!$B$6:$B$718,"开局",'装量配置'!$F$6:$F$718,4,'装量配置'!$G$6:$G$718,"&gt;0")</ns0:f>
        <ns0:v>16</ns0:v>
      </ns0:c>
      <ns0:c r="J98" s="112" t="n">
        <ns0:f>SUMIFS('装量配置'!$E$6:$E$718,'装量配置'!$A$6:$A$718,A98,'装量配置'!$B$6:$B$718,"备货")</ns0:f>
        <ns0:v>0</ns0:v>
      </ns0:c>
      <ns0:c r="K98" s="112" t="n">
        <ns0:v>15</ns0:v>
      </ns0:c>
      <ns0:c r="L98" s="112" t="n">
        <ns0:f>SUMIFS('装量配置'!$E$6:$E$718,'装量配置'!$A$6:$A$718,A98,'装量配置'!$B$6:$B$718,"开局",'装量配置'!$F$6:$F$718,4,'装量配置'!$G$6:$G$718,0,'装量配置'!$D$6:$D$718,"&lt;&gt;广告锁定周转盒")</ns0:f>
        <ns0:v>1</ns0:v>
      </ns0:c>
      <ns0:c r="M98" s="112" t="n">
        <ns0:f>SUMIFS('装量配置'!$E$6:$E$718,'装量配置'!$A$6:$A$718,A98,'装量配置'!$B$6:$B$718,"开局",'装量配置'!$F$6:$F$718,1)</ns0:f>
        <ns0:v>0</ns0:v>
      </ns0:c>
      <ns0:c r="N98" s="112" t="n">
        <ns0:f>SUMIFS('装量配置'!$E$6:$E$718,'装量配置'!$A$6:$A$718,A98,'装量配置'!$B$6:$B$718,"开局",'装量配置'!$D$6:$D$718,"广告锁定周转盒")</ns0:f>
        <ns0:v>2</ns0:v>
      </ns0:c>
      <ns0:c r="O98" s="112" t="n">
        <ns0:f>SUMIFS('装量配置'!$E$6:$E$718,'装量配置'!$A$6:$A$718,A98,'装量配置'!$B$6:$B$718,"开局")</ns0:f>
        <ns0:v>19</ns0:v>
      </ns0:c>
      <ns0:c r="P98" s="112" t="n">
        <ns0:f>SUMIFS('装量配置'!$K$6:$K$718,'装量配置'!$A$6:$A$718,A98)</ns0:f>
        <ns0:v>4</ns0:v>
      </ns0:c>
      <ns0:c r="Q98" s="112" t="n">
        <ns0:v>4</ns0:v>
      </ns0:c>
      <ns0:c r="R98" s="113" t="n">
        <ns0:v>0</ns0:v>
      </ns0:c>
      <ns0:c r="S98" s="113" t="n">
        <ns0:v>0.12</ns0:v>
      </ns0:c>
      <ns0:c r="T98" s="112" t="n">
        <ns0:v>3</ns0:v>
      </ns0:c>
      <ns0:c r="U98" s="112" t="n">
        <ns0:v>0</ns0:v>
      </ns0:c>
      <ns0:c r="V98" s="124" t="str">
        <ns0:v>炸弹盒</ns0:v>
      </ns0:c>
      <ns0:c r="W98" s="124" t="str">
        <ns0:v>底部置顶盒、数字冰冻盒</ns0:v>
      </ns0:c>
      <ns0:c r="X98" s="124" t="str">
        <ns0:v>炸弹盒×1；底部置顶盒×1；数字冰冻盒×1；拆弹倍率1.35，时限待真人校准</ns0:v>
      </ns0:c>
      <ns0:c r="Y98" s="112" t="n">
        <ns0:f>SUMIFS('装量配置'!$I$6:$I$718,'装量配置'!$A$6:$A$718,A98)</ns0:f>
        <ns0:v>60</ns0:v>
      </ns0:c>
      <ns0:c r="Z98" s="112" t="str">
        <ns0:f>IF(AND(O98&lt;=25,N98=2,Y98=K98*4,H98&lt;=K98,P98+AT98&gt;=4,COUNTIFS('装量配置'!$A$6:$A$718,A98,'装量配置'!$O$6:$O$718,"需调整")=0),"装量通过；待逐味","需调整")</ns0:f>
        <ns0:v>装量通过；待逐味</ns0:v>
      </ns0:c>
      <ns0:c r="AA98" s="107" t="str">
        <ns0:v>四条件可行路线已保存（非最短解）</ns0:v>
      </ns0:c>
      <ns0:c r="AB98" s="107"/>
      <ns0:c r="AC98" s="107"/>
      <ns0:c r="AD98" s="113" t="n">
        <ns0:v>0.48</ns0:v>
      </ns0:c>
      <ns0:c r="AE98" s="114" t="n">
        <ns0:v>6</ns0:v>
      </ns0:c>
      <ns0:c r="AF98" s="109"/>
      <ns0:c r="AG98" s="109"/>
      <ns0:c r="AH98" s="110"/>
      <ns0:c r="AI98" s="131" t="str">
        <ns0:v>固定层序；待连续真人试玩</ns0:v>
      </ns0:c>
      <ns0:c r="AJ98" s="124" t="str">
        <ns0:v>炸弹、循环与数字冰冻2构成第一处高点；材料明牌、无补货，归纳推进解冻。</ns0:v>
      </ns0:c>
      <ns0:c r="AK98" s="124" t="str">
        <ns0:v>连续居中，按盒数分排</ns0:v>
      </ns0:c>
      <ns0:c r="AL98" s="112" t="n">
        <ns0:v>1</ns0:v>
      </ns0:c>
      <ns0:c r="AM98" s="113" t="n">
        <ns0:v>0.84</ns0:v>
      </ns0:c>
      <ns0:c r="AN98" s="112"/>
      <ns0:c r="AO98" s="113"/>
      <ns0:c r="AP98" s="124" t="str">
        <ns0:v>双锁／单开A／单开B／双开完整回放</ns0:v>
      </ns0:c>
      <ns0:c r="AQ98" s="107"/>
      <ns0:c r="AR98" s="120" t="n">
        <ns0:f>SUMIFS('装量配置'!$I$6:$I$718,'装量配置'!$A$6:$A$718,A98,'装量配置'!$B$6:$B$718,"开局")</ns0:f>
        <ns0:v>60</ns0:v>
      </ns0:c>
      <ns0:c r="AS98" s="132" t="n">
        <ns0:f>SUMIFS('装量配置'!$I$6:$I$718,'装量配置'!$A$6:$A$718,A98,'装量配置'!$B$6:$B$718,"开局",'装量配置'!$D$6:$D$718,"普通盒",'装量配置'!$G$6:$G$718,"&gt;0")/(4*SUMIFS('装量配置'!$E$6:$E$718,'装量配置'!$A$6:$A$718,A98,'装量配置'!$B$6:$B$718,"开局",'装量配置'!$D$6:$D$718,"普通盒",'装量配置'!$G$6:$G$718,"&gt;0"))</ns0:f>
        <ns0:v>0.9230769230769231</ns0:v>
      </ns0:c>
      <ns0:c r="AT98" s="120" t="n">
        <ns0:f>SUMIFS('装量配置'!$L$6:$L$718,'装量配置'!$A$6:$A$718,A98)</ns0:f>
        <ns0:v>4</ns0:v>
      </ns0:c>
      <ns0:c r="AU98" s="120" t="n">
        <ns0:f>SUMIFS('装量配置'!$M$6:$M$718,'装量配置'!$A$6:$A$718,A98)</ns0:f>
        <ns0:v>0</ns0:v>
      </ns0:c>
      <ns0:c r="AV98" s="120" t="n">
        <ns0:f>SUMIFS('装量配置'!$N$6:$N$718,'装量配置'!$A$6:$A$718,A98)</ns0:f>
        <ns0:v>0</ns0:v>
      </ns0:c>
      <ns0:c r="AW98" s="132" t="n">
        <ns0:v>0.18</ns0:v>
      </ns0:c>
      <ns0:c r="AX98" s="120" t="n">
        <ns0:v>4</ns0:v>
      </ns0:c>
      <ns0:c r="AY98" s="120" t="n">
        <ns0:f>IF(AX98=1,1,0)</ns0:f>
        <ns0:v>0</ns0:v>
      </ns0:c>
      <ns0:c r="AZ98" s="120" t="n">
        <ns0:f>SUMIFS('装量配置'!$E$6:$E$718,'装量配置'!$A$6:$A$718,A98,'装量配置'!$B$6:$B$718,"开局",'装量配置'!$D$6:$D$718,"&lt;&gt;普通盒",'装量配置'!$D$6:$D$718,"&lt;&gt;广告锁定周转盒")</ns0:f>
        <ns0:v>3</ns0:v>
      </ns0:c>
      <ns0:c r="BA98" s="149" t="n">
        <ns0:f>IF(COUNTIFS('装量配置'!$A$6:$A$718,A98,'装量配置'!$B$6:$B$718,"开局",'装量配置'!$D$6:$D$718,"数字盖盒",'装量配置'!$E$6:$E$718,"&gt;0")&gt;0,1,0)+IF(COUNTIFS('装量配置'!$A$6:$A$718,A98,'装量配置'!$B$6:$B$718,"开局",'装量配置'!$D$6:$D$718,"普通冰冻盒",'装量配置'!$E$6:$E$718,"&gt;0")&gt;0,1,0)+IF(COUNTIFS('装量配置'!$A$6:$A$718,A98,'装量配置'!$B$6:$B$718,"开局",'装量配置'!$D$6:$D$718,"单颗暂存盒",'装量配置'!$E$6:$E$718,"&gt;0")&gt;0,1,0)+IF(COUNTIFS('装量配置'!$A$6:$A$718,A98,'装量配置'!$B$6:$B$718,"开局",'装量配置'!$D$6:$D$718,"数字冰冻盒",'装量配置'!$E$6:$E$718,"&gt;0")&gt;0,1,0)+IF(COUNTIFS('装量配置'!$A$6:$A$718,A98,'装量配置'!$B$6:$B$718,"开局",'装量配置'!$D$6:$D$718,"固定颜色盒",'装量配置'!$E$6:$E$718,"&gt;0")&gt;0,1,0)+IF(COUNTIFS('装量配置'!$A$6:$A$718,A98,'装量配置'!$B$6:$B$718,"开局",'装量配置'!$D$6:$D$718,"单向收纳盒",'装量配置'!$E$6:$E$718,"&gt;0")&gt;0,1,0)+IF(COUNTIFS('装量配置'!$A$6:$A$718,A98,'装量配置'!$B$6:$B$718,"开局",'装量配置'!$D$6:$D$718,"底部置顶盒",'装量配置'!$E$6:$E$718,"&gt;0")&gt;0,1,0)+IF(COUNTIFS('装量配置'!$A$6:$A$718,A98,'装量配置'!$B$6:$B$718,"开局",'装量配置'!$D$6:$D$718,"炸弹盒",'装量配置'!$E$6:$E$718,"&gt;0")&gt;0,1,0)</ns0:f>
        <ns0:v>3</ns0:v>
      </ns0:c>
      <ns0:c r="BB98" s="149" t="n">
        <ns0:f>SUMIFS('装量配置'!$E$6:$E$718,'装量配置'!$A$6:$A$718,A98,'装量配置'!$B$6:$B$718,"开局",'装量配置'!$D$6:$D$718,"数字盖盒")+SUMIFS('装量配置'!$E$6:$E$718,'装量配置'!$A$6:$A$718,A98,'装量配置'!$B$6:$B$718,"开局",'装量配置'!$D$6:$D$718,"普通冰冻盒")+SUMIFS('装量配置'!$E$6:$E$718,'装量配置'!$A$6:$A$718,A98,'装量配置'!$B$6:$B$718,"开局",'装量配置'!$D$6:$D$718,"数字冰冻盒")</ns0:f>
        <ns0:v>1</ns0:v>
      </ns0:c>
      <ns0:c r="BC98" s="149" t="n">
        <ns0:f>SUMIFS('装量配置'!$R$6:$R$718,'装量配置'!$A$6:$A$718,A98,'装量配置'!$B$6:$B$718,"开局")</ns0:f>
        <ns0:v>2</ns0:v>
      </ns0:c>
      <ns0:c r="BD98" s="146" t="str">
        <ns0:v>炸弹、循环与数字冰冻2构成第一处高点；材料明牌、无补货，归纳推进解冻。</ns0:v>
      </ns0:c>
      <ns0:c r="BE98" s="149" t="n">
        <ns0:v>4</ns0:v>
      </ns0:c>
      <ns0:c r="BF98" s="146" t="str">
        <ns0:v>首归纳及时交付，逐关试玩核对机关与收尾节奏</ns0:v>
      </ns0:c>
    </ns0:row>
    <ns0:row r="99" ht="33" customHeight="1">
      <ns0:c r="A99" s="105" t="n">
        <ns0:v>94</ns0:v>
      </ns0:c>
      <ns0:c r="B99" s="117" t="str">
        <ns0:v>百关收官与节奏起伏</ns0:v>
      </ns0:c>
      <ns0:c r="C99" s="126" t="str">
        <ns0:v>缓和巩固</ns0:v>
      </ns0:c>
      <ns0:c r="D99" s="108" t="n">
        <ns0:v>4.6</ns0:v>
      </ns0:c>
      <ns0:c r="E99" s="123" t="str">
        <ns0:v>机关与归纳顺序</ns0:v>
      </ns0:c>
      <ns0:c r="F99" s="123" t="str">
        <ns0:v>装量与周转配合</ns0:v>
      </ns0:c>
      <ns0:c r="G99" s="105" t="str">
        <ns0:v>整齐</ns0:v>
      </ns0:c>
      <ns0:c r="H99" s="105" t="n">
        <ns0:v>7</ns0:v>
      </ns0:c>
      <ns0:c r="I99" s="105" t="n">
        <ns0:f>SUMIFS('装量配置'!$E$6:$E$718,'装量配置'!$A$6:$A$718,A99,'装量配置'!$B$6:$B$718,"开局",'装量配置'!$F$6:$F$718,4,'装量配置'!$G$6:$G$718,"&gt;0")</ns0:f>
        <ns0:v>15</ns0:v>
      </ns0:c>
      <ns0:c r="J99" s="105" t="n">
        <ns0:f>SUMIFS('装量配置'!$E$6:$E$718,'装量配置'!$A$6:$A$718,A99,'装量配置'!$B$6:$B$718,"备货")</ns0:f>
        <ns0:v>1</ns0:v>
      </ns0:c>
      <ns0:c r="K99" s="105" t="n">
        <ns0:v>15</ns0:v>
      </ns0:c>
      <ns0:c r="L99" s="105" t="n">
        <ns0:f>SUMIFS('装量配置'!$E$6:$E$718,'装量配置'!$A$6:$A$718,A99,'装量配置'!$B$6:$B$718,"开局",'装量配置'!$F$6:$F$718,4,'装量配置'!$G$6:$G$718,0,'装量配置'!$D$6:$D$718,"&lt;&gt;广告锁定周转盒")</ns0:f>
        <ns0:v>1</ns0:v>
      </ns0:c>
      <ns0:c r="M99" s="105" t="n">
        <ns0:f>SUMIFS('装量配置'!$E$6:$E$718,'装量配置'!$A$6:$A$718,A99,'装量配置'!$B$6:$B$718,"开局",'装量配置'!$F$6:$F$718,1)</ns0:f>
        <ns0:v>1</ns0:v>
      </ns0:c>
      <ns0:c r="N99" s="105" t="n">
        <ns0:f>SUMIFS('装量配置'!$E$6:$E$718,'装量配置'!$A$6:$A$718,A99,'装量配置'!$B$6:$B$718,"开局",'装量配置'!$D$6:$D$718,"广告锁定周转盒")</ns0:f>
        <ns0:v>2</ns0:v>
      </ns0:c>
      <ns0:c r="O99" s="105" t="n">
        <ns0:f>SUMIFS('装量配置'!$E$6:$E$718,'装量配置'!$A$6:$A$718,A99,'装量配置'!$B$6:$B$718,"开局")</ns0:f>
        <ns0:v>19</ns0:v>
      </ns0:c>
      <ns0:c r="P99" s="105" t="n">
        <ns0:f>SUMIFS('装量配置'!$K$6:$K$718,'装量配置'!$A$6:$A$718,A99)</ns0:f>
        <ns0:v>5</ns0:v>
      </ns0:c>
      <ns0:c r="Q99" s="105" t="n">
        <ns0:v>4</ns0:v>
      </ns0:c>
      <ns0:c r="R99" s="106" t="n">
        <ns0:v>0</ns0:v>
      </ns0:c>
      <ns0:c r="S99" s="106" t="n">
        <ns0:v>0.12</ns0:v>
      </ns0:c>
      <ns0:c r="T99" s="105" t="n">
        <ns0:v>3</ns0:v>
      </ns0:c>
      <ns0:c r="U99" s="105" t="n">
        <ns0:v>3</ns0:v>
      </ns0:c>
      <ns0:c r="V99" s="123" t="str">
        <ns0:v>普通冰冻盒</ns0:v>
      </ns0:c>
      <ns0:c r="W99" s="123" t="str">
        <ns0:v>单颗暂存盒</ns0:v>
      </ns0:c>
      <ns0:c r="X99" s="123" t="str">
        <ns0:v>普通冰冻盒×1；单颗暂存盒×1</ns0:v>
      </ns0:c>
      <ns0:c r="Y99" s="105" t="n">
        <ns0:f>SUMIFS('装量配置'!$I$6:$I$718,'装量配置'!$A$6:$A$718,A99)</ns0:f>
        <ns0:v>60</ns0:v>
      </ns0:c>
      <ns0:c r="Z99" s="105" t="str">
        <ns0:f>IF(AND(O99&lt;=25,N99=2,Y99=K99*4,H99&lt;=K99,P99+AT99&gt;=4,COUNTIFS('装量配置'!$A$6:$A$718,A99,'装量配置'!$O$6:$O$718,"需调整")=0),"装量通过；待逐味","需调整")</ns0:f>
        <ns0:v>装量通过；待逐味</ns0:v>
      </ns0:c>
      <ns0:c r="AA99" s="107" t="str">
        <ns0:v>四条件可行路线已保存（非最短解）</ns0:v>
      </ns0:c>
      <ns0:c r="AB99" s="107"/>
      <ns0:c r="AC99" s="107"/>
      <ns0:c r="AD99" s="106" t="n">
        <ns0:v>0.72</ns0:v>
      </ns0:c>
      <ns0:c r="AE99" s="108" t="n">
        <ns0:v>5.5</ns0:v>
      </ns0:c>
      <ns0:c r="AF99" s="109"/>
      <ns0:c r="AG99" s="109"/>
      <ns0:c r="AH99" s="110"/>
      <ns0:c r="AI99" s="131" t="str">
        <ns0:v>固定层序；待连续真人试玩</ns0:v>
      </ns0:c>
      <ns0:c r="AJ99" s="123" t="str">
        <ns0:v>撤去计时压力，七色普通冰冻与空暂存配一次补货；尽早借暂存腾位，形成缓和。</ns0:v>
      </ns0:c>
      <ns0:c r="AK99" s="123" t="str">
        <ns0:v>连续居中，按盒数分排</ns0:v>
      </ns0:c>
      <ns0:c r="AL99" s="105" t="n">
        <ns0:v>1</ns0:v>
      </ns0:c>
      <ns0:c r="AM99" s="106" t="n">
        <ns0:v>0.92</ns0:v>
      </ns0:c>
      <ns0:c r="AN99" s="107"/>
      <ns0:c r="AO99" s="110"/>
      <ns0:c r="AP99" s="123" t="str">
        <ns0:v>双锁／单开A／单开B／双开完整回放</ns0:v>
      </ns0:c>
      <ns0:c r="AQ99" s="107"/>
      <ns0:c r="AR99" s="121" t="n">
        <ns0:f>SUMIFS('装量配置'!$I$6:$I$718,'装量配置'!$A$6:$A$718,A99,'装量配置'!$B$6:$B$718,"开局")</ns0:f>
        <ns0:v>56</ns0:v>
      </ns0:c>
      <ns0:c r="AS99" s="133" t="n">
        <ns0:f>SUMIFS('装量配置'!$I$6:$I$718,'装量配置'!$A$6:$A$718,A99,'装量配置'!$B$6:$B$718,"开局",'装量配置'!$D$6:$D$718,"普通盒",'装量配置'!$G$6:$G$718,"&gt;0")/(4*SUMIFS('装量配置'!$E$6:$E$718,'装量配置'!$A$6:$A$718,A99,'装量配置'!$B$6:$B$718,"开局",'装量配置'!$D$6:$D$718,"普通盒",'装量配置'!$G$6:$G$718,"&gt;0"))</ns0:f>
        <ns0:v>0.9285714285714286</ns0:v>
      </ns0:c>
      <ns0:c r="AT99" s="121" t="n">
        <ns0:f>SUMIFS('装量配置'!$L$6:$L$718,'装量配置'!$A$6:$A$718,A99)</ns0:f>
        <ns0:v>4</ns0:v>
      </ns0:c>
      <ns0:c r="AU99" s="121" t="n">
        <ns0:f>SUMIFS('装量配置'!$M$6:$M$718,'装量配置'!$A$6:$A$718,A99)</ns0:f>
        <ns0:v>0</ns0:v>
      </ns0:c>
      <ns0:c r="AV99" s="121" t="n">
        <ns0:f>SUMIFS('装量配置'!$N$6:$N$718,'装量配置'!$A$6:$A$718,A99)</ns0:f>
        <ns0:v>0</ns0:v>
      </ns0:c>
      <ns0:c r="AW99" s="133" t="n">
        <ns0:v>0.18</ns0:v>
      </ns0:c>
      <ns0:c r="AX99" s="121" t="n">
        <ns0:v>4</ns0:v>
      </ns0:c>
      <ns0:c r="AY99" s="121" t="n">
        <ns0:f>IF(AX99=1,1,0)</ns0:f>
        <ns0:v>0</ns0:v>
      </ns0:c>
      <ns0:c r="AZ99" s="121" t="n">
        <ns0:f>SUMIFS('装量配置'!$E$6:$E$718,'装量配置'!$A$6:$A$718,A99,'装量配置'!$B$6:$B$718,"开局",'装量配置'!$D$6:$D$718,"&lt;&gt;普通盒",'装量配置'!$D$6:$D$718,"&lt;&gt;广告锁定周转盒")</ns0:f>
        <ns0:v>2</ns0:v>
      </ns0:c>
      <ns0:c r="BA99" s="150" t="n">
        <ns0:f>IF(COUNTIFS('装量配置'!$A$6:$A$718,A99,'装量配置'!$B$6:$B$718,"开局",'装量配置'!$D$6:$D$718,"数字盖盒",'装量配置'!$E$6:$E$718,"&gt;0")&gt;0,1,0)+IF(COUNTIFS('装量配置'!$A$6:$A$718,A99,'装量配置'!$B$6:$B$718,"开局",'装量配置'!$D$6:$D$718,"普通冰冻盒",'装量配置'!$E$6:$E$718,"&gt;0")&gt;0,1,0)+IF(COUNTIFS('装量配置'!$A$6:$A$718,A99,'装量配置'!$B$6:$B$718,"开局",'装量配置'!$D$6:$D$718,"单颗暂存盒",'装量配置'!$E$6:$E$718,"&gt;0")&gt;0,1,0)+IF(COUNTIFS('装量配置'!$A$6:$A$718,A99,'装量配置'!$B$6:$B$718,"开局",'装量配置'!$D$6:$D$718,"数字冰冻盒",'装量配置'!$E$6:$E$718,"&gt;0")&gt;0,1,0)+IF(COUNTIFS('装量配置'!$A$6:$A$718,A99,'装量配置'!$B$6:$B$718,"开局",'装量配置'!$D$6:$D$718,"固定颜色盒",'装量配置'!$E$6:$E$718,"&gt;0")&gt;0,1,0)+IF(COUNTIFS('装量配置'!$A$6:$A$718,A99,'装量配置'!$B$6:$B$718,"开局",'装量配置'!$D$6:$D$718,"单向收纳盒",'装量配置'!$E$6:$E$718,"&gt;0")&gt;0,1,0)+IF(COUNTIFS('装量配置'!$A$6:$A$718,A99,'装量配置'!$B$6:$B$718,"开局",'装量配置'!$D$6:$D$718,"底部置顶盒",'装量配置'!$E$6:$E$718,"&gt;0")&gt;0,1,0)+IF(COUNTIFS('装量配置'!$A$6:$A$718,A99,'装量配置'!$B$6:$B$718,"开局",'装量配置'!$D$6:$D$718,"炸弹盒",'装量配置'!$E$6:$E$718,"&gt;0")&gt;0,1,0)</ns0:f>
        <ns0:v>2</ns0:v>
      </ns0:c>
      <ns0:c r="BB99" s="150" t="n">
        <ns0:f>SUMIFS('装量配置'!$E$6:$E$718,'装量配置'!$A$6:$A$718,A99,'装量配置'!$B$6:$B$718,"开局",'装量配置'!$D$6:$D$718,"数字盖盒")+SUMIFS('装量配置'!$E$6:$E$718,'装量配置'!$A$6:$A$718,A99,'装量配置'!$B$6:$B$718,"开局",'装量配置'!$D$6:$D$718,"普通冰冻盒")+SUMIFS('装量配置'!$E$6:$E$718,'装量配置'!$A$6:$A$718,A99,'装量配置'!$B$6:$B$718,"开局",'装量配置'!$D$6:$D$718,"数字冰冻盒")</ns0:f>
        <ns0:v>1</ns0:v>
      </ns0:c>
      <ns0:c r="BC99" s="150" t="n">
        <ns0:f>SUMIFS('装量配置'!$R$6:$R$718,'装量配置'!$A$6:$A$718,A99,'装量配置'!$B$6:$B$718,"开局")</ns0:f>
        <ns0:v>0</ns0:v>
      </ns0:c>
      <ns0:c r="BD99" s="148" t="str">
        <ns0:v>撤去计时压力，七色普通冰冻与空暂存配一次补货；尽早借暂存腾位，形成缓和。</ns0:v>
      </ns0:c>
      <ns0:c r="BE99" s="150" t="n">
        <ns0:v>2</ns0:v>
      </ns0:c>
      <ns0:c r="BF99" s="148" t="str">
        <ns0:v>首归纳及时交付，逐关试玩核对机关与收尾节奏</ns0:v>
      </ns0:c>
    </ns0:row>
    <ns0:row r="100" ht="33" customHeight="1">
      <ns0:c r="A100" s="112" t="n">
        <ns0:v>95</ns0:v>
      </ns0:c>
      <ns0:c r="B100" s="119" t="str">
        <ns0:v>百关收官与节奏起伏</ns0:v>
      </ns0:c>
      <ns0:c r="C100" s="127" t="str">
        <ns0:v>机制组合</ns0:v>
      </ns0:c>
      <ns0:c r="D100" s="114" t="n">
        <ns0:v>4.8</ns0:v>
      </ns0:c>
      <ns0:c r="E100" s="124" t="str">
        <ns0:v>机关与归纳顺序</ns0:v>
      </ns0:c>
      <ns0:c r="F100" s="124" t="str">
        <ns0:v>装量与周转配合</ns0:v>
      </ns0:c>
      <ns0:c r="G100" s="112" t="str">
        <ns0:v>错落</ns0:v>
      </ns0:c>
      <ns0:c r="H100" s="112" t="n">
        <ns0:v>8</ns0:v>
      </ns0:c>
      <ns0:c r="I100" s="112" t="n">
        <ns0:f>SUMIFS('装量配置'!$E$6:$E$718,'装量配置'!$A$6:$A$718,A100,'装量配置'!$B$6:$B$718,"开局",'装量配置'!$F$6:$F$718,4,'装量配置'!$G$6:$G$718,"&gt;0")</ns0:f>
        <ns0:v>15</ns0:v>
      </ns0:c>
      <ns0:c r="J100" s="112" t="n">
        <ns0:f>SUMIFS('装量配置'!$E$6:$E$718,'装量配置'!$A$6:$A$718,A100,'装量配置'!$B$6:$B$718,"备货")</ns0:f>
        <ns0:v>0</ns0:v>
      </ns0:c>
      <ns0:c r="K100" s="112" t="n">
        <ns0:v>14</ns0:v>
      </ns0:c>
      <ns0:c r="L100" s="112" t="n">
        <ns0:f>SUMIFS('装量配置'!$E$6:$E$718,'装量配置'!$A$6:$A$718,A100,'装量配置'!$B$6:$B$718,"开局",'装量配置'!$F$6:$F$718,4,'装量配置'!$G$6:$G$718,0,'装量配置'!$D$6:$D$718,"&lt;&gt;广告锁定周转盒")</ns0:f>
        <ns0:v>2</ns0:v>
      </ns0:c>
      <ns0:c r="M100" s="112" t="n">
        <ns0:f>SUMIFS('装量配置'!$E$6:$E$718,'装量配置'!$A$6:$A$718,A100,'装量配置'!$B$6:$B$718,"开局",'装量配置'!$F$6:$F$718,1)</ns0:f>
        <ns0:v>0</ns0:v>
      </ns0:c>
      <ns0:c r="N100" s="112" t="n">
        <ns0:f>SUMIFS('装量配置'!$E$6:$E$718,'装量配置'!$A$6:$A$718,A100,'装量配置'!$B$6:$B$718,"开局",'装量配置'!$D$6:$D$718,"广告锁定周转盒")</ns0:f>
        <ns0:v>2</ns0:v>
      </ns0:c>
      <ns0:c r="O100" s="112" t="n">
        <ns0:f>SUMIFS('装量配置'!$E$6:$E$718,'装量配置'!$A$6:$A$718,A100,'装量配置'!$B$6:$B$718,"开局")</ns0:f>
        <ns0:v>19</ns0:v>
      </ns0:c>
      <ns0:c r="P100" s="112" t="n">
        <ns0:f>SUMIFS('装量配置'!$K$6:$K$718,'装量配置'!$A$6:$A$718,A100)</ns0:f>
        <ns0:v>4</ns0:v>
      </ns0:c>
      <ns0:c r="Q100" s="112" t="n">
        <ns0:v>4</ns0:v>
      </ns0:c>
      <ns0:c r="R100" s="113" t="n">
        <ns0:v>0.05357142857142857</ns0:v>
      </ns0:c>
      <ns0:c r="S100" s="113" t="n">
        <ns0:v>0.12</ns0:v>
      </ns0:c>
      <ns0:c r="T100" s="112" t="n">
        <ns0:v>3</ns0:v>
      </ns0:c>
      <ns0:c r="U100" s="112" t="n">
        <ns0:v>0</ns0:v>
      </ns0:c>
      <ns0:c r="V100" s="124" t="str">
        <ns0:v>数字盖盒</ns0:v>
      </ns0:c>
      <ns0:c r="W100" s="124" t="str">
        <ns0:v>单向收纳盒</ns0:v>
      </ns0:c>
      <ns0:c r="X100" s="124" t="str">
        <ns0:v>数字盖盒×1；单向收纳盒×1</ns0:v>
      </ns0:c>
      <ns0:c r="Y100" s="112" t="n">
        <ns0:f>SUMIFS('装量配置'!$I$6:$I$718,'装量配置'!$A$6:$A$718,A100)</ns0:f>
        <ns0:v>56</ns0:v>
      </ns0:c>
      <ns0:c r="Z100" s="112" t="str">
        <ns0:f>IF(AND(O100&lt;=25,N100=2,Y100=K100*4,H100&lt;=K100,P100+AT100&gt;=4,COUNTIFS('装量配置'!$A$6:$A$718,A100,'装量配置'!$O$6:$O$718,"需调整")=0),"装量通过；待逐味","需调整")</ns0:f>
        <ns0:v>装量通过；待逐味</ns0:v>
      </ns0:c>
      <ns0:c r="AA100" s="107" t="str">
        <ns0:v>四条件可行路线已保存（非最短解）</ns0:v>
      </ns0:c>
      <ns0:c r="AB100" s="107"/>
      <ns0:c r="AC100" s="107"/>
      <ns0:c r="AD100" s="113" t="n">
        <ns0:v>0.55</ns0:v>
      </ns0:c>
      <ns0:c r="AE100" s="114" t="n">
        <ns0:v>6</ns0:v>
      </ns0:c>
      <ns0:c r="AF100" s="109"/>
      <ns0:c r="AG100" s="109"/>
      <ns0:c r="AH100" s="110"/>
      <ns0:c r="AI100" s="131" t="str">
        <ns0:v>固定层序；待连续真人试玩</ns0:v>
      </ns0:c>
      <ns0:c r="AJ100" s="124" t="str">
        <ns0:v>数字盖2与空单向盒串联，普通满盒仅下三层隐藏；无炸弹与补货，先归纳开盖再整理。</ns0:v>
      </ns0:c>
      <ns0:c r="AK100" s="124" t="str">
        <ns0:v>连续居中，按盒数分排</ns0:v>
      </ns0:c>
      <ns0:c r="AL100" s="112" t="n">
        <ns0:v>1</ns0:v>
      </ns0:c>
      <ns0:c r="AM100" s="113" t="n">
        <ns0:v>0.88</ns0:v>
      </ns0:c>
      <ns0:c r="AN100" s="112"/>
      <ns0:c r="AO100" s="113"/>
      <ns0:c r="AP100" s="124" t="str">
        <ns0:v>双锁／单开A／单开B／双开完整回放</ns0:v>
      </ns0:c>
      <ns0:c r="AQ100" s="107"/>
      <ns0:c r="AR100" s="120" t="n">
        <ns0:f>SUMIFS('装量配置'!$I$6:$I$718,'装量配置'!$A$6:$A$718,A100,'装量配置'!$B$6:$B$718,"开局")</ns0:f>
        <ns0:v>56</ns0:v>
      </ns0:c>
      <ns0:c r="AS100" s="132" t="n">
        <ns0:f>SUMIFS('装量配置'!$I$6:$I$718,'装量配置'!$A$6:$A$718,A100,'装量配置'!$B$6:$B$718,"开局",'装量配置'!$D$6:$D$718,"普通盒",'装量配置'!$G$6:$G$718,"&gt;0")/(4*SUMIFS('装量配置'!$E$6:$E$718,'装量配置'!$A$6:$A$718,A100,'装量配置'!$B$6:$B$718,"开局",'装量配置'!$D$6:$D$718,"普通盒",'装量配置'!$G$6:$G$718,"&gt;0"))</ns0:f>
        <ns0:v>0.9285714285714286</ns0:v>
      </ns0:c>
      <ns0:c r="AT100" s="120" t="n">
        <ns0:f>SUMIFS('装量配置'!$L$6:$L$718,'装量配置'!$A$6:$A$718,A100)</ns0:f>
        <ns0:v>4</ns0:v>
      </ns0:c>
      <ns0:c r="AU100" s="120" t="n">
        <ns0:f>SUMIFS('装量配置'!$M$6:$M$718,'装量配置'!$A$6:$A$718,A100)</ns0:f>
        <ns0:v>4</ns0:v>
      </ns0:c>
      <ns0:c r="AV100" s="120" t="n">
        <ns0:f>SUMIFS('装量配置'!$N$6:$N$718,'装量配置'!$A$6:$A$718,A100)</ns0:f>
        <ns0:v>0</ns0:v>
      </ns0:c>
      <ns0:c r="AW100" s="132" t="n">
        <ns0:v>0.18</ns0:v>
      </ns0:c>
      <ns0:c r="AX100" s="120" t="n">
        <ns0:v>4</ns0:v>
      </ns0:c>
      <ns0:c r="AY100" s="120" t="n">
        <ns0:f>IF(AX100=1,1,0)</ns0:f>
        <ns0:v>0</ns0:v>
      </ns0:c>
      <ns0:c r="AZ100" s="120" t="n">
        <ns0:f>SUMIFS('装量配置'!$E$6:$E$718,'装量配置'!$A$6:$A$718,A100,'装量配置'!$B$6:$B$718,"开局",'装量配置'!$D$6:$D$718,"&lt;&gt;普通盒",'装量配置'!$D$6:$D$718,"&lt;&gt;广告锁定周转盒")</ns0:f>
        <ns0:v>2</ns0:v>
      </ns0:c>
      <ns0:c r="BA100" s="149" t="n">
        <ns0:f>IF(COUNTIFS('装量配置'!$A$6:$A$718,A100,'装量配置'!$B$6:$B$718,"开局",'装量配置'!$D$6:$D$718,"数字盖盒",'装量配置'!$E$6:$E$718,"&gt;0")&gt;0,1,0)+IF(COUNTIFS('装量配置'!$A$6:$A$718,A100,'装量配置'!$B$6:$B$718,"开局",'装量配置'!$D$6:$D$718,"普通冰冻盒",'装量配置'!$E$6:$E$718,"&gt;0")&gt;0,1,0)+IF(COUNTIFS('装量配置'!$A$6:$A$718,A100,'装量配置'!$B$6:$B$718,"开局",'装量配置'!$D$6:$D$718,"单颗暂存盒",'装量配置'!$E$6:$E$718,"&gt;0")&gt;0,1,0)+IF(COUNTIFS('装量配置'!$A$6:$A$718,A100,'装量配置'!$B$6:$B$718,"开局",'装量配置'!$D$6:$D$718,"数字冰冻盒",'装量配置'!$E$6:$E$718,"&gt;0")&gt;0,1,0)+IF(COUNTIFS('装量配置'!$A$6:$A$718,A100,'装量配置'!$B$6:$B$718,"开局",'装量配置'!$D$6:$D$718,"固定颜色盒",'装量配置'!$E$6:$E$718,"&gt;0")&gt;0,1,0)+IF(COUNTIFS('装量配置'!$A$6:$A$718,A100,'装量配置'!$B$6:$B$718,"开局",'装量配置'!$D$6:$D$718,"单向收纳盒",'装量配置'!$E$6:$E$718,"&gt;0")&gt;0,1,0)+IF(COUNTIFS('装量配置'!$A$6:$A$718,A100,'装量配置'!$B$6:$B$718,"开局",'装量配置'!$D$6:$D$718,"底部置顶盒",'装量配置'!$E$6:$E$718,"&gt;0")&gt;0,1,0)+IF(COUNTIFS('装量配置'!$A$6:$A$718,A100,'装量配置'!$B$6:$B$718,"开局",'装量配置'!$D$6:$D$718,"炸弹盒",'装量配置'!$E$6:$E$718,"&gt;0")&gt;0,1,0)</ns0:f>
        <ns0:v>2</ns0:v>
      </ns0:c>
      <ns0:c r="BB100" s="149" t="n">
        <ns0:f>SUMIFS('装量配置'!$E$6:$E$718,'装量配置'!$A$6:$A$718,A100,'装量配置'!$B$6:$B$718,"开局",'装量配置'!$D$6:$D$718,"数字盖盒")+SUMIFS('装量配置'!$E$6:$E$718,'装量配置'!$A$6:$A$718,A100,'装量配置'!$B$6:$B$718,"开局",'装量配置'!$D$6:$D$718,"普通冰冻盒")+SUMIFS('装量配置'!$E$6:$E$718,'装量配置'!$A$6:$A$718,A100,'装量配置'!$B$6:$B$718,"开局",'装量配置'!$D$6:$D$718,"数字冰冻盒")</ns0:f>
        <ns0:v>1</ns0:v>
      </ns0:c>
      <ns0:c r="BC100" s="149" t="n">
        <ns0:f>SUMIFS('装量配置'!$R$6:$R$718,'装量配置'!$A$6:$A$718,A100,'装量配置'!$B$6:$B$718,"开局")</ns0:f>
        <ns0:v>2</ns0:v>
      </ns0:c>
      <ns0:c r="BD100" s="146" t="str">
        <ns0:v>数字盖2与空单向盒串联，普通满盒仅下三层隐藏；无炸弹与补货，先归纳开盖再整理。</ns0:v>
      </ns0:c>
      <ns0:c r="BE100" s="149" t="n">
        <ns0:v>3</ns0:v>
      </ns0:c>
      <ns0:c r="BF100" s="146" t="str">
        <ns0:v>首归纳及时交付，逐关试玩核对机关与收尾节奏</ns0:v>
      </ns0:c>
    </ns0:row>
    <ns0:row r="101" ht="33" customHeight="1">
      <ns0:c r="A101" s="105" t="n">
        <ns0:v>96</ns0:v>
      </ns0:c>
      <ns0:c r="B101" s="117" t="str">
        <ns0:v>百关收官与节奏起伏</ns0:v>
      </ns0:c>
      <ns0:c r="C101" s="126" t="str">
        <ns0:v>机制组合</ns0:v>
      </ns0:c>
      <ns0:c r="D101" s="108" t="n">
        <ns0:v>4.9</ns0:v>
      </ns0:c>
      <ns0:c r="E101" s="123" t="str">
        <ns0:v>机关与归纳顺序</ns0:v>
      </ns0:c>
      <ns0:c r="F101" s="123" t="str">
        <ns0:v>装量与周转配合</ns0:v>
      </ns0:c>
      <ns0:c r="G101" s="105" t="str">
        <ns0:v>错落</ns0:v>
      </ns0:c>
      <ns0:c r="H101" s="105" t="n">
        <ns0:v>8</ns0:v>
      </ns0:c>
      <ns0:c r="I101" s="105" t="n">
        <ns0:f>SUMIFS('装量配置'!$E$6:$E$718,'装量配置'!$A$6:$A$718,A101,'装量配置'!$B$6:$B$718,"开局",'装量配置'!$F$6:$F$718,4,'装量配置'!$G$6:$G$718,"&gt;0")</ns0:f>
        <ns0:v>17</ns0:v>
      </ns0:c>
      <ns0:c r="J101" s="105" t="n">
        <ns0:f>SUMIFS('装量配置'!$E$6:$E$718,'装量配置'!$A$6:$A$718,A101,'装量配置'!$B$6:$B$718,"备货")</ns0:f>
        <ns0:v>2</ns0:v>
      </ns0:c>
      <ns0:c r="K101" s="105" t="n">
        <ns0:v>18</ns0:v>
      </ns0:c>
      <ns0:c r="L101" s="105" t="n">
        <ns0:f>SUMIFS('装量配置'!$E$6:$E$718,'装量配置'!$A$6:$A$718,A101,'装量配置'!$B$6:$B$718,"开局",'装量配置'!$F$6:$F$718,4,'装量配置'!$G$6:$G$718,0,'装量配置'!$D$6:$D$718,"&lt;&gt;广告锁定周转盒")</ns0:f>
        <ns0:v>1</ns0:v>
      </ns0:c>
      <ns0:c r="M101" s="105" t="n">
        <ns0:f>SUMIFS('装量配置'!$E$6:$E$718,'装量配置'!$A$6:$A$718,A101,'装量配置'!$B$6:$B$718,"开局",'装量配置'!$F$6:$F$718,1)</ns0:f>
        <ns0:v>0</ns0:v>
      </ns0:c>
      <ns0:c r="N101" s="105" t="n">
        <ns0:f>SUMIFS('装量配置'!$E$6:$E$718,'装量配置'!$A$6:$A$718,A101,'装量配置'!$B$6:$B$718,"开局",'装量配置'!$D$6:$D$718,"广告锁定周转盒")</ns0:f>
        <ns0:v>2</ns0:v>
      </ns0:c>
      <ns0:c r="O101" s="105" t="n">
        <ns0:f>SUMIFS('装量配置'!$E$6:$E$718,'装量配置'!$A$6:$A$718,A101,'装量配置'!$B$6:$B$718,"开局")</ns0:f>
        <ns0:v>20</ns0:v>
      </ns0:c>
      <ns0:c r="P101" s="105" t="n">
        <ns0:f>SUMIFS('装量配置'!$K$6:$K$718,'装量配置'!$A$6:$A$718,A101)</ns0:f>
        <ns0:v>4</ns0:v>
      </ns0:c>
      <ns0:c r="Q101" s="105" t="n">
        <ns0:v>4</ns0:v>
      </ns0:c>
      <ns0:c r="R101" s="106" t="n">
        <ns0:v>0</ns0:v>
      </ns0:c>
      <ns0:c r="S101" s="106" t="n">
        <ns0:v>0.12</ns0:v>
      </ns0:c>
      <ns0:c r="T101" s="105" t="n">
        <ns0:v>3</ns0:v>
      </ns0:c>
      <ns0:c r="U101" s="105" t="n">
        <ns0:v>3</ns0:v>
      </ns0:c>
      <ns0:c r="V101" s="123" t="str">
        <ns0:v>炸弹盒</ns0:v>
      </ns0:c>
      <ns0:c r="W101" s="123" t="str">
        <ns0:v>底部置顶盒、普通冰冻盒</ns0:v>
      </ns0:c>
      <ns0:c r="X101" s="123" t="str">
        <ns0:v>炸弹盒×1；底部置顶盒×1；普通冰冻盒×1；拆弹倍率1.35，时限待真人校准</ns0:v>
      </ns0:c>
      <ns0:c r="Y101" s="105" t="n">
        <ns0:f>SUMIFS('装量配置'!$I$6:$I$718,'装量配置'!$A$6:$A$718,A101)</ns0:f>
        <ns0:v>72</ns0:v>
      </ns0:c>
      <ns0:c r="Z101" s="105" t="str">
        <ns0:f>IF(AND(O101&lt;=25,N101=2,Y101=K101*4,H101&lt;=K101,P101+AT101&gt;=4,COUNTIFS('装量配置'!$A$6:$A$718,A101,'装量配置'!$O$6:$O$718,"需调整")=0),"装量通过；待逐味","需调整")</ns0:f>
        <ns0:v>装量通过；待逐味</ns0:v>
      </ns0:c>
      <ns0:c r="AA101" s="107" t="str">
        <ns0:v>四条件可行路线已保存（非最短解）</ns0:v>
      </ns0:c>
      <ns0:c r="AB101" s="107"/>
      <ns0:c r="AC101" s="107"/>
      <ns0:c r="AD101" s="106" t="n">
        <ns0:v>0.5</ns0:v>
      </ns0:c>
      <ns0:c r="AE101" s="108" t="n">
        <ns0:v>6</ns0:v>
      </ns0:c>
      <ns0:c r="AF101" s="109"/>
      <ns0:c r="AG101" s="109"/>
      <ns0:c r="AH101" s="110"/>
      <ns0:c r="AI101" s="131" t="str">
        <ns0:v>固定层序；待连续真人试玩</ns0:v>
      </ns0:c>
      <ns0:c r="AJ101" s="123" t="str">
        <ns0:v>先在炸弹托归纳解除计时，循环盒随即供料；两批补货分开抵达且第二批在拆弹后，普通冰冻由首单解除，中段继续腾位。</ns0:v>
      </ns0:c>
      <ns0:c r="AK101" s="123" t="str">
        <ns0:v>连续居中，按盒数分排</ns0:v>
      </ns0:c>
      <ns0:c r="AL101" s="105" t="n">
        <ns0:v>1</ns0:v>
      </ns0:c>
      <ns0:c r="AM101" s="106" t="n">
        <ns0:v>0.88</ns0:v>
      </ns0:c>
      <ns0:c r="AN101" s="107"/>
      <ns0:c r="AO101" s="110"/>
      <ns0:c r="AP101" s="123" t="str">
        <ns0:v>双锁／单开A／单开B／双开完整回放</ns0:v>
      </ns0:c>
      <ns0:c r="AQ101" s="107"/>
      <ns0:c r="AR101" s="121" t="n">
        <ns0:f>SUMIFS('装量配置'!$I$6:$I$718,'装量配置'!$A$6:$A$718,A101,'装量配置'!$B$6:$B$718,"开局")</ns0:f>
        <ns0:v>64</ns0:v>
      </ns0:c>
      <ns0:c r="AS101" s="133" t="n">
        <ns0:f>SUMIFS('装量配置'!$I$6:$I$718,'装量配置'!$A$6:$A$718,A101,'装量配置'!$B$6:$B$718,"开局",'装量配置'!$D$6:$D$718,"普通盒",'装量配置'!$G$6:$G$718,"&gt;0")/(4*SUMIFS('装量配置'!$E$6:$E$718,'装量配置'!$A$6:$A$718,A101,'装量配置'!$B$6:$B$718,"开局",'装量配置'!$D$6:$D$718,"普通盒",'装量配置'!$G$6:$G$718,"&gt;0"))</ns0:f>
        <ns0:v>0.9285714285714286</ns0:v>
      </ns0:c>
      <ns0:c r="AT101" s="121" t="n">
        <ns0:f>SUMIFS('装量配置'!$L$6:$L$718,'装量配置'!$A$6:$A$718,A101)</ns0:f>
        <ns0:v>4</ns0:v>
      </ns0:c>
      <ns0:c r="AU101" s="121" t="n">
        <ns0:f>SUMIFS('装量配置'!$M$6:$M$718,'装量配置'!$A$6:$A$718,A101)</ns0:f>
        <ns0:v>0</ns0:v>
      </ns0:c>
      <ns0:c r="AV101" s="121" t="n">
        <ns0:f>SUMIFS('装量配置'!$N$6:$N$718,'装量配置'!$A$6:$A$718,A101)</ns0:f>
        <ns0:v>0</ns0:v>
      </ns0:c>
      <ns0:c r="AW101" s="133" t="n">
        <ns0:v>0.18</ns0:v>
      </ns0:c>
      <ns0:c r="AX101" s="121" t="n">
        <ns0:v>4</ns0:v>
      </ns0:c>
      <ns0:c r="AY101" s="121" t="n">
        <ns0:f>IF(AX101=1,1,0)</ns0:f>
        <ns0:v>0</ns0:v>
      </ns0:c>
      <ns0:c r="AZ101" s="121" t="n">
        <ns0:f>SUMIFS('装量配置'!$E$6:$E$718,'装量配置'!$A$6:$A$718,A101,'装量配置'!$B$6:$B$718,"开局",'装量配置'!$D$6:$D$718,"&lt;&gt;普通盒",'装量配置'!$D$6:$D$718,"&lt;&gt;广告锁定周转盒")</ns0:f>
        <ns0:v>3</ns0:v>
      </ns0:c>
      <ns0:c r="BA101" s="150" t="n">
        <ns0:f>IF(COUNTIFS('装量配置'!$A$6:$A$718,A101,'装量配置'!$B$6:$B$718,"开局",'装量配置'!$D$6:$D$718,"数字盖盒",'装量配置'!$E$6:$E$718,"&gt;0")&gt;0,1,0)+IF(COUNTIFS('装量配置'!$A$6:$A$718,A101,'装量配置'!$B$6:$B$718,"开局",'装量配置'!$D$6:$D$718,"普通冰冻盒",'装量配置'!$E$6:$E$718,"&gt;0")&gt;0,1,0)+IF(COUNTIFS('装量配置'!$A$6:$A$718,A101,'装量配置'!$B$6:$B$718,"开局",'装量配置'!$D$6:$D$718,"单颗暂存盒",'装量配置'!$E$6:$E$718,"&gt;0")&gt;0,1,0)+IF(COUNTIFS('装量配置'!$A$6:$A$718,A101,'装量配置'!$B$6:$B$718,"开局",'装量配置'!$D$6:$D$718,"数字冰冻盒",'装量配置'!$E$6:$E$718,"&gt;0")&gt;0,1,0)+IF(COUNTIFS('装量配置'!$A$6:$A$718,A101,'装量配置'!$B$6:$B$718,"开局",'装量配置'!$D$6:$D$718,"固定颜色盒",'装量配置'!$E$6:$E$718,"&gt;0")&gt;0,1,0)+IF(COUNTIFS('装量配置'!$A$6:$A$718,A101,'装量配置'!$B$6:$B$718,"开局",'装量配置'!$D$6:$D$718,"单向收纳盒",'装量配置'!$E$6:$E$718,"&gt;0")&gt;0,1,0)+IF(COUNTIFS('装量配置'!$A$6:$A$718,A101,'装量配置'!$B$6:$B$718,"开局",'装量配置'!$D$6:$D$718,"底部置顶盒",'装量配置'!$E$6:$E$718,"&gt;0")&gt;0,1,0)+IF(COUNTIFS('装量配置'!$A$6:$A$718,A101,'装量配置'!$B$6:$B$718,"开局",'装量配置'!$D$6:$D$718,"炸弹盒",'装量配置'!$E$6:$E$718,"&gt;0")&gt;0,1,0)</ns0:f>
        <ns0:v>3</ns0:v>
      </ns0:c>
      <ns0:c r="BB101" s="150" t="n">
        <ns0:f>SUMIFS('装量配置'!$E$6:$E$718,'装量配置'!$A$6:$A$718,A101,'装量配置'!$B$6:$B$718,"开局",'装量配置'!$D$6:$D$718,"数字盖盒")+SUMIFS('装量配置'!$E$6:$E$718,'装量配置'!$A$6:$A$718,A101,'装量配置'!$B$6:$B$718,"开局",'装量配置'!$D$6:$D$718,"普通冰冻盒")+SUMIFS('装量配置'!$E$6:$E$718,'装量配置'!$A$6:$A$718,A101,'装量配置'!$B$6:$B$718,"开局",'装量配置'!$D$6:$D$718,"数字冰冻盒")</ns0:f>
        <ns0:v>1</ns0:v>
      </ns0:c>
      <ns0:c r="BC101" s="150" t="n">
        <ns0:f>SUMIFS('装量配置'!$R$6:$R$718,'装量配置'!$A$6:$A$718,A101,'装量配置'!$B$6:$B$718,"开局")</ns0:f>
        <ns0:v>0</ns0:v>
      </ns0:c>
      <ns0:c r="BD101" s="148" t="str">
        <ns0:v>先在炸弹托归纳解除计时，循环盒随即供料；两批补货分开抵达且第二批在拆弹后，普通冰冻由首单解除，中段继续腾位。</ns0:v>
      </ns0:c>
      <ns0:c r="BE101" s="150" t="n">
        <ns0:v>4</ns0:v>
      </ns0:c>
      <ns0:c r="BF101" s="148" t="str">
        <ns0:v>首归纳及时交付，逐关试玩核对机关与收尾节奏</ns0:v>
      </ns0:c>
    </ns0:row>
    <ns0:row r="102" ht="33" customHeight="1">
      <ns0:c r="A102" s="112" t="n">
        <ns0:v>97</ns0:v>
      </ns0:c>
      <ns0:c r="B102" s="119" t="str">
        <ns0:v>百关收官与节奏起伏</ns0:v>
      </ns0:c>
      <ns0:c r="C102" s="127" t="str">
        <ns0:v>缓和巩固</ns0:v>
      </ns0:c>
      <ns0:c r="D102" s="114" t="n">
        <ns0:v>4.5</ns0:v>
      </ns0:c>
      <ns0:c r="E102" s="124" t="str">
        <ns0:v>机关与归纳顺序</ns0:v>
      </ns0:c>
      <ns0:c r="F102" s="124" t="str">
        <ns0:v>装量与周转配合</ns0:v>
      </ns0:c>
      <ns0:c r="G102" s="112" t="str">
        <ns0:v>整齐</ns0:v>
      </ns0:c>
      <ns0:c r="H102" s="112" t="n">
        <ns0:v>7</ns0:v>
      </ns0:c>
      <ns0:c r="I102" s="112" t="n">
        <ns0:f>SUMIFS('装量配置'!$E$6:$E$718,'装量配置'!$A$6:$A$718,A102,'装量配置'!$B$6:$B$718,"开局",'装量配置'!$F$6:$F$718,4,'装量配置'!$G$6:$G$718,"&gt;0")</ns0:f>
        <ns0:v>14</ns0:v>
      </ns0:c>
      <ns0:c r="J102" s="112" t="n">
        <ns0:f>SUMIFS('装量配置'!$E$6:$E$718,'装量配置'!$A$6:$A$718,A102,'装量配置'!$B$6:$B$718,"备货")</ns0:f>
        <ns0:v>0</ns0:v>
      </ns0:c>
      <ns0:c r="K102" s="112" t="n">
        <ns0:v>13</ns0:v>
      </ns0:c>
      <ns0:c r="L102" s="112" t="n">
        <ns0:f>SUMIFS('装量配置'!$E$6:$E$718,'装量配置'!$A$6:$A$718,A102,'装量配置'!$B$6:$B$718,"开局",'装量配置'!$F$6:$F$718,4,'装量配置'!$G$6:$G$718,0,'装量配置'!$D$6:$D$718,"&lt;&gt;广告锁定周转盒")</ns0:f>
        <ns0:v>2</ns0:v>
      </ns0:c>
      <ns0:c r="M102" s="112" t="n">
        <ns0:f>SUMIFS('装量配置'!$E$6:$E$718,'装量配置'!$A$6:$A$718,A102,'装量配置'!$B$6:$B$718,"开局",'装量配置'!$F$6:$F$718,1)</ns0:f>
        <ns0:v>1</ns0:v>
      </ns0:c>
      <ns0:c r="N102" s="112" t="n">
        <ns0:f>SUMIFS('装量配置'!$E$6:$E$718,'装量配置'!$A$6:$A$718,A102,'装量配置'!$B$6:$B$718,"开局",'装量配置'!$D$6:$D$718,"广告锁定周转盒")</ns0:f>
        <ns0:v>2</ns0:v>
      </ns0:c>
      <ns0:c r="O102" s="112" t="n">
        <ns0:f>SUMIFS('装量配置'!$E$6:$E$718,'装量配置'!$A$6:$A$718,A102,'装量配置'!$B$6:$B$718,"开局")</ns0:f>
        <ns0:v>19</ns0:v>
      </ns0:c>
      <ns0:c r="P102" s="112" t="n">
        <ns0:f>SUMIFS('装量配置'!$K$6:$K$718,'装量配置'!$A$6:$A$718,A102)</ns0:f>
        <ns0:v>5</ns0:v>
      </ns0:c>
      <ns0:c r="Q102" s="112" t="n">
        <ns0:v>4</ns0:v>
      </ns0:c>
      <ns0:c r="R102" s="113" t="n">
        <ns0:v>0</ns0:v>
      </ns0:c>
      <ns0:c r="S102" s="113" t="n">
        <ns0:v>0.12</ns0:v>
      </ns0:c>
      <ns0:c r="T102" s="112" t="n">
        <ns0:v>3</ns0:v>
      </ns0:c>
      <ns0:c r="U102" s="112" t="n">
        <ns0:v>0</ns0:v>
      </ns0:c>
      <ns0:c r="V102" s="124" t="str">
        <ns0:v>固定颜色盒</ns0:v>
      </ns0:c>
      <ns0:c r="W102" s="124" t="str">
        <ns0:v>单颗暂存盒</ns0:v>
      </ns0:c>
      <ns0:c r="X102" s="124" t="str">
        <ns0:v>固定颜色盒×1；单颗暂存盒×1</ns0:v>
      </ns0:c>
      <ns0:c r="Y102" s="112" t="n">
        <ns0:f>SUMIFS('装量配置'!$I$6:$I$718,'装量配置'!$A$6:$A$718,A102)</ns0:f>
        <ns0:v>52</ns0:v>
      </ns0:c>
      <ns0:c r="Z102" s="112" t="str">
        <ns0:f>IF(AND(O102&lt;=25,N102=2,Y102=K102*4,H102&lt;=K102,P102+AT102&gt;=4,COUNTIFS('装量配置'!$A$6:$A$718,A102,'装量配置'!$O$6:$O$718,"需调整")=0),"装量通过；待逐味","需调整")</ns0:f>
        <ns0:v>装量通过；待逐味</ns0:v>
      </ns0:c>
      <ns0:c r="AA102" s="107" t="str">
        <ns0:v>四条件可行路线已保存（非最短解）</ns0:v>
      </ns0:c>
      <ns0:c r="AB102" s="107"/>
      <ns0:c r="AC102" s="107"/>
      <ns0:c r="AD102" s="113" t="n">
        <ns0:v>0.74</ns0:v>
      </ns0:c>
      <ns0:c r="AE102" s="114" t="n">
        <ns0:v>5.5</ns0:v>
      </ns0:c>
      <ns0:c r="AF102" s="109"/>
      <ns0:c r="AG102" s="109"/>
      <ns0:c r="AH102" s="110"/>
      <ns0:c r="AI102" s="131" t="str">
        <ns0:v>固定层序；待连续真人试玩</ns0:v>
      </ns0:c>
      <ns0:c r="AJ102" s="124" t="str">
        <ns0:v>七色固定托与空单颗暂存，十三单较少物料、无计时无补货；两种空间分工缓和。</ns0:v>
      </ns0:c>
      <ns0:c r="AK102" s="124" t="str">
        <ns0:v>连续居中，按盒数分排</ns0:v>
      </ns0:c>
      <ns0:c r="AL102" s="112" t="n">
        <ns0:v>1</ns0:v>
      </ns0:c>
      <ns0:c r="AM102" s="113" t="n">
        <ns0:v>0.92</ns0:v>
      </ns0:c>
      <ns0:c r="AN102" s="112"/>
      <ns0:c r="AO102" s="113"/>
      <ns0:c r="AP102" s="124" t="str">
        <ns0:v>双锁／单开A／单开B／双开完整回放</ns0:v>
      </ns0:c>
      <ns0:c r="AQ102" s="107"/>
      <ns0:c r="AR102" s="120" t="n">
        <ns0:f>SUMIFS('装量配置'!$I$6:$I$718,'装量配置'!$A$6:$A$718,A102,'装量配置'!$B$6:$B$718,"开局")</ns0:f>
        <ns0:v>52</ns0:v>
      </ns0:c>
      <ns0:c r="AS102" s="132" t="n">
        <ns0:f>SUMIFS('装量配置'!$I$6:$I$718,'装量配置'!$A$6:$A$718,A102,'装量配置'!$B$6:$B$718,"开局",'装量配置'!$D$6:$D$718,"普通盒",'装量配置'!$G$6:$G$718,"&gt;0")/(4*SUMIFS('装量配置'!$E$6:$E$718,'装量配置'!$A$6:$A$718,A102,'装量配置'!$B$6:$B$718,"开局",'装量配置'!$D$6:$D$718,"普通盒",'装量配置'!$G$6:$G$718,"&gt;0"))</ns0:f>
        <ns0:v>0.9285714285714286</ns0:v>
      </ns0:c>
      <ns0:c r="AT102" s="120" t="n">
        <ns0:f>SUMIFS('装量配置'!$L$6:$L$718,'装量配置'!$A$6:$A$718,A102)</ns0:f>
        <ns0:v>4</ns0:v>
      </ns0:c>
      <ns0:c r="AU102" s="120" t="n">
        <ns0:f>SUMIFS('装量配置'!$M$6:$M$718,'装量配置'!$A$6:$A$718,A102)</ns0:f>
        <ns0:v>4</ns0:v>
      </ns0:c>
      <ns0:c r="AV102" s="120" t="n">
        <ns0:f>SUMIFS('装量配置'!$N$6:$N$718,'装量配置'!$A$6:$A$718,A102)</ns0:f>
        <ns0:v>0</ns0:v>
      </ns0:c>
      <ns0:c r="AW102" s="132" t="n">
        <ns0:v>0.18</ns0:v>
      </ns0:c>
      <ns0:c r="AX102" s="120" t="n">
        <ns0:v>4</ns0:v>
      </ns0:c>
      <ns0:c r="AY102" s="120" t="n">
        <ns0:f>IF(AX102=1,1,0)</ns0:f>
        <ns0:v>0</ns0:v>
      </ns0:c>
      <ns0:c r="AZ102" s="120" t="n">
        <ns0:f>SUMIFS('装量配置'!$E$6:$E$718,'装量配置'!$A$6:$A$718,A102,'装量配置'!$B$6:$B$718,"开局",'装量配置'!$D$6:$D$718,"&lt;&gt;普通盒",'装量配置'!$D$6:$D$718,"&lt;&gt;广告锁定周转盒")</ns0:f>
        <ns0:v>2</ns0:v>
      </ns0:c>
      <ns0:c r="BA102" s="149" t="n">
        <ns0:f>IF(COUNTIFS('装量配置'!$A$6:$A$718,A102,'装量配置'!$B$6:$B$718,"开局",'装量配置'!$D$6:$D$718,"数字盖盒",'装量配置'!$E$6:$E$718,"&gt;0")&gt;0,1,0)+IF(COUNTIFS('装量配置'!$A$6:$A$718,A102,'装量配置'!$B$6:$B$718,"开局",'装量配置'!$D$6:$D$718,"普通冰冻盒",'装量配置'!$E$6:$E$718,"&gt;0")&gt;0,1,0)+IF(COUNTIFS('装量配置'!$A$6:$A$718,A102,'装量配置'!$B$6:$B$718,"开局",'装量配置'!$D$6:$D$718,"单颗暂存盒",'装量配置'!$E$6:$E$718,"&gt;0")&gt;0,1,0)+IF(COUNTIFS('装量配置'!$A$6:$A$718,A102,'装量配置'!$B$6:$B$718,"开局",'装量配置'!$D$6:$D$718,"数字冰冻盒",'装量配置'!$E$6:$E$718,"&gt;0")&gt;0,1,0)+IF(COUNTIFS('装量配置'!$A$6:$A$718,A102,'装量配置'!$B$6:$B$718,"开局",'装量配置'!$D$6:$D$718,"固定颜色盒",'装量配置'!$E$6:$E$718,"&gt;0")&gt;0,1,0)+IF(COUNTIFS('装量配置'!$A$6:$A$718,A102,'装量配置'!$B$6:$B$718,"开局",'装量配置'!$D$6:$D$718,"单向收纳盒",'装量配置'!$E$6:$E$718,"&gt;0")&gt;0,1,0)+IF(COUNTIFS('装量配置'!$A$6:$A$718,A102,'装量配置'!$B$6:$B$718,"开局",'装量配置'!$D$6:$D$718,"底部置顶盒",'装量配置'!$E$6:$E$718,"&gt;0")&gt;0,1,0)+IF(COUNTIFS('装量配置'!$A$6:$A$718,A102,'装量配置'!$B$6:$B$718,"开局",'装量配置'!$D$6:$D$718,"炸弹盒",'装量配置'!$E$6:$E$718,"&gt;0")&gt;0,1,0)</ns0:f>
        <ns0:v>2</ns0:v>
      </ns0:c>
      <ns0:c r="BB102" s="149" t="n">
        <ns0:f>SUMIFS('装量配置'!$E$6:$E$718,'装量配置'!$A$6:$A$718,A102,'装量配置'!$B$6:$B$718,"开局",'装量配置'!$D$6:$D$718,"数字盖盒")+SUMIFS('装量配置'!$E$6:$E$718,'装量配置'!$A$6:$A$718,A102,'装量配置'!$B$6:$B$718,"开局",'装量配置'!$D$6:$D$718,"普通冰冻盒")+SUMIFS('装量配置'!$E$6:$E$718,'装量配置'!$A$6:$A$718,A102,'装量配置'!$B$6:$B$718,"开局",'装量配置'!$D$6:$D$718,"数字冰冻盒")</ns0:f>
        <ns0:v>0</ns0:v>
      </ns0:c>
      <ns0:c r="BC102" s="149" t="n">
        <ns0:f>SUMIFS('装量配置'!$R$6:$R$718,'装量配置'!$A$6:$A$718,A102,'装量配置'!$B$6:$B$718,"开局")</ns0:f>
        <ns0:v>0</ns0:v>
      </ns0:c>
      <ns0:c r="BD102" s="146" t="str">
        <ns0:v>七色固定托与空单颗暂存，十三单较少物料、无计时无补货；两种空间分工缓和。</ns0:v>
      </ns0:c>
      <ns0:c r="BE102" s="149" t="n">
        <ns0:v>2</ns0:v>
      </ns0:c>
      <ns0:c r="BF102" s="146" t="str">
        <ns0:v>首归纳及时交付，逐关试玩核对机关与收尾节奏</ns0:v>
      </ns0:c>
    </ns0:row>
    <ns0:row r="103" ht="33" customHeight="1">
      <ns0:c r="A103" s="105" t="n">
        <ns0:v>98</ns0:v>
      </ns0:c>
      <ns0:c r="B103" s="117" t="str">
        <ns0:v>百关收官与节奏起伏</ns0:v>
      </ns0:c>
      <ns0:c r="C103" s="126" t="str">
        <ns0:v>机制组合</ns0:v>
      </ns0:c>
      <ns0:c r="D103" s="108" t="n">
        <ns0:v>4.8</ns0:v>
      </ns0:c>
      <ns0:c r="E103" s="123" t="str">
        <ns0:v>机关与归纳顺序</ns0:v>
      </ns0:c>
      <ns0:c r="F103" s="123" t="str">
        <ns0:v>装量与周转配合</ns0:v>
      </ns0:c>
      <ns0:c r="G103" s="105" t="str">
        <ns0:v>错落</ns0:v>
      </ns0:c>
      <ns0:c r="H103" s="105" t="n">
        <ns0:v>8</ns0:v>
      </ns0:c>
      <ns0:c r="I103" s="105" t="n">
        <ns0:f>SUMIFS('装量配置'!$E$6:$E$718,'装量配置'!$A$6:$A$718,A103,'装量配置'!$B$6:$B$718,"开局",'装量配置'!$F$6:$F$718,4,'装量配置'!$G$6:$G$718,"&gt;0")</ns0:f>
        <ns0:v>17</ns0:v>
      </ns0:c>
      <ns0:c r="J103" s="105" t="n">
        <ns0:f>SUMIFS('装量配置'!$E$6:$E$718,'装量配置'!$A$6:$A$718,A103,'装量配置'!$B$6:$B$718,"备货")</ns0:f>
        <ns0:v>0</ns0:v>
      </ns0:c>
      <ns0:c r="K103" s="105" t="n">
        <ns0:v>15</ns0:v>
      </ns0:c>
      <ns0:c r="L103" s="105" t="n">
        <ns0:f>SUMIFS('装量配置'!$E$6:$E$718,'装量配置'!$A$6:$A$718,A103,'装量配置'!$B$6:$B$718,"开局",'装量配置'!$F$6:$F$718,4,'装量配置'!$G$6:$G$718,0,'装量配置'!$D$6:$D$718,"&lt;&gt;广告锁定周转盒")</ns0:f>
        <ns0:v>1</ns0:v>
      </ns0:c>
      <ns0:c r="M103" s="105" t="n">
        <ns0:f>SUMIFS('装量配置'!$E$6:$E$718,'装量配置'!$A$6:$A$718,A103,'装量配置'!$B$6:$B$718,"开局",'装量配置'!$F$6:$F$718,1)</ns0:f>
        <ns0:v>0</ns0:v>
      </ns0:c>
      <ns0:c r="N103" s="105" t="n">
        <ns0:f>SUMIFS('装量配置'!$E$6:$E$718,'装量配置'!$A$6:$A$718,A103,'装量配置'!$B$6:$B$718,"开局",'装量配置'!$D$6:$D$718,"广告锁定周转盒")</ns0:f>
        <ns0:v>2</ns0:v>
      </ns0:c>
      <ns0:c r="O103" s="105" t="n">
        <ns0:f>SUMIFS('装量配置'!$E$6:$E$718,'装量配置'!$A$6:$A$718,A103,'装量配置'!$B$6:$B$718,"开局")</ns0:f>
        <ns0:v>20</ns0:v>
      </ns0:c>
      <ns0:c r="P103" s="105" t="n">
        <ns0:f>SUMIFS('装量配置'!$K$6:$K$718,'装量配置'!$A$6:$A$718,A103)</ns0:f>
        <ns0:v>0</ns0:v>
      </ns0:c>
      <ns0:c r="Q103" s="105" t="n">
        <ns0:v>4</ns0:v>
      </ns0:c>
      <ns0:c r="R103" s="106" t="n">
        <ns0:v>0.05</ns0:v>
      </ns0:c>
      <ns0:c r="S103" s="106" t="n">
        <ns0:v>0.12</ns0:v>
      </ns0:c>
      <ns0:c r="T103" s="105" t="n">
        <ns0:v>3</ns0:v>
      </ns0:c>
      <ns0:c r="U103" s="105" t="n">
        <ns0:v>0</ns0:v>
      </ns0:c>
      <ns0:c r="V103" s="123" t="str">
        <ns0:v>底部置顶盒</ns0:v>
      </ns0:c>
      <ns0:c r="W103" s="123" t="str">
        <ns0:v>固定颜色盒</ns0:v>
      </ns0:c>
      <ns0:c r="X103" s="123" t="str">
        <ns0:v>底部置顶盒×1；固定颜色盒×1</ns0:v>
      </ns0:c>
      <ns0:c r="Y103" s="105" t="n">
        <ns0:f>SUMIFS('装量配置'!$I$6:$I$718,'装量配置'!$A$6:$A$718,A103)</ns0:f>
        <ns0:v>60</ns0:v>
      </ns0:c>
      <ns0:c r="Z103" s="105" t="str">
        <ns0:f>IF(AND(O103&lt;=25,N103=2,Y103=K103*4,H103&lt;=K103,P103+AT103&gt;=4,COUNTIFS('装量配置'!$A$6:$A$718,A103,'装量配置'!$O$6:$O$718,"需调整")=0),"装量通过；待逐味","需调整")</ns0:f>
        <ns0:v>装量通过；待逐味</ns0:v>
      </ns0:c>
      <ns0:c r="AA103" s="107" t="str">
        <ns0:v>四条件可行路线已保存（非最短解）</ns0:v>
      </ns0:c>
      <ns0:c r="AB103" s="107"/>
      <ns0:c r="AC103" s="107"/>
      <ns0:c r="AD103" s="106" t="n">
        <ns0:v>0.55</ns0:v>
      </ns0:c>
      <ns0:c r="AE103" s="108" t="n">
        <ns0:v>6</ns0:v>
      </ns0:c>
      <ns0:c r="AF103" s="109"/>
      <ns0:c r="AG103" s="109"/>
      <ns0:c r="AH103" s="110"/>
      <ns0:c r="AI103" s="131" t="str">
        <ns0:v>固定层序；待连续真人试玩</ns0:v>
      </ns0:c>
      <ns0:c r="AJ103" s="123" t="str">
        <ns0:v>循环供料与固定托接收，分散余量替代整空盒；普通盒下三层隐藏留给中后段整理。</ns0:v>
      </ns0:c>
      <ns0:c r="AK103" s="123" t="str">
        <ns0:v>连续居中，按盒数分排</ns0:v>
      </ns0:c>
      <ns0:c r="AL103" s="105" t="n">
        <ns0:v>1</ns0:v>
      </ns0:c>
      <ns0:c r="AM103" s="106" t="n">
        <ns0:v>0.88</ns0:v>
      </ns0:c>
      <ns0:c r="AN103" s="107"/>
      <ns0:c r="AO103" s="110"/>
      <ns0:c r="AP103" s="123" t="str">
        <ns0:v>双锁／单开A／单开B／双开完整回放</ns0:v>
      </ns0:c>
      <ns0:c r="AQ103" s="107"/>
      <ns0:c r="AR103" s="121" t="n">
        <ns0:f>SUMIFS('装量配置'!$I$6:$I$718,'装量配置'!$A$6:$A$718,A103,'装量配置'!$B$6:$B$718,"开局")</ns0:f>
        <ns0:v>60</ns0:v>
      </ns0:c>
      <ns0:c r="AS103" s="133" t="n">
        <ns0:f>SUMIFS('装量配置'!$I$6:$I$718,'装量配置'!$A$6:$A$718,A103,'装量配置'!$B$6:$B$718,"开局",'装量配置'!$D$6:$D$718,"普通盒",'装量配置'!$G$6:$G$718,"&gt;0")/(4*SUMIFS('装量配置'!$E$6:$E$718,'装量配置'!$A$6:$A$718,A103,'装量配置'!$B$6:$B$718,"开局",'装量配置'!$D$6:$D$718,"普通盒",'装量配置'!$G$6:$G$718,"&gt;0"))</ns0:f>
        <ns0:v>0.875</ns0:v>
      </ns0:c>
      <ns0:c r="AT103" s="121" t="n">
        <ns0:f>SUMIFS('装量配置'!$L$6:$L$718,'装量配置'!$A$6:$A$718,A103)</ns0:f>
        <ns0:v>8</ns0:v>
      </ns0:c>
      <ns0:c r="AU103" s="121" t="n">
        <ns0:f>SUMIFS('装量配置'!$M$6:$M$718,'装量配置'!$A$6:$A$718,A103)</ns0:f>
        <ns0:v>4</ns0:v>
      </ns0:c>
      <ns0:c r="AV103" s="121" t="n">
        <ns0:f>SUMIFS('装量配置'!$N$6:$N$718,'装量配置'!$A$6:$A$718,A103)</ns0:f>
        <ns0:v>0</ns0:v>
      </ns0:c>
      <ns0:c r="AW103" s="133" t="n">
        <ns0:v>0.18</ns0:v>
      </ns0:c>
      <ns0:c r="AX103" s="121" t="n">
        <ns0:v>4</ns0:v>
      </ns0:c>
      <ns0:c r="AY103" s="121" t="n">
        <ns0:f>IF(AX103=1,1,0)</ns0:f>
        <ns0:v>0</ns0:v>
      </ns0:c>
      <ns0:c r="AZ103" s="121" t="n">
        <ns0:f>SUMIFS('装量配置'!$E$6:$E$718,'装量配置'!$A$6:$A$718,A103,'装量配置'!$B$6:$B$718,"开局",'装量配置'!$D$6:$D$718,"&lt;&gt;普通盒",'装量配置'!$D$6:$D$718,"&lt;&gt;广告锁定周转盒")</ns0:f>
        <ns0:v>2</ns0:v>
      </ns0:c>
      <ns0:c r="BA103" s="150" t="n">
        <ns0:f>IF(COUNTIFS('装量配置'!$A$6:$A$718,A103,'装量配置'!$B$6:$B$718,"开局",'装量配置'!$D$6:$D$718,"数字盖盒",'装量配置'!$E$6:$E$718,"&gt;0")&gt;0,1,0)+IF(COUNTIFS('装量配置'!$A$6:$A$718,A103,'装量配置'!$B$6:$B$718,"开局",'装量配置'!$D$6:$D$718,"普通冰冻盒",'装量配置'!$E$6:$E$718,"&gt;0")&gt;0,1,0)+IF(COUNTIFS('装量配置'!$A$6:$A$718,A103,'装量配置'!$B$6:$B$718,"开局",'装量配置'!$D$6:$D$718,"单颗暂存盒",'装量配置'!$E$6:$E$718,"&gt;0")&gt;0,1,0)+IF(COUNTIFS('装量配置'!$A$6:$A$718,A103,'装量配置'!$B$6:$B$718,"开局",'装量配置'!$D$6:$D$718,"数字冰冻盒",'装量配置'!$E$6:$E$718,"&gt;0")&gt;0,1,0)+IF(COUNTIFS('装量配置'!$A$6:$A$718,A103,'装量配置'!$B$6:$B$718,"开局",'装量配置'!$D$6:$D$718,"固定颜色盒",'装量配置'!$E$6:$E$718,"&gt;0")&gt;0,1,0)+IF(COUNTIFS('装量配置'!$A$6:$A$718,A103,'装量配置'!$B$6:$B$718,"开局",'装量配置'!$D$6:$D$718,"单向收纳盒",'装量配置'!$E$6:$E$718,"&gt;0")&gt;0,1,0)+IF(COUNTIFS('装量配置'!$A$6:$A$718,A103,'装量配置'!$B$6:$B$718,"开局",'装量配置'!$D$6:$D$718,"底部置顶盒",'装量配置'!$E$6:$E$718,"&gt;0")&gt;0,1,0)+IF(COUNTIFS('装量配置'!$A$6:$A$718,A103,'装量配置'!$B$6:$B$718,"开局",'装量配置'!$D$6:$D$718,"炸弹盒",'装量配置'!$E$6:$E$718,"&gt;0")&gt;0,1,0)</ns0:f>
        <ns0:v>2</ns0:v>
      </ns0:c>
      <ns0:c r="BB103" s="150" t="n">
        <ns0:f>SUMIFS('装量配置'!$E$6:$E$718,'装量配置'!$A$6:$A$718,A103,'装量配置'!$B$6:$B$718,"开局",'装量配置'!$D$6:$D$718,"数字盖盒")+SUMIFS('装量配置'!$E$6:$E$718,'装量配置'!$A$6:$A$718,A103,'装量配置'!$B$6:$B$718,"开局",'装量配置'!$D$6:$D$718,"普通冰冻盒")+SUMIFS('装量配置'!$E$6:$E$718,'装量配置'!$A$6:$A$718,A103,'装量配置'!$B$6:$B$718,"开局",'装量配置'!$D$6:$D$718,"数字冰冻盒")</ns0:f>
        <ns0:v>0</ns0:v>
      </ns0:c>
      <ns0:c r="BC103" s="150" t="n">
        <ns0:f>SUMIFS('装量配置'!$R$6:$R$718,'装量配置'!$A$6:$A$718,A103,'装量配置'!$B$6:$B$718,"开局")</ns0:f>
        <ns0:v>0</ns0:v>
      </ns0:c>
      <ns0:c r="BD103" s="148" t="str">
        <ns0:v>循环供料与固定托接收，分散余量替代整空盒；普通盒下三层隐藏留给中后段整理。</ns0:v>
      </ns0:c>
      <ns0:c r="BE103" s="150" t="n">
        <ns0:v>3</ns0:v>
      </ns0:c>
      <ns0:c r="BF103" s="148" t="str">
        <ns0:v>首归纳及时交付，逐关试玩核对机关与收尾节奏</ns0:v>
      </ns0:c>
    </ns0:row>
    <ns0:row r="104" ht="33" customHeight="1">
      <ns0:c r="A104" s="112" t="n">
        <ns0:v>99</ns0:v>
      </ns0:c>
      <ns0:c r="B104" s="119" t="str">
        <ns0:v>百关收官与节奏起伏</ns0:v>
      </ns0:c>
      <ns0:c r="C104" s="127" t="str">
        <ns0:v>阶段挑战</ns0:v>
      </ns0:c>
      <ns0:c r="D104" s="114" t="n">
        <ns0:v>5</ns0:v>
      </ns0:c>
      <ns0:c r="E104" s="124" t="str">
        <ns0:v>机关与归纳顺序</ns0:v>
      </ns0:c>
      <ns0:c r="F104" s="124" t="str">
        <ns0:v>装量与周转配合</ns0:v>
      </ns0:c>
      <ns0:c r="G104" s="112" t="str">
        <ns0:v>错落</ns0:v>
      </ns0:c>
      <ns0:c r="H104" s="112" t="n">
        <ns0:v>8</ns0:v>
      </ns0:c>
      <ns0:c r="I104" s="112" t="n">
        <ns0:f>SUMIFS('装量配置'!$E$6:$E$718,'装量配置'!$A$6:$A$718,A104,'装量配置'!$B$6:$B$718,"开局",'装量配置'!$F$6:$F$718,4,'装量配置'!$G$6:$G$718,"&gt;0")</ns0:f>
        <ns0:v>15</ns0:v>
      </ns0:c>
      <ns0:c r="J104" s="112" t="n">
        <ns0:f>SUMIFS('装量配置'!$E$6:$E$718,'装量配置'!$A$6:$A$718,A104,'装量配置'!$B$6:$B$718,"备货")</ns0:f>
        <ns0:v>2</ns0:v>
      </ns0:c>
      <ns0:c r="K104" s="112" t="n">
        <ns0:v>16</ns0:v>
      </ns0:c>
      <ns0:c r="L104" s="112" t="n">
        <ns0:f>SUMIFS('装量配置'!$E$6:$E$718,'装量配置'!$A$6:$A$718,A104,'装量配置'!$B$6:$B$718,"开局",'装量配置'!$F$6:$F$718,4,'装量配置'!$G$6:$G$718,0,'装量配置'!$D$6:$D$718,"&lt;&gt;广告锁定周转盒")</ns0:f>
        <ns0:v>1</ns0:v>
      </ns0:c>
      <ns0:c r="M104" s="112" t="n">
        <ns0:f>SUMIFS('装量配置'!$E$6:$E$718,'装量配置'!$A$6:$A$718,A104,'装量配置'!$B$6:$B$718,"开局",'装量配置'!$F$6:$F$718,1)</ns0:f>
        <ns0:v>0</ns0:v>
      </ns0:c>
      <ns0:c r="N104" s="112" t="n">
        <ns0:f>SUMIFS('装量配置'!$E$6:$E$718,'装量配置'!$A$6:$A$718,A104,'装量配置'!$B$6:$B$718,"开局",'装量配置'!$D$6:$D$718,"广告锁定周转盒")</ns0:f>
        <ns0:v>2</ns0:v>
      </ns0:c>
      <ns0:c r="O104" s="112" t="n">
        <ns0:f>SUMIFS('装量配置'!$E$6:$E$718,'装量配置'!$A$6:$A$718,A104,'装量配置'!$B$6:$B$718,"开局")</ns0:f>
        <ns0:v>18</ns0:v>
      </ns0:c>
      <ns0:c r="P104" s="112" t="n">
        <ns0:f>SUMIFS('装量配置'!$K$6:$K$718,'装量配置'!$A$6:$A$718,A104)</ns0:f>
        <ns0:v>0</ns0:v>
      </ns0:c>
      <ns0:c r="Q104" s="112" t="n">
        <ns0:v>4</ns0:v>
      </ns0:c>
      <ns0:c r="R104" s="113" t="n">
        <ns0:v>0.046875</ns0:v>
      </ns0:c>
      <ns0:c r="S104" s="113" t="n">
        <ns0:v>0.12</ns0:v>
      </ns0:c>
      <ns0:c r="T104" s="112" t="n">
        <ns0:v>3</ns0:v>
      </ns0:c>
      <ns0:c r="U104" s="112" t="n">
        <ns0:v>3</ns0:v>
      </ns0:c>
      <ns0:c r="V104" s="124" t="str">
        <ns0:v>炸弹盒</ns0:v>
      </ns0:c>
      <ns0:c r="W104" s="124" t="str">
        <ns0:v>数字冰冻盒、单向收纳盒</ns0:v>
      </ns0:c>
      <ns0:c r="X104" s="124" t="str">
        <ns0:v>炸弹盒×1；数字冰冻盒×1；单向收纳盒×1；拆弹倍率1.35，时限待真人校准</ns0:v>
      </ns0:c>
      <ns0:c r="Y104" s="112" t="n">
        <ns0:f>SUMIFS('装量配置'!$I$6:$I$718,'装量配置'!$A$6:$A$718,A104)</ns0:f>
        <ns0:v>64</ns0:v>
      </ns0:c>
      <ns0:c r="Z104" s="112" t="str">
        <ns0:f>IF(AND(O104&lt;=25,N104=2,Y104=K104*4,H104&lt;=K104,P104+AT104&gt;=4,COUNTIFS('装量配置'!$A$6:$A$718,A104,'装量配置'!$O$6:$O$718,"需调整")=0),"装量通过；待逐味","需调整")</ns0:f>
        <ns0:v>装量通过；待逐味</ns0:v>
      </ns0:c>
      <ns0:c r="AA104" s="107" t="str">
        <ns0:v>四条件可行路线已保存（非最短解）</ns0:v>
      </ns0:c>
      <ns0:c r="AB104" s="107"/>
      <ns0:c r="AC104" s="107"/>
      <ns0:c r="AD104" s="113" t="n">
        <ns0:v>0.42</ns0:v>
      </ns0:c>
      <ns0:c r="AE104" s="114" t="n">
        <ns0:v>7.5</ns0:v>
      </ns0:c>
      <ns0:c r="AF104" s="109"/>
      <ns0:c r="AG104" s="109"/>
      <ns0:c r="AH104" s="110"/>
      <ns0:c r="AI104" s="131" t="str">
        <ns0:v>固定层序；待连续真人试玩</ns0:v>
      </ns0:c>
      <ns0:c r="AJ104" s="124" t="str">
        <ns0:v>阶段高点：炸弹、数字冰冻2与空单向盒，两批补货；拆弹同味物料全明牌，隐藏留给后段。</ns0:v>
      </ns0:c>
      <ns0:c r="AK104" s="124" t="str">
        <ns0:v>连续居中，按盒数分排</ns0:v>
      </ns0:c>
      <ns0:c r="AL104" s="112" t="n">
        <ns0:v>2</ns0:v>
      </ns0:c>
      <ns0:c r="AM104" s="113" t="n">
        <ns0:v>0.84</ns0:v>
      </ns0:c>
      <ns0:c r="AN104" s="112"/>
      <ns0:c r="AO104" s="113"/>
      <ns0:c r="AP104" s="124" t="str">
        <ns0:v>双锁／单开A／单开B／双开完整回放</ns0:v>
      </ns0:c>
      <ns0:c r="AQ104" s="107"/>
      <ns0:c r="AR104" s="120" t="n">
        <ns0:f>SUMIFS('装量配置'!$I$6:$I$718,'装量配置'!$A$6:$A$718,A104,'装量配置'!$B$6:$B$718,"开局")</ns0:f>
        <ns0:v>56</ns0:v>
      </ns0:c>
      <ns0:c r="AS104" s="132" t="n">
        <ns0:f>SUMIFS('装量配置'!$I$6:$I$718,'装量配置'!$A$6:$A$718,A104,'装量配置'!$B$6:$B$718,"开局",'装量配置'!$D$6:$D$718,"普通盒",'装量配置'!$G$6:$G$718,"&gt;0")/(4*SUMIFS('装量配置'!$E$6:$E$718,'装量配置'!$A$6:$A$718,A104,'装量配置'!$B$6:$B$718,"开局",'装量配置'!$D$6:$D$718,"普通盒",'装量配置'!$G$6:$G$718,"&gt;0"))</ns0:f>
        <ns0:v>0.9230769230769231</ns0:v>
      </ns0:c>
      <ns0:c r="AT104" s="120" t="n">
        <ns0:f>SUMIFS('装量配置'!$L$6:$L$718,'装量配置'!$A$6:$A$718,A104)</ns0:f>
        <ns0:v>4</ns0:v>
      </ns0:c>
      <ns0:c r="AU104" s="120" t="n">
        <ns0:f>SUMIFS('装量配置'!$M$6:$M$718,'装量配置'!$A$6:$A$718,A104)</ns0:f>
        <ns0:v>4</ns0:v>
      </ns0:c>
      <ns0:c r="AV104" s="120" t="n">
        <ns0:f>SUMIFS('装量配置'!$N$6:$N$718,'装量配置'!$A$6:$A$718,A104)</ns0:f>
        <ns0:v>0</ns0:v>
      </ns0:c>
      <ns0:c r="AW104" s="132" t="n">
        <ns0:v>0.18</ns0:v>
      </ns0:c>
      <ns0:c r="AX104" s="120" t="n">
        <ns0:v>4</ns0:v>
      </ns0:c>
      <ns0:c r="AY104" s="120" t="n">
        <ns0:f>IF(AX104=1,1,0)</ns0:f>
        <ns0:v>0</ns0:v>
      </ns0:c>
      <ns0:c r="AZ104" s="120" t="n">
        <ns0:f>SUMIFS('装量配置'!$E$6:$E$718,'装量配置'!$A$6:$A$718,A104,'装量配置'!$B$6:$B$718,"开局",'装量配置'!$D$6:$D$718,"&lt;&gt;普通盒",'装量配置'!$D$6:$D$718,"&lt;&gt;广告锁定周转盒")</ns0:f>
        <ns0:v>3</ns0:v>
      </ns0:c>
      <ns0:c r="BA104" s="149" t="n">
        <ns0:f>IF(COUNTIFS('装量配置'!$A$6:$A$718,A104,'装量配置'!$B$6:$B$718,"开局",'装量配置'!$D$6:$D$718,"数字盖盒",'装量配置'!$E$6:$E$718,"&gt;0")&gt;0,1,0)+IF(COUNTIFS('装量配置'!$A$6:$A$718,A104,'装量配置'!$B$6:$B$718,"开局",'装量配置'!$D$6:$D$718,"普通冰冻盒",'装量配置'!$E$6:$E$718,"&gt;0")&gt;0,1,0)+IF(COUNTIFS('装量配置'!$A$6:$A$718,A104,'装量配置'!$B$6:$B$718,"开局",'装量配置'!$D$6:$D$718,"单颗暂存盒",'装量配置'!$E$6:$E$718,"&gt;0")&gt;0,1,0)+IF(COUNTIFS('装量配置'!$A$6:$A$718,A104,'装量配置'!$B$6:$B$718,"开局",'装量配置'!$D$6:$D$718,"数字冰冻盒",'装量配置'!$E$6:$E$718,"&gt;0")&gt;0,1,0)+IF(COUNTIFS('装量配置'!$A$6:$A$718,A104,'装量配置'!$B$6:$B$718,"开局",'装量配置'!$D$6:$D$718,"固定颜色盒",'装量配置'!$E$6:$E$718,"&gt;0")&gt;0,1,0)+IF(COUNTIFS('装量配置'!$A$6:$A$718,A104,'装量配置'!$B$6:$B$718,"开局",'装量配置'!$D$6:$D$718,"单向收纳盒",'装量配置'!$E$6:$E$718,"&gt;0")&gt;0,1,0)+IF(COUNTIFS('装量配置'!$A$6:$A$718,A104,'装量配置'!$B$6:$B$718,"开局",'装量配置'!$D$6:$D$718,"底部置顶盒",'装量配置'!$E$6:$E$718,"&gt;0")&gt;0,1,0)+IF(COUNTIFS('装量配置'!$A$6:$A$718,A104,'装量配置'!$B$6:$B$718,"开局",'装量配置'!$D$6:$D$718,"炸弹盒",'装量配置'!$E$6:$E$718,"&gt;0")&gt;0,1,0)</ns0:f>
        <ns0:v>3</ns0:v>
      </ns0:c>
      <ns0:c r="BB104" s="149" t="n">
        <ns0:f>SUMIFS('装量配置'!$E$6:$E$718,'装量配置'!$A$6:$A$718,A104,'装量配置'!$B$6:$B$718,"开局",'装量配置'!$D$6:$D$718,"数字盖盒")+SUMIFS('装量配置'!$E$6:$E$718,'装量配置'!$A$6:$A$718,A104,'装量配置'!$B$6:$B$718,"开局",'装量配置'!$D$6:$D$718,"普通冰冻盒")+SUMIFS('装量配置'!$E$6:$E$718,'装量配置'!$A$6:$A$718,A104,'装量配置'!$B$6:$B$718,"开局",'装量配置'!$D$6:$D$718,"数字冰冻盒")</ns0:f>
        <ns0:v>1</ns0:v>
      </ns0:c>
      <ns0:c r="BC104" s="149" t="n">
        <ns0:f>SUMIFS('装量配置'!$R$6:$R$718,'装量配置'!$A$6:$A$718,A104,'装量配置'!$B$6:$B$718,"开局")</ns0:f>
        <ns0:v>2</ns0:v>
      </ns0:c>
      <ns0:c r="BD104" s="146" t="str">
        <ns0:v>阶段高点：炸弹、数字冰冻2与空单向盒，两批补货；拆弹同味物料全明牌，隐藏留给后段。</ns0:v>
      </ns0:c>
      <ns0:c r="BE104" s="149" t="n">
        <ns0:v>4</ns0:v>
      </ns0:c>
      <ns0:c r="BF104" s="146" t="str">
        <ns0:v>首归纳及时交付，逐关试玩核对机关与收尾节奏</ns0:v>
      </ns0:c>
    </ns0:row>
    <ns0:row r="105" ht="33" customHeight="1">
      <ns0:c r="A105" s="105" t="n">
        <ns0:v>100</ns0:v>
      </ns0:c>
      <ns0:c r="B105" s="117" t="str">
        <ns0:v>百关收官与节奏起伏</ns0:v>
      </ns0:c>
      <ns0:c r="C105" s="126" t="str">
        <ns0:v>缓和巩固</ns0:v>
      </ns0:c>
      <ns0:c r="D105" s="108" t="n">
        <ns0:v>4.6</ns0:v>
      </ns0:c>
      <ns0:c r="E105" s="123" t="str">
        <ns0:v>机关与归纳顺序</ns0:v>
      </ns0:c>
      <ns0:c r="F105" s="123" t="str">
        <ns0:v>装量与周转配合</ns0:v>
      </ns0:c>
      <ns0:c r="G105" s="105" t="str">
        <ns0:v>整齐</ns0:v>
      </ns0:c>
      <ns0:c r="H105" s="105" t="n">
        <ns0:v>7</ns0:v>
      </ns0:c>
      <ns0:c r="I105" s="105" t="n">
        <ns0:f>SUMIFS('装量配置'!$E$6:$E$718,'装量配置'!$A$6:$A$718,A105,'装量配置'!$B$6:$B$718,"开局",'装量配置'!$F$6:$F$718,4,'装量配置'!$G$6:$G$718,"&gt;0")</ns0:f>
        <ns0:v>15</ns0:v>
      </ns0:c>
      <ns0:c r="J105" s="105" t="n">
        <ns0:f>SUMIFS('装量配置'!$E$6:$E$718,'装量配置'!$A$6:$A$718,A105,'装量配置'!$B$6:$B$718,"备货")</ns0:f>
        <ns0:v>0</ns0:v>
      </ns0:c>
      <ns0:c r="K105" s="105" t="n">
        <ns0:v>14</ns0:v>
      </ns0:c>
      <ns0:c r="L105" s="105" t="n">
        <ns0:f>SUMIFS('装量配置'!$E$6:$E$718,'装量配置'!$A$6:$A$718,A105,'装量配置'!$B$6:$B$718,"开局",'装量配置'!$F$6:$F$718,4,'装量配置'!$G$6:$G$718,0,'装量配置'!$D$6:$D$718,"&lt;&gt;广告锁定周转盒")</ns0:f>
        <ns0:v>2</ns0:v>
      </ns0:c>
      <ns0:c r="M105" s="105" t="n">
        <ns0:f>SUMIFS('装量配置'!$E$6:$E$718,'装量配置'!$A$6:$A$718,A105,'装量配置'!$B$6:$B$718,"开局",'装量配置'!$F$6:$F$718,1)</ns0:f>
        <ns0:v>0</ns0:v>
      </ns0:c>
      <ns0:c r="N105" s="105" t="n">
        <ns0:f>SUMIFS('装量配置'!$E$6:$E$718,'装量配置'!$A$6:$A$718,A105,'装量配置'!$B$6:$B$718,"开局",'装量配置'!$D$6:$D$718,"广告锁定周转盒")</ns0:f>
        <ns0:v>2</ns0:v>
      </ns0:c>
      <ns0:c r="O105" s="105" t="n">
        <ns0:f>SUMIFS('装量配置'!$E$6:$E$718,'装量配置'!$A$6:$A$718,A105,'装量配置'!$B$6:$B$718,"开局")</ns0:f>
        <ns0:v>19</ns0:v>
      </ns0:c>
      <ns0:c r="P105" s="105" t="n">
        <ns0:f>SUMIFS('装量配置'!$K$6:$K$718,'装量配置'!$A$6:$A$718,A105)</ns0:f>
        <ns0:v>4</ns0:v>
      </ns0:c>
      <ns0:c r="Q105" s="105" t="n">
        <ns0:v>4</ns0:v>
      </ns0:c>
      <ns0:c r="R105" s="106" t="n">
        <ns0:v>0</ns0:v>
      </ns0:c>
      <ns0:c r="S105" s="106" t="n">
        <ns0:v>0.12</ns0:v>
      </ns0:c>
      <ns0:c r="T105" s="105" t="n">
        <ns0:v>3</ns0:v>
      </ns0:c>
      <ns0:c r="U105" s="105" t="n">
        <ns0:v>0</ns0:v>
      </ns0:c>
      <ns0:c r="V105" s="123" t="str">
        <ns0:v>底部置顶盒</ns0:v>
      </ns0:c>
      <ns0:c r="W105" s="123" t="str">
        <ns0:v>固定颜色盒</ns0:v>
      </ns0:c>
      <ns0:c r="X105" s="123" t="str">
        <ns0:v>底部置顶盒×1；固定颜色盒×1</ns0:v>
      </ns0:c>
      <ns0:c r="Y105" s="105" t="n">
        <ns0:f>SUMIFS('装量配置'!$I$6:$I$718,'装量配置'!$A$6:$A$718,A105)</ns0:f>
        <ns0:v>56</ns0:v>
      </ns0:c>
      <ns0:c r="Z105" s="105" t="str">
        <ns0:f>IF(AND(O105&lt;=25,N105=2,Y105=K105*4,H105&lt;=K105,P105+AT105&gt;=4,COUNTIFS('装量配置'!$A$6:$A$718,A105,'装量配置'!$O$6:$O$718,"需调整")=0),"装量通过；待逐味","需调整")</ns0:f>
        <ns0:v>装量通过；待逐味</ns0:v>
      </ns0:c>
      <ns0:c r="AA105" s="107" t="str">
        <ns0:v>四条件可行路线已保存（非最短解）</ns0:v>
      </ns0:c>
      <ns0:c r="AB105" s="107"/>
      <ns0:c r="AC105" s="107"/>
      <ns0:c r="AD105" s="106" t="n">
        <ns0:v>0.76</ns0:v>
      </ns0:c>
      <ns0:c r="AE105" s="108" t="n">
        <ns0:v>5.5</ns0:v>
      </ns0:c>
      <ns0:c r="AF105" s="109"/>
      <ns0:c r="AG105" s="109"/>
      <ns0:c r="AH105" s="110"/>
      <ns0:c r="AI105" s="131" t="str">
        <ns0:v>固定层序；待连续真人试玩</ns0:v>
      </ns0:c>
      <ns0:c r="AJ105" s="123" t="str">
        <ns0:v>百关收尾回落：七色循环与固定托，无计时、隐藏和补货；十四单、尾段连收形成结束反馈。</ns0:v>
      </ns0:c>
      <ns0:c r="AK105" s="123" t="str">
        <ns0:v>连续居中，按盒数分排</ns0:v>
      </ns0:c>
      <ns0:c r="AL105" s="105" t="n">
        <ns0:v>1</ns0:v>
      </ns0:c>
      <ns0:c r="AM105" s="106" t="n">
        <ns0:v>0.92</ns0:v>
      </ns0:c>
      <ns0:c r="AN105" s="107"/>
      <ns0:c r="AO105" s="110"/>
      <ns0:c r="AP105" s="123" t="str">
        <ns0:v>双锁／单开A／单开B／双开完整回放</ns0:v>
      </ns0:c>
      <ns0:c r="AQ105" s="107"/>
      <ns0:c r="AR105" s="121" t="n">
        <ns0:f>SUMIFS('装量配置'!$I$6:$I$718,'装量配置'!$A$6:$A$718,A105,'装量配置'!$B$6:$B$718,"开局")</ns0:f>
        <ns0:v>56</ns0:v>
      </ns0:c>
      <ns0:c r="AS105" s="133" t="n">
        <ns0:f>SUMIFS('装量配置'!$I$6:$I$718,'装量配置'!$A$6:$A$718,A105,'装量配置'!$B$6:$B$718,"开局",'装量配置'!$D$6:$D$718,"普通盒",'装量配置'!$G$6:$G$718,"&gt;0")/(4*SUMIFS('装量配置'!$E$6:$E$718,'装量配置'!$A$6:$A$718,A105,'装量配置'!$B$6:$B$718,"开局",'装量配置'!$D$6:$D$718,"普通盒",'装量配置'!$G$6:$G$718,"&gt;0"))</ns0:f>
        <ns0:v>0.9285714285714286</ns0:v>
      </ns0:c>
      <ns0:c r="AT105" s="121" t="n">
        <ns0:f>SUMIFS('装量配置'!$L$6:$L$718,'装量配置'!$A$6:$A$718,A105)</ns0:f>
        <ns0:v>4</ns0:v>
      </ns0:c>
      <ns0:c r="AU105" s="121" t="n">
        <ns0:f>SUMIFS('装量配置'!$M$6:$M$718,'装量配置'!$A$6:$A$718,A105)</ns0:f>
        <ns0:v>4</ns0:v>
      </ns0:c>
      <ns0:c r="AV105" s="121" t="n">
        <ns0:f>SUMIFS('装量配置'!$N$6:$N$718,'装量配置'!$A$6:$A$718,A105)</ns0:f>
        <ns0:v>0</ns0:v>
      </ns0:c>
      <ns0:c r="AW105" s="133" t="n">
        <ns0:v>0.18</ns0:v>
      </ns0:c>
      <ns0:c r="AX105" s="121" t="n">
        <ns0:v>4</ns0:v>
      </ns0:c>
      <ns0:c r="AY105" s="121" t="n">
        <ns0:f>IF(AX105=1,1,0)</ns0:f>
        <ns0:v>0</ns0:v>
      </ns0:c>
      <ns0:c r="AZ105" s="121" t="n">
        <ns0:f>SUMIFS('装量配置'!$E$6:$E$718,'装量配置'!$A$6:$A$718,A105,'装量配置'!$B$6:$B$718,"开局",'装量配置'!$D$6:$D$718,"&lt;&gt;普通盒",'装量配置'!$D$6:$D$718,"&lt;&gt;广告锁定周转盒")</ns0:f>
        <ns0:v>2</ns0:v>
      </ns0:c>
      <ns0:c r="BA105" s="150" t="n">
        <ns0:f>IF(COUNTIFS('装量配置'!$A$6:$A$718,A105,'装量配置'!$B$6:$B$718,"开局",'装量配置'!$D$6:$D$718,"数字盖盒",'装量配置'!$E$6:$E$718,"&gt;0")&gt;0,1,0)+IF(COUNTIFS('装量配置'!$A$6:$A$718,A105,'装量配置'!$B$6:$B$718,"开局",'装量配置'!$D$6:$D$718,"普通冰冻盒",'装量配置'!$E$6:$E$718,"&gt;0")&gt;0,1,0)+IF(COUNTIFS('装量配置'!$A$6:$A$718,A105,'装量配置'!$B$6:$B$718,"开局",'装量配置'!$D$6:$D$718,"单颗暂存盒",'装量配置'!$E$6:$E$718,"&gt;0")&gt;0,1,0)+IF(COUNTIFS('装量配置'!$A$6:$A$718,A105,'装量配置'!$B$6:$B$718,"开局",'装量配置'!$D$6:$D$718,"数字冰冻盒",'装量配置'!$E$6:$E$718,"&gt;0")&gt;0,1,0)+IF(COUNTIFS('装量配置'!$A$6:$A$718,A105,'装量配置'!$B$6:$B$718,"开局",'装量配置'!$D$6:$D$718,"固定颜色盒",'装量配置'!$E$6:$E$718,"&gt;0")&gt;0,1,0)+IF(COUNTIFS('装量配置'!$A$6:$A$718,A105,'装量配置'!$B$6:$B$718,"开局",'装量配置'!$D$6:$D$718,"单向收纳盒",'装量配置'!$E$6:$E$718,"&gt;0")&gt;0,1,0)+IF(COUNTIFS('装量配置'!$A$6:$A$718,A105,'装量配置'!$B$6:$B$718,"开局",'装量配置'!$D$6:$D$718,"底部置顶盒",'装量配置'!$E$6:$E$718,"&gt;0")&gt;0,1,0)+IF(COUNTIFS('装量配置'!$A$6:$A$718,A105,'装量配置'!$B$6:$B$718,"开局",'装量配置'!$D$6:$D$718,"炸弹盒",'装量配置'!$E$6:$E$718,"&gt;0")&gt;0,1,0)</ns0:f>
        <ns0:v>2</ns0:v>
      </ns0:c>
      <ns0:c r="BB105" s="150" t="n">
        <ns0:f>SUMIFS('装量配置'!$E$6:$E$718,'装量配置'!$A$6:$A$718,A105,'装量配置'!$B$6:$B$718,"开局",'装量配置'!$D$6:$D$718,"数字盖盒")+SUMIFS('装量配置'!$E$6:$E$718,'装量配置'!$A$6:$A$718,A105,'装量配置'!$B$6:$B$718,"开局",'装量配置'!$D$6:$D$718,"普通冰冻盒")+SUMIFS('装量配置'!$E$6:$E$718,'装量配置'!$A$6:$A$718,A105,'装量配置'!$B$6:$B$718,"开局",'装量配置'!$D$6:$D$718,"数字冰冻盒")</ns0:f>
        <ns0:v>0</ns0:v>
      </ns0:c>
      <ns0:c r="BC105" s="150" t="n">
        <ns0:f>SUMIFS('装量配置'!$R$6:$R$718,'装量配置'!$A$6:$A$718,A105,'装量配置'!$B$6:$B$718,"开局")</ns0:f>
        <ns0:v>0</ns0:v>
      </ns0:c>
      <ns0:c r="BD105" s="148" t="str">
        <ns0:v>百关收尾回落：七色循环与固定托，无计时、隐藏和补货；十四单、尾段连收形成结束反馈。</ns0:v>
      </ns0:c>
      <ns0:c r="BE105" s="150" t="n">
        <ns0:v>2</ns0:v>
      </ns0:c>
      <ns0:c r="BF105" s="148" t="str">
        <ns0:v>首归纳及时交付，逐关试玩核对机关与收尾节奏</ns0:v>
      </ns0:c>
    </ns0:row>
  </ns0:sheetData>
  <ns0:mergeCells>
    <ns0:mergeCell ref="A2:P2"/>
    <ns0:mergeCell ref="A3:P3"/>
  </ns0:mergeCells>
  <ns0:pageMargins left="0.7" right="0.7" top="0.75" bottom="0.75" header="0.3" footer="0.3"/>
  <ns0:tableParts count="1">
    <ns0:tablePart ns1:id="R397b525147084e6c"/>
  </ns0:tableParts>
</ns0:worksheet>
</file>

<file path=xl/worksheets/sheet2.xml><?xml version="1.0" encoding="utf-8"?>
<ns0:worksheet xmlns:ns0="http://schemas.openxmlformats.org/spreadsheetml/2006/main">
  <ns0:sheetPr>
    <ns0:tabColor rgb="FF557DA6"/>
  </ns0:sheetPr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8" hidden="0" customWidth="1"/>
    <ns0:col min="2" max="2" width="16" hidden="0" customWidth="1"/>
    <ns0:col min="3" max="3" width="27.5" hidden="0" customWidth="1"/>
    <ns0:col min="4" max="4" width="112.5" hidden="0" customWidth="1"/>
    <ns0:col min="5" max="5" width="3" hidden="0" customWidth="1"/>
    <ns0:col min="6" max="6" width="3" hidden="0" customWidth="1"/>
    <ns0:col min="7" max="7" width="3" hidden="0" customWidth="1"/>
    <ns0:col min="8" max="8" width="3" hidden="0" customWidth="1"/>
  </ns0:cols>
  <ns0:sheetData>
    <ns0:row r="2" ht="32" customHeight="1">
      <ns0:c r="A2" s="31" t="str">
        <ns0:v>口径与交付检查</ns0:v>
      </ns0:c>
      <ns0:c r="B2" s="31"/>
      <ns0:c r="C2" s="31"/>
      <ns0:c r="D2" s="31"/>
    </ns0:row>
    <ns0:row r="3" ht="26" customHeight="1">
      <ns0:c r="A3" s="33" t="str">
        <ns0:v>机制复用试配R2：教学提前、旧机制持续复用、周转与中段压力共同检查；装量检查不代替真实关卡求解和试玩。</ns0:v>
      </ns0:c>
      <ns0:c r="B3" s="33"/>
      <ns0:c r="C3" s="33"/>
      <ns0:c r="D3" s="33"/>
    </ns0:row>
    <ns0:row r="4" ht="27" customHeight="1">
      <ns0:c r="A4" s="7" t="str">
        <ns0:v>编号</ns0:v>
      </ns0:c>
      <ns0:c r="B4" s="7" t="str">
        <ns0:v>类别</ns0:v>
      </ns0:c>
      <ns0:c r="C4" s="7" t="str">
        <ns0:v>项目</ns0:v>
      </ns0:c>
      <ns0:c r="D4" s="7" t="str">
        <ns0:v>解释 / 执行要求</ns0:v>
      </ns0:c>
    </ns0:row>
    <ns0:row r="5" ht="36" customHeight="1">
      <ns0:c r="A5" s="105" t="str">
        <ns0:v>01</ns0:v>
      </ns0:c>
      <ns0:c r="B5" s="105" t="str">
        <ns0:v>文档分工</ns0:v>
      </ns0:c>
      <ns0:c r="C5" s="123" t="str">
        <ns0:v>策划、数值与实施依据</ns0:v>
      </ns0:c>
      <ns0:c r="D5" s="123" t="str">
        <ns0:v>本表为2026-09-30机制复用试配R2。机制规则沿用V1.3；本轮只更新策划与数值，Godot关卡尚未同步。</ns0:v>
      </ns0:c>
    </ns0:row>
    <ns0:row r="6" ht="36" customHeight="1">
      <ns0:c r="A6" s="117" t="str">
        <ns0:v>02</ns0:v>
      </ns0:c>
      <ns0:c r="B6" s="117" t="str">
        <ns0:v>开发范围</ns0:v>
      </ns0:c>
      <ns0:c r="C6" s="126" t="str">
        <ns0:v>前100关</ns0:v>
      </ns0:c>
      <ns0:c r="D6" s="126" t="str">
        <ns0:v>本次交付为装量和难度目标试配；开发还须生成逐盒口味、层序、隐藏、需求及备货顺序。</ns0:v>
      </ns0:c>
    </ns0:row>
    <ns0:row r="7" ht="36" customHeight="1">
      <ns0:c r="A7" s="105" t="str">
        <ns0:v>03</ns0:v>
      </ns0:c>
      <ns0:c r="B7" s="105" t="str">
        <ns0:v>适用状态</ns0:v>
      </ns0:c>
      <ns0:c r="C7" s="123" t="str">
        <ns0:v>逐关交付状态</ns0:v>
      </ns0:c>
      <ns0:c r="D7" s="123" t="str">
        <ns0:v>第1—100关均须逐关生成、求解和试玩；未通过的行保持待验证，不因已填策划数值而视为交付。</ns0:v>
      </ns0:c>
    </ns0:row>
    <ns0:row r="8" ht="36" customHeight="1">
      <ns0:c r="A8" s="117" t="str">
        <ns0:v>04</ns0:v>
      </ns0:c>
      <ns0:c r="B8" s="117" t="str">
        <ns0:v>容量口径</ns0:v>
      </ns0:c>
      <ns0:c r="C8" s="126" t="str">
        <ns0:v>同屏总盒位</ns0:v>
      </ns0:c>
      <ns0:c r="D8" s="126" t="str">
        <ns0:v>由装量配置汇总开局实体盒，包含普通、特殊、单颗暂存及2只广告锁定周转盒，上限25。</ns0:v>
      </ns0:c>
    </ns0:row>
    <ns0:row r="9" ht="36" customHeight="1">
      <ns0:c r="A9" s="105" t="str">
        <ns0:v>05</ns0:v>
      </ns0:c>
      <ns0:c r="B9" s="105" t="str">
        <ns0:v>数量口径</ns0:v>
      </ns0:c>
      <ns0:c r="C9" s="123" t="str">
        <ns0:v>需回收盒与甜甜圈</ns0:v>
      </ns0:c>
      <ns0:c r="D9" s="123" t="str">
        <ns0:v>K列为整关回收盒目标；Y列由装量配置实际装量求和，必须等于K×4。还须逐口味检验4的倍数。</ns0:v>
      </ns0:c>
    </ns0:row>
    <ns0:row r="10" ht="36" customHeight="1">
      <ns0:c r="A10" s="117" t="str">
        <ns0:v>06</ns0:v>
      </ns0:c>
      <ns0:c r="B10" s="117" t="str">
        <ns0:v>数量口径</ns0:v>
      </ns0:c>
      <ns0:c r="C10" s="126" t="str">
        <ns0:v>备货盒</ns0:v>
      </ns0:c>
      <ns0:c r="D10" s="126" t="str">
        <ns0:v>仍30关有备货、70关无备货；本轮备货普通四格盒、每盒4颗。为避开教学，12→14、13→15、18→17、24→27转移备货数量。各关总甜甜圈和需求数保留。</ns0:v>
      </ns0:c>
    </ns0:row>
    <ns0:row r="11" ht="36" customHeight="1">
      <ns0:c r="A11" s="105" t="str">
        <ns0:v>07</ns0:v>
      </ns0:c>
      <ns0:c r="B11" s="105" t="str">
        <ns0:v>空间口径</ns0:v>
      </ns0:c>
      <ns0:c r="C11" s="123" t="str">
        <ns0:v>通用与受限空位</ns0:v>
      </ns0:c>
      <ns0:c r="D11" s="123" t="str">
        <ns0:v>P列仅计开局普通空四格盒和空的未冻结单颗暂存盒。非空同味接收、固定口味/单向接收、机关锁住空位分别记录，不相加当作通用周转。</ns0:v>
      </ns0:c>
    </ns0:row>
    <ns0:row r="12" ht="36" customHeight="1">
      <ns0:c r="A12" s="117" t="str">
        <ns0:v>08</ns0:v>
      </ns0:c>
      <ns0:c r="B12" s="117" t="str">
        <ns0:v>难度口径</ns0:v>
      </ns0:c>
      <ns0:c r="C12" s="126" t="str">
        <ns0:v>层序交错 / 顺序压力</ns0:v>
      </ns0:c>
      <ns0:c r="D12" s="126" t="str">
        <ns0:v>1—5为策划相对等级，需按实际层序、开放需求及备货序列复核；不是公式自动推出的难度。</ns0:v>
      </ns0:c>
    </ns0:row>
    <ns0:row r="13" ht="36" customHeight="1">
      <ns0:c r="A13" s="105" t="str">
        <ns0:v>09</ns0:v>
      </ns0:c>
      <ns0:c r="B13" s="105" t="str">
        <ns0:v>层序口径</ns0:v>
      </ns0:c>
      <ns0:c r="C13" s="123" t="str">
        <ns0:v>AABB占比上限</ns0:v>
      </ns0:c>
      <ns0:c r="D13" s="123" t="str">
        <ns0:v>按开局非空四格盒统计恰为AABB的比例，允许数量向下取整；并结合AW列相邻同味对上限和AX列首归纳目标，不单独作为难度证明。</ns0:v>
      </ns0:c>
    </ns0:row>
    <ns0:row r="14" ht="36" customHeight="1">
      <ns0:c r="A14" s="117" t="str">
        <ns0:v>10</ns0:v>
      </ns0:c>
      <ns0:c r="B14" s="117" t="str">
        <ns0:v>教学节奏</ns0:v>
      </ns0:c>
      <ns0:c r="C14" s="126" t="str">
        <ns0:v>首次与短练习</ns0:v>
      </ns0:c>
      <ns0:c r="D14" s="126" t="str">
        <ns0:v>新机制首次及紧接一关降低其他压力，先单项学习；第三关可接入已学机制，随后持续复用。回落关保留熟悉机制而降低周转强度。</ns0:v>
      </ns0:c>
    </ns0:row>
    <ns0:row r="15" ht="36" customHeight="1">
      <ns0:c r="A15" s="105" t="str">
        <ns0:v>11</ns0:v>
      </ns0:c>
      <ns0:c r="B15" s="105" t="str">
        <ns0:v>机制引入</ns0:v>
      </ns0:c>
      <ns0:c r="C15" s="123" t="str">
        <ns0:v>12／18／24／31</ns0:v>
      </ns0:c>
      <ns0:c r="D15" s="123" t="str">
        <ns0:v>数字盖盒／普通冰冻盒／单颗暂存盒／数字冰冻盒；基础、隐藏、补货分别1／6／9关引入，隐藏教学必须实际有隐藏颗。</ns0:v>
      </ns0:c>
    </ns0:row>
    <ns0:row r="16" ht="36" customHeight="1">
      <ns0:c r="A16" s="117" t="str">
        <ns0:v>12</ns0:v>
      </ns0:c>
      <ns0:c r="B16" s="117" t="str">
        <ns0:v>机制引入</ns0:v>
      </ns0:c>
      <ns0:c r="C16" s="126" t="str">
        <ns0:v>41／51／61／81</ns0:v>
      </ns0:c>
      <ns0:c r="D16" s="126" t="str">
        <ns0:v>固定颜色盒／单向收纳盒／底部置顶盒／炸弹盒；数字冰冻单颗暂存盒仍留后续。已学机制进入复用池，不到下阶段就消失。</ns0:v>
      </ns0:c>
    </ns0:row>
    <ns0:row r="17" ht="36" customHeight="1">
      <ns0:c r="A17" s="105" t="str">
        <ns0:v>13</ns0:v>
      </ns0:c>
      <ns0:c r="B17" s="105" t="str">
        <ns0:v>机关事件</ns0:v>
      </ns0:c>
      <ns0:c r="C17" s="123" t="str">
        <ns0:v>数字盒</ns0:v>
      </ns0:c>
      <ns0:c r="D17" s="123" t="str">
        <ns0:v>每次新四颗同味归纳，只使固定盒位顺序中第一只当前在场、数字大于零的盒子减1。</ns0:v>
      </ns0:c>
    </ns0:row>
    <ns0:row r="18" ht="36" customHeight="1">
      <ns0:c r="A18" s="117" t="str">
        <ns0:v>14</ns0:v>
      </ns0:c>
      <ns0:c r="B18" s="117" t="str">
        <ns0:v>机关事件</ns0:v>
      </ns0:c>
      <ns0:c r="C18" s="126" t="str">
        <ns0:v>无数字冰冻盒</ns0:v>
      </ns0:c>
      <ns0:c r="D18" s="126" t="str">
        <ns0:v>只有真实打包回收才解冻一盒；不能与归纳完成混为一谈。</ns0:v>
      </ns0:c>
    </ns0:row>
    <ns0:row r="19" ht="36" customHeight="1">
      <ns0:c r="A19" s="105" t="str">
        <ns0:v>15</ns0:v>
      </ns0:c>
      <ns0:c r="B19" s="105" t="str">
        <ns0:v>炸弹数值</ns0:v>
      </ns0:c>
      <ns0:c r="C19" s="123" t="str">
        <ns0:v>拆弹宽松度</ns0:v>
      </ns0:c>
      <ns0:c r="D19" s="123" t="str">
        <ns0:v>倍率仍为试配；基准为玩家从起计到该炸弹成功回收的熟练无道具耗时，包含正常观察决策。不是求解器运行耗时，也不是整关结束耗时。秒数待实际局面试玩。</ns0:v>
      </ns0:c>
    </ns0:row>
    <ns0:row r="20" ht="36" customHeight="1">
      <ns0:c r="A20" s="117" t="str">
        <ns0:v>16</ns0:v>
      </ns0:c>
      <ns0:c r="B20" s="117" t="str">
        <ns0:v>广告边界</ns0:v>
      </ns0:c>
      <ns0:c r="C20" s="126" t="str">
        <ns0:v>周转盒</ns0:v>
      </ns0:c>
      <ns0:c r="D20" s="126" t="str">
        <ns0:v>2只预留锁定盒由玩家自愿各看一次激励广告解锁；不得把广告设为正常通关前提。</ns0:v>
      </ns0:c>
    </ns0:row>
    <ns0:row r="21" ht="36" customHeight="1">
      <ns0:c r="A21" s="105" t="str">
        <ns0:v>17</ns0:v>
      </ns0:c>
      <ns0:c r="B21" s="105" t="str">
        <ns0:v>验证口径</ns0:v>
      </ns0:c>
      <ns0:c r="C21" s="123" t="str">
        <ns0:v>装量与容量校验</ns0:v>
      </ns0:c>
      <ns0:c r="D21" s="123" t="str">
        <ns0:v>检查初始装量、25盒、两广告位、总量=需求×4及本轮通用+同味接收余格至少4；这是保守试配筛查，不证明逐味、层序、机关顺序或通关路径可达。</ns0:v>
      </ns0:c>
    </ns0:row>
    <ns0:row r="22" ht="36" customHeight="1">
      <ns0:c r="A22" s="117" t="str">
        <ns0:v>18</ns0:v>
      </ns0:c>
      <ns0:c r="B22" s="117" t="str">
        <ns0:v>验证门槛</ns0:v>
      </ns0:c>
      <ns0:c r="C22" s="126" t="str">
        <ns0:v>无广告求解</ns0:v>
      </ns0:c>
      <ns0:c r="D22" s="126" t="str">
        <ns0:v>需锁住两个广告周转位、禁用道具，用真实层序/隐藏/目标/备货/机制跑求解器；记录最短搬运。</ns0:v>
      </ns0:c>
    </ns0:row>
    <ns0:row r="23" ht="36" customHeight="1">
      <ns0:c r="A23" s="105" t="str">
        <ns0:v>19</ns0:v>
      </ns0:c>
      <ns0:c r="B23" s="105" t="str">
        <ns0:v>验证门槛</ns0:v>
      </ns0:c>
      <ns0:c r="C23" s="123" t="str">
        <ns0:v>广告缓解</ns0:v>
      </ns0:c>
      <ns0:c r="D23" s="123" t="str">
        <ns0:v>分别在无广告、只开周转位A、只开周转位B、双盒解锁条件下求解；一盒辅助档验证任意一盒有效，双盒辅助档验证两盒有明显帮助。</ns0:v>
      </ns0:c>
    </ns0:row>
    <ns0:row r="24" ht="36" customHeight="1">
      <ns0:c r="A24" s="117" t="str">
        <ns0:v>20</ns0:v>
      </ns0:c>
      <ns0:c r="B24" s="117" t="str">
        <ns0:v>调校来源</ns0:v>
      </ns0:c>
      <ns0:c r="C24" s="126" t="str">
        <ns0:v>完整试玩反馈</ns0:v>
      </ns0:c>
      <ns0:c r="D24" s="126" t="str">
        <ns0:v>用户在Godot体验100关后反馈仍简单、特殊盒少。实查原表20关无独立特殊盒、43关仅1只；本轮调整复用及整关周转，目标不等于实测。</ns0:v>
      </ns0:c>
    </ns0:row>
    <ns0:row r="25" ht="36" customHeight="1">
      <ns0:c r="A25" s="105" t="str">
        <ns0:v>21</ns0:v>
      </ns0:c>
      <ns0:c r="B25" s="105" t="str">
        <ns0:v>验证状态</ns0:v>
      </ns0:c>
      <ns0:c r="C25" s="123" t="str">
        <ns0:v>本轮求解与试玩</ns0:v>
      </ns0:c>
      <ns0:c r="D25" s="123" t="str">
        <ns0:v>本轮装量与组合重新试配。旧Godot解法不能证明新配置可解；完整层序、四条件解法、中段检查和试玩仍待执行。</ns0:v>
      </ns0:c>
    </ns0:row>
    <ns0:row r="26" ht="36" customHeight="1">
      <ns0:c r="A26" s="117" t="str">
        <ns0:v>22</ns0:v>
      </ns0:c>
      <ns0:c r="B26" s="117" t="str">
        <ns0:v>来源</ns0:v>
      </ns0:c>
      <ns0:c r="C26" s="126" t="str">
        <ns0:v>产品策划方案</ns0:v>
      </ns0:c>
      <ns0:c r="D26" s="126" t="str">
        <ns0:v>2026-09-30策划与用户本次确认的特殊盒提早引入、复用及周转提难方向；开局装量与无广告可解边界不变。</ns0:v>
      </ns0:c>
    </ns0:row>
    <ns0:row r="27" ht="36" customHeight="1">
      <ns0:c r="A27" s="105" t="str">
        <ns0:v>23</ns0:v>
      </ns0:c>
      <ns0:c r="B27" s="105" t="str">
        <ns0:v>实施依据</ns0:v>
      </ns0:c>
      <ns0:c r="C27" s="123" t="str">
        <ns0:v>局内界面-V1.3</ns0:v>
      </ns0:c>
      <ns0:c r="D27" s="123" t="str">
        <ns0:v>V1.3原样保留。本次仅数值与策划调校，不另出PRD、不改Godot代码；导入实际关卡后重新求解与试玩。</ns0:v>
      </ns0:c>
    </ns0:row>
    <ns0:row r="28" ht="36" customHeight="1">
      <ns0:c r="A28" s="117" t="str">
        <ns0:v>24</ns0:v>
      </ns0:c>
      <ns0:c r="B28" s="117" t="str">
        <ns0:v>平台边界</ns0:v>
      </ns0:c>
      <ns0:c r="C28" s="126" t="str">
        <ns0:v>抖音运营规范</ns0:v>
      </ns0:c>
      <ns0:c r="D28" s="126" t="str">
        <ns0:v>激励广告不可作为正常关卡体验的前置条件；微信上线前也需按当时规则复核。依据：https://partner.open-douyin.com/docs/resource/zh-CN/mini-game/operation1/norms/norms</ns0:v>
      </ns0:c>
    </ns0:row>
    <ns0:row r="29" ht="36" customHeight="1">
      <ns0:c r="A29" s="105" t="str">
        <ns0:v>25</ns0:v>
      </ns0:c>
      <ns0:c r="B29" s="105" t="str">
        <ns0:v>摆位口径</ns0:v>
      </ns0:c>
      <ns0:c r="C29" s="123" t="str">
        <ns0:v>构图建议</ns0:v>
      </ns0:c>
      <ns0:c r="D29" s="123" t="str">
        <ns0:v>G列保留整齐／错落／自由类别；AK列给出逐关视觉构图建议，不等于实际盒位坐标。围合或留白形状中的空白不成为可操作盒位。</ns0:v>
      </ns0:c>
    </ns0:row>
    <ns0:row r="30" ht="36" customHeight="1">
      <ns0:c r="A30" s="117" t="str">
        <ns0:v>26</ns0:v>
      </ns0:c>
      <ns0:c r="B30" s="117" t="str">
        <ns0:v>时长口径</ns0:v>
      </ns0:c>
      <ns0:c r="C30" s="126" t="str">
        <ns0:v>普通关／特别难关</ns0:v>
      </ns0:c>
      <ns0:c r="D30" s="126" t="str">
        <ns0:v>普通关策划目标中位完整通关时长≤6分钟；第39、49、59、69、79、89、99关≤8分钟。均非普通关倒计时，须以试玩数据校准。</ns0:v>
      </ns0:c>
    </ns0:row>
    <ns0:row r="31" ht="36" customHeight="1">
      <ns0:c r="A31" s="105" t="str">
        <ns0:v>27</ns0:v>
      </ns0:c>
      <ns0:c r="B31" s="105" t="str">
        <ns0:v>峰值节奏</ns0:v>
      </ns0:c>
      <ns0:c r="C31" s="123" t="str">
        <ns0:v>第31—100关</ns0:v>
      </ns0:c>
      <ns0:c r="D31" s="123" t="str">
        <ns0:v>每十关第9关为特别难高点，次关回落；前30关不设特别难广告高点。高点不必拥有最多初始盒或备货盒。</ns0:v>
      </ns0:c>
    </ns0:row>
    <ns0:row r="32" ht="36" customHeight="1">
      <ns0:c r="A32" s="117" t="str">
        <ns0:v>28</ns0:v>
      </ns0:c>
      <ns0:c r="B32" s="117" t="str">
        <ns0:v>备货控制</ns0:v>
      </ns0:c>
      <ns0:c r="C32" s="126" t="str">
        <ns0:v>不设统一数量上限</ns0:v>
      </ns0:c>
      <ns0:c r="D32" s="126" t="str">
        <ns0:v>备货、初始盒及需回收盒共同试配；本表已减轻过长流程。若实际中位时长超目标，调整实际关卡负载，不能只改表中的分钟数。</ns0:v>
      </ns0:c>
    </ns0:row>
    <ns0:row r="33" ht="36" customHeight="1">
      <ns0:c r="A33" s="105" t="str">
        <ns0:v>29</ns0:v>
      </ns0:c>
      <ns0:c r="B33" s="105" t="str">
        <ns0:v>口味口径</ns0:v>
      </ns0:c>
      <ns0:c r="C33" s="123" t="str">
        <ns0:v>全库15／单关≤10</ns0:v>
      </ns0:c>
      <ns0:c r="D33" s="123" t="str">
        <ns0:v>前100关单关暂按不超过10种试配，优先保证辨认与新机制教学清晰；全部口味库最多15种。</ns0:v>
      </ns0:c>
    </ns0:row>
    <ns0:row r="34" ht="36" customHeight="1">
      <ns0:c r="A34" s="117" t="str">
        <ns0:v>30</ns0:v>
      </ns0:c>
      <ns0:c r="B34" s="117" t="str">
        <ns0:v>广告验证</ns0:v>
      </ns0:c>
      <ns0:c r="C34" s="126" t="str">
        <ns0:v>两只周转盒</ns0:v>
      </ns0:c>
      <ns0:c r="D34" s="126" t="str">
        <ns0:v>每关均预留2只可选广告周转盒；特别难关需要无广告可行解，并比较解锁一盒后的步骤与真实玩家体验。</ns0:v>
      </ns0:c>
    </ns0:row>
    <ns0:row r="35" ht="36" customHeight="1">
      <ns0:c r="A35" s="105" t="str">
        <ns0:v>31</ns0:v>
      </ns0:c>
      <ns0:c r="B35" s="105" t="str">
        <ns0:v>备货分布</ns0:v>
      </ns0:c>
      <ns0:c r="C35" s="123" t="str">
        <ns0:v>30有／70无</ns0:v>
      </ns0:c>
      <ns0:c r="D35" s="123" t="str">
        <ns0:v>为新教学腾出无备货关，调整4组备货关号；备货总数、各关回收目标及全关甜甜圈总量均保留，目标时长不延长。</ns0:v>
      </ns0:c>
    </ns0:row>
    <ns0:row r="36" ht="36" customHeight="1">
      <ns0:c r="A36" s="117" t="str">
        <ns0:v>32</ns0:v>
      </ns0:c>
      <ns0:c r="B36" s="117" t="str">
        <ns0:v>辅助档位</ns0:v>
      </ns0:c>
      <ns0:c r="C36" s="126" t="str">
        <ns0:v>93关一盒／7关两盒</ns0:v>
      </ns0:c>
      <ns0:c r="D36" s="126" t="str">
        <ns0:v>第39、49、59、69、79、89、99关为两盒辅助目标，其余一盒；仍须验证无广告路径，辅助档不是必看广告次数。</ns0:v>
      </ns0:c>
    </ns0:row>
    <ns0:row r="37" ht="36" customHeight="1">
      <ns0:c r="A37" s="105" t="str">
        <ns0:v>33</ns0:v>
      </ns0:c>
      <ns0:c r="B37" s="105" t="str">
        <ns0:v>辅助目标</ns0:v>
      </ns0:c>
      <ns0:c r="C37" s="123" t="str">
        <ns0:v>首试通过率</ns0:v>
      </ns0:c>
      <ns0:c r="D37" s="123" t="str">
        <ns0:v>一盒辅助档的周转位A、B分别测试，取较低的首次尝试通关率，暂按≥90%；两盒辅助档暂按≥95%。无实测前不可写成已达标。</ns0:v>
      </ns0:c>
    </ns0:row>
    <ns0:row r="38" ht="36" customHeight="1">
      <ns0:c r="A38" s="117" t="str">
        <ns0:v>34</ns0:v>
      </ns0:c>
      <ns0:c r="B38" s="117" t="str">
        <ns0:v>重开边界</ns0:v>
      </ns0:c>
      <ns0:c r="C38" s="126" t="str">
        <ns0:v>广告仅本次尝试有效</ns0:v>
      </ns0:c>
      <ns0:c r="D38" s="126" t="str">
        <ns0:v>主动重开恢复两只锁定盒；退出后选择继续同一局则保留当前解锁和局面。广告播放前明确告知本次尝试有效。</ns0:v>
      </ns0:c>
    </ns0:row>
    <ns0:row r="39" ht="36" customHeight="1">
      <ns0:c r="A39" s="105" t="str">
        <ns0:v>35</ns0:v>
      </ns0:c>
      <ns0:c r="B39" s="105" t="str">
        <ns0:v>验证场景</ns0:v>
      </ns0:c>
      <ns0:c r="C39" s="123" t="str">
        <ns0:v>四种解锁条件</ns0:v>
      </ns0:c>
      <ns0:c r="D39" s="123" t="str">
        <ns0:v>双盒锁定、只开周转位A、只开周转位B、两盒都开分别求解；分别记录无广告、A、B、双盒最短搬运与玩家试玩数据。炸弹关同时验证倒计时。</ns0:v>
      </ns0:c>
    </ns0:row>
    <ns0:row r="40" ht="36" customHeight="1">
      <ns0:c r="A40" s="104" t="str">
        <ns0:v>36</ns0:v>
      </ns0:c>
      <ns0:c r="B40" s="104" t="str">
        <ns0:v>数据源</ns0:v>
      </ns0:c>
      <ns0:c r="C40" s="141" t="str">
        <ns0:v>装量配置R2</ns0:v>
      </ns0:c>
      <ns0:c r="D40" s="141" t="str">
        <ns0:v>每组记录盒型、数量、初始颗数及数字；R列计算数字扣数需求。组ID改为R2前缀，不可套用按旧组ID编写的48／49关调整补丁。</ns0:v>
      </ns0:c>
    </ns0:row>
    <ns0:row r="41" ht="36" customHeight="1">
      <ns0:c r="A41" s="104" t="str">
        <ns0:v>37</ns0:v>
      </ns0:c>
      <ns0:c r="B41" s="104" t="str">
        <ns0:v>初始状态</ns0:v>
      </ns0:c>
      <ns0:c r="C41" s="141" t="str">
        <ns0:v>开局限制</ns0:v>
      </ns0:c>
      <ns0:c r="D41" s="141" t="str">
        <ns0:v>数字盖/两类四格冰冻/炸弹/底部置顶均只装3或4颗；前四类以4颗为主。普通/数字冰冻单颗暂存、单向盒为0或1；固定颜色盒为0。</ns0:v>
      </ns0:c>
    </ns0:row>
    <ns0:row r="42" ht="36" customHeight="1">
      <ns0:c r="A42" s="104" t="str">
        <ns0:v>38</ns0:v>
      </ns0:c>
      <ns0:c r="B42" s="104" t="str">
        <ns0:v>装量指标</ns0:v>
      </ns0:c>
      <ns0:c r="C42" s="141" t="str">
        <ns0:v>AS列普通装料盒装满度</ns0:v>
      </ns0:c>
      <ns0:c r="D42" s="141" t="str">
        <ns0:v>普通非空四格盒的甜甜圈数÷其容量；不包含普通空盒、特殊盒和广告位。3/4颗只规定装量，不代表口味相同。</ns0:v>
      </ns0:c>
    </ns0:row>
    <ns0:row r="43" ht="36" customHeight="1">
      <ns0:c r="A43" s="104" t="str">
        <ns0:v>39</ns0:v>
      </ns0:c>
      <ns0:c r="B43" s="104" t="str">
        <ns0:v>层序目标</ns0:v>
      </ns0:c>
      <ns0:c r="C43" s="141" t="str">
        <ns0:v>AW相邻同味对占比</ns0:v>
      </ns0:c>
      <ns0:c r="D43" s="141" t="str">
        <ns0:v>逐盒统计相邻两层同味的对数÷全部相邻层对数，包含隐藏内容；0/1颗盒无相邻层。真实层序生成后校验，防止到处都是可整组顺接的同味段。</ns0:v>
      </ns0:c>
    </ns0:row>
    <ns0:row r="44" ht="36" customHeight="1">
      <ns0:c r="A44" s="104" t="str">
        <ns0:v>40</ns0:v>
      </ns0:c>
      <ns0:c r="B44" s="104" t="str">
        <ns0:v>规划目标</ns0:v>
      </ns0:c>
      <ns0:c r="C44" s="141" t="str">
        <ns0:v>AX首归纳搬运下限</ns0:v>
      </ns0:c>
      <ns0:c r="D44" s="141" t="str">
        <ns0:v>按无广告无道具真实层序检查到首次新归纳的最少有效搬运；成组算1次、无关动画不计。该指标仅反映开局，须结合BE中段腾位目标。</ns0:v>
      </ns0:c>
    </ns0:row>
    <ns0:row r="45" ht="36" customHeight="1">
      <ns0:c r="A45" s="104" t="str">
        <ns0:v>41</ns0:v>
      </ns0:c>
      <ns0:c r="B45" s="104" t="str">
        <ns0:v>开局目标</ns0:v>
      </ns0:c>
      <ns0:c r="C45" s="141" t="str">
        <ns0:v>AY一步归纳盒上限</ns0:v>
      </ns0:c>
      <ns0:c r="D45" s="141" t="str">
        <ns0:v>统计开局存在一次合法搬运即可首次归纳的不同目标盒数量。教学可有1只，其他按表；不得用隐藏信息假装没有这条路径。</ns0:v>
      </ns0:c>
    </ns0:row>
    <ns0:row r="46" ht="36" customHeight="1">
      <ns0:c r="A46" s="104" t="str">
        <ns0:v>42</ns0:v>
      </ns0:c>
      <ns0:c r="B46" s="104" t="str">
        <ns0:v>机制组合</ns0:v>
      </ns0:c>
      <ns0:c r="C46" s="141" t="str">
        <ns0:v>持续复用</ns0:v>
      </ns0:c>
      <ns0:c r="D46" s="141" t="str">
        <ns0:v>教学1种、综合2种、挑战最多3种已学盒型，各自作用于不同实体；隐藏层和广告锁定位不计特殊盒类型。单颗与固定色可能提供空间，不能仅按数量提难。</ns0:v>
      </ns0:c>
    </ns0:row>
    <ns0:row r="47" ht="36" customHeight="1">
      <ns0:c r="A47" s="104" t="str">
        <ns0:v>43</ns0:v>
      </ns0:c>
      <ns0:c r="B47" s="104" t="str">
        <ns0:v>机关验证</ns0:v>
      </ns0:c>
      <ns0:c r="C47" s="141" t="str">
        <ns0:v>解锁前材料与事件</ns0:v>
      </ns0:c>
      <ns0:c r="D47" s="141" t="str">
        <ns0:v>数字总需求及锁盒数只能粗筛；逐步验证归纳选中顺序、可操作材料和真实回收，盖内／冻结材料不能用于自身解锁前的路径。</ns0:v>
      </ns0:c>
    </ns0:row>
    <ns0:row r="48" ht="36" customHeight="1">
      <ns0:c r="A48" s="104" t="str">
        <ns0:v>44</ns0:v>
      </ns0:c>
      <ns0:c r="B48" s="104" t="str">
        <ns0:v>试配边界</ns0:v>
      </ns0:c>
      <ns0:c r="C48" s="141" t="str">
        <ns0:v>通关率和时长</ns0:v>
      </ns0:c>
      <ns0:c r="D48" s="141" t="str">
        <ns0:v>AD为无广告无道具首试通过率目标，AM为对应辅助档目标；不是实测。普通关中位完整时长≤6分钟，高点≤8分钟，超时优先调整负载或层序。</ns0:v>
      </ns0:c>
    </ns0:row>
    <ns0:row r="49" ht="36" customHeight="1">
      <ns0:c r="A49" s="104" t="str">
        <ns0:v>45</ns0:v>
      </ns0:c>
      <ns0:c r="B49" s="104" t="str">
        <ns0:v>配置完整性</ns0:v>
      </ns0:c>
      <ns0:c r="C49" s="141" t="str">
        <ns0:v>R2仍需制作局面</ns0:v>
      </ns0:c>
      <ns0:c r="D49" s="141" t="str">
        <ns0:v>本表未指定逐颗口味、隐藏位置、稳定盒位顺序、需求及备货精确序列；原100关代码不会随本表自动改变，不标为新关卡已完成。</ns0:v>
      </ns0:c>
    </ns0:row>
    <ns0:row r="50" ht="36" customHeight="1">
      <ns0:c r="A50" s="104" t="str">
        <ns0:v>46</ns0:v>
      </ns0:c>
      <ns0:c r="B50" s="104" t="str">
        <ns0:v>机制统计</ns0:v>
      </ns0:c>
      <ns0:c r="C50" s="141" t="str">
        <ns0:v>BA／BB／BC</ns0:v>
      </ns0:c>
      <ns0:c r="D50" s="141" t="str">
        <ns0:v>BA为开局特殊盒不同类型数，BB为盖盒及两类冰冻四格盒数，BC为数字机关剩余扣数总需求；均由装量配置计算，不含广告位或隐藏层。</ns0:v>
      </ns0:c>
    </ns0:row>
    <ns0:row r="51" ht="36" customHeight="1">
      <ns0:c r="A51" s="104" t="str">
        <ns0:v>47</ns0:v>
      </ns0:c>
      <ns0:c r="B51" s="104" t="str">
        <ns0:v>中段目标</ns0:v>
      </ns0:c>
      <ns0:c r="C51" s="141" t="str">
        <ns0:v>BE中段腾位检查目标</ns0:v>
      </ns0:c>
      <ns0:c r="D51" s="141" t="str">
        <ns0:v>在一条经过检查的无广告无道具解法及试玩中，回收进度30%—70%区间，统计归纳前不存在合法一步新归纳、须先腾位的独立归纳次数，按BE目标复核。自动连锁回收不计。</ns0:v>
      </ns0:c>
    </ns0:row>
    <ns0:row r="52" ht="36" customHeight="1">
      <ns0:c r="A52" s="104" t="str">
        <ns0:v>48</ns0:v>
      </ns0:c>
      <ns0:c r="B52" s="104" t="str">
        <ns0:v>中段口径</ns0:v>
      </ns0:c>
      <ns0:c r="C52" s="141" t="str">
        <ns0:v>避免伪造规划负担</ns0:v>
      </ns0:c>
      <ns0:c r="D52" s="141" t="str">
        <ns0:v>中段目标是调校检查，不能代表所有路径下限；不得绕远、空盒互换或拆装已归纳盒凑数。若可轻松一路顺接，重排中段层序与需求，不只增加开局搬运目标。</ns0:v>
      </ns0:c>
    </ns0:row>
    <ns0:row r="53" ht="36" customHeight="1">
      <ns0:c r="A53" s="104" t="str">
        <ns0:v>49</ns0:v>
      </ns0:c>
      <ns0:c r="B53" s="104" t="str">
        <ns0:v>教学核验</ns0:v>
      </ns0:c>
      <ns0:c r="C53" s="141" t="str">
        <ns0:v>实际内容触发</ns0:v>
      </ns0:c>
      <ns0:c r="D53" s="141" t="str">
        <ns0:v>第6关至少配置1颗下层隐藏甜甜圈。首次盒型与本行主机制、装量配置一致；教学前不能在备货或副机制中提前出现。</ns0:v>
      </ns0:c>
    </ns0:row>
    <ns0:row r="54" ht="36" customHeight="1">
      <ns0:c r="A54" s="104" t="str">
        <ns0:v>50</ns0:v>
      </ns0:c>
      <ns0:c r="B54" s="104" t="str">
        <ns0:v>空间筛查</ns0:v>
      </ns0:c>
      <ns0:c r="C54" s="141" t="str">
        <ns0:v>防止过紧互相冲突</ns0:v>
      </ns0:c>
      <ns0:c r="D54" s="141" t="str">
        <ns0:v>本轮未锁定的通用与同味接收余格合计至少4，仍逐类记录；不再使用原48／49关仅2格余量的配置。满足4格仍不等于必可解。</ns0:v>
      </ns0:c>
    </ns0:row>
    <ns0:row r="55" ht="36" customHeight="1">
      <ns0:c r="A55" s="104" t="str">
        <ns0:v>51</ns0:v>
      </ns0:c>
      <ns0:c r="B55" s="104" t="str">
        <ns0:v>导入边界</ns0:v>
      </ns0:c>
      <ns0:c r="C55" s="141" t="str">
        <ns0:v>原补丁与新配置</ns0:v>
      </ns0:c>
      <ns0:c r="D55" s="141" t="str">
        <ns0:v>48／49关已经重新编排，不可再叠加旧level_adjustments.json补丁；后续开发按新组ID制作并重验。未在本次改写该工程文件。</ns0:v>
      </ns0:c>
    </ns0:row>
    <ns0:row r="56" ht="36" customHeight="1">
      <ns0:c r="A56" s="104" t="str">
        <ns0:v>52</ns0:v>
      </ns0:c>
      <ns0:c r="B56" s="104" t="str">
        <ns0:v>试玩条件</ns0:v>
      </ns0:c>
      <ns0:c r="C56" s="141" t="str">
        <ns0:v>禁用默认免费道具</ns0:v>
      </ns0:c>
      <ns0:c r="D56" s="141" t="str">
        <ns0:v>基线验证禁用全部道具及两个广告周转位，不能使用Godot每关默认的加餐盒／置顶／撤回后算作无辅助成绩；辅助条件和实际使用时点另记。</ns0:v>
      </ns0:c>
    </ns0:row>
    <ns0:row r="57" ht="36" customHeight="1">
      <ns0:c r="A57" s="104" t="str">
        <ns0:v>53</ns0:v>
      </ns0:c>
      <ns0:c r="B57" s="104" t="str">
        <ns0:v>通过率目标</ns0:v>
      </ns0:c>
      <ns0:c r="C57" s="141" t="str">
        <ns0:v>同批试玩校准</ns0:v>
      </ns0:c>
      <ns0:c r="D57" s="141" t="str">
        <ns0:v>基础教学与回落仍易于理解，峰值保留起伏；无广告与一盒／两盒目标并存。真实数据未采集时保持空白，不将策划本人完整试玩当作样本通过率。</ns0:v>
      </ns0:c>
    </ns0:row>
  </ns0:sheetData>
  <ns0:mergeCells>
    <ns0:mergeCell ref="A2:D2"/>
    <ns0:mergeCell ref="A3:D3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3" ySplit="5" topLeftCell="D6" activePane="bottomRight" state="frozen"/>
    </ns0:sheetView>
  </ns0:sheetViews>
  <ns0:sheetFormatPr defaultRowHeight="15"/>
  <ns0:cols>
    <ns0:col min="1" max="1" width="6.880000114440918" hidden="0" customWidth="1"/>
    <ns0:col min="2" max="2" width="7.75" hidden="0" customWidth="1"/>
    <ns0:col min="3" max="3" width="13.5" hidden="0" customWidth="1"/>
    <ns0:col min="4" max="4" width="21" hidden="0" customWidth="1"/>
    <ns0:col min="5" max="5" width="6.5" hidden="0" customWidth="1"/>
    <ns0:col min="6" max="6" width="6.5" hidden="0" customWidth="1"/>
    <ns0:col min="7" max="7" width="12.5" hidden="0" customWidth="1"/>
    <ns0:col min="8" max="8" width="10.5" hidden="0" customWidth="1"/>
    <ns0:col min="9" max="9" width="10.75" hidden="0" customWidth="1"/>
    <ns0:col min="10" max="10" width="10.75" hidden="0" customWidth="1"/>
    <ns0:col min="11" max="11" width="10.75" hidden="0" customWidth="1"/>
    <ns0:col min="12" max="12" width="15" hidden="0" customWidth="1"/>
    <ns0:col min="13" max="13" width="14.5" hidden="0" customWidth="1"/>
    <ns0:col min="14" max="14" width="14.5" hidden="0" customWidth="1"/>
    <ns0:col min="15" max="15" width="12.5" hidden="0" customWidth="1"/>
    <ns0:col min="16" max="16" width="18.5" hidden="0" customWidth="1"/>
    <ns0:col min="17" max="17" width="17.75" hidden="0" customWidth="1"/>
    <ns0:col min="18" max="18" width="14" hidden="0" customWidth="1"/>
  </ns0:cols>
  <ns0:sheetData>
    <ns0:row r="2" ht="22.5" customHeight="1">
      <ns0:c r="A2" s="134" t="str">
        <ns0:v>前100关装量配置</ns0:v>
      </ns0:c>
      <ns0:c r="B2" s="104"/>
      <ns0:c r="C2" s="104"/>
      <ns0:c r="D2" s="104"/>
      <ns0:c r="E2" s="104"/>
      <ns0:c r="F2" s="104"/>
      <ns0:c r="G2" s="104"/>
      <ns0:c r="H2" s="104"/>
      <ns0:c r="I2" s="104"/>
      <ns0:c r="J2" s="104"/>
      <ns0:c r="K2" s="104"/>
      <ns0:c r="L2" s="104"/>
      <ns0:c r="M2" s="104"/>
      <ns0:c r="N2" s="104"/>
      <ns0:c r="O2" s="104"/>
      <ns0:c r="P2" s="104"/>
      <ns0:c r="Q2" s="104"/>
    </ns0:row>
    <ns0:row r="3">
      <ns0:c r="A3" s="135" t="str">
        <ns0:v>机制复用试配R2（2026-09-30）：逐组装量；新配置组ID避免误套旧48/49关补丁。逐颗层序和可解性仍待制作。</ns0:v>
      </ns0:c>
      <ns0:c r="B3" s="104"/>
      <ns0:c r="C3" s="104"/>
      <ns0:c r="D3" s="104"/>
      <ns0:c r="E3" s="104"/>
      <ns0:c r="F3" s="104"/>
      <ns0:c r="G3" s="104"/>
      <ns0:c r="H3" s="104"/>
      <ns0:c r="I3" s="104"/>
      <ns0:c r="J3" s="104"/>
      <ns0:c r="K3" s="104"/>
      <ns0:c r="L3" s="104"/>
      <ns0:c r="M3" s="104"/>
      <ns0:c r="N3" s="104"/>
      <ns0:c r="O3" s="104"/>
      <ns0:c r="P3" s="104"/>
      <ns0:c r="Q3" s="104"/>
    </ns0:row>
    <ns0:row r="4">
      <ns0:c r="A4" s="104"/>
      <ns0:c r="B4" s="104"/>
      <ns0:c r="C4" s="104"/>
      <ns0:c r="D4" s="104"/>
      <ns0:c r="E4" s="104"/>
      <ns0:c r="F4" s="104"/>
      <ns0:c r="G4" s="104"/>
      <ns0:c r="H4" s="104"/>
      <ns0:c r="I4" s="104"/>
      <ns0:c r="J4" s="104"/>
      <ns0:c r="K4" s="104"/>
      <ns0:c r="L4" s="104"/>
      <ns0:c r="M4" s="104"/>
      <ns0:c r="N4" s="104"/>
      <ns0:c r="O4" s="104"/>
      <ns0:c r="P4" s="104"/>
      <ns0:c r="Q4" s="104"/>
    </ns0:row>
    <ns0:row r="5" ht="31.5" customHeight="1">
      <ns0:c r="A5" s="96" t="str">
        <ns0:v>关卡</ns0:v>
      </ns0:c>
      <ns0:c r="B5" s="96" t="str">
        <ns0:v>入场</ns0:v>
      </ns0:c>
      <ns0:c r="C5" s="96" t="str">
        <ns0:v>配置组</ns0:v>
      </ns0:c>
      <ns0:c r="D5" s="96" t="str">
        <ns0:v>盒型</ns0:v>
      </ns0:c>
      <ns0:c r="E5" s="96" t="str">
        <ns0:v>盒数</ns0:v>
      </ns0:c>
      <ns0:c r="F5" s="96" t="str">
        <ns0:v>容量</ns0:v>
      </ns0:c>
      <ns0:c r="G5" s="96" t="str">
        <ns0:v>每盒初始颗数</ns0:v>
      </ns0:c>
      <ns0:c r="H5" s="96" t="str">
        <ns0:v>每盒数字</ns0:v>
      </ns0:c>
      <ns0:c r="I5" s="96" t="str">
        <ns0:v>甜甜圈数</ns0:v>
      </ns0:c>
      <ns0:c r="J5" s="96" t="str">
        <ns0:v>剩余容量</ns0:v>
      </ns0:c>
      <ns0:c r="K5" s="96" t="str">
        <ns0:v>通用空位</ns0:v>
      </ns0:c>
      <ns0:c r="L5" s="96" t="str">
        <ns0:v>可取放非空余格</ns0:v>
      </ns0:c>
      <ns0:c r="M5" s="96" t="str">
        <ns0:v>受限接收余格</ns0:v>
      </ns0:c>
      <ns0:c r="N5" s="96" t="str">
        <ns0:v>机关锁住余格</ns0:v>
      </ns0:c>
      <ns0:c r="O5" s="96" t="str">
        <ns0:v>装量校验</ns0:v>
      </ns0:c>
      <ns0:c r="P5" s="96" t="str">
        <ns0:v>配置用途</ns0:v>
      </ns0:c>
      <ns0:c r="Q5" s="96" t="str">
        <ns0:v>口味与层序</ns0:v>
      </ns0:c>
      <ns0:c r="R5" s="143" t="str">
        <ns0:v>数字扣数需求</ns0:v>
      </ns0:c>
    </ns0:row>
    <ns0:row r="6" ht="21" customHeight="1">
      <ns0:c r="A6" s="149" t="n">
        <ns0:v>1</ns0:v>
      </ns0:c>
      <ns0:c r="B6" s="145" t="str">
        <ns0:v>开局</ns0:v>
      </ns0:c>
      <ns0:c r="C6" s="145" t="str">
        <ns0:v>R2-001-01</ns0:v>
      </ns0:c>
      <ns0:c r="D6" s="145" t="str">
        <ns0:v>普通盒</ns0:v>
      </ns0:c>
      <ns0:c r="E6" s="152" t="n">
        <ns0:v>4</ns0:v>
      </ns0:c>
      <ns0:c r="F6" s="152" t="n">
        <ns0:v>4</ns0:v>
      </ns0:c>
      <ns0:c r="G6" s="152" t="n">
        <ns0:v>3</ns0:v>
      </ns0:c>
      <ns0:c r="H6" s="152" t="n">
        <ns0:v>0</ns0:v>
      </ns0:c>
      <ns0:c r="I6" s="149" t="n">
        <ns0:f>E6*G6</ns0:f>
        <ns0:v>12</ns0:v>
      </ns0:c>
      <ns0:c r="J6" s="149" t="n">
        <ns0:f>E6*(F6-G6)</ns0:f>
        <ns0:v>4</ns0:v>
      </ns0:c>
      <ns0:c r="K6" s="149" t="n">
        <ns0:f>IF(AND(B6="开局",G6=0,OR(D6="普通盒",D6="单颗暂存盒")),J6,0)</ns0:f>
        <ns0:v>0</ns0:v>
      </ns0:c>
      <ns0:c r="L6" s="149" t="n">
        <ns0:f>IF(AND(B6="开局",G6&gt;0,OR(D6="普通盒",D6="底部置顶盒",D6="炸弹盒")),J6,0)</ns0:f>
        <ns0:v>4</ns0:v>
      </ns0:c>
      <ns0:c r="M6" s="149" t="n">
        <ns0:f>IF(AND(B6="开局",OR(D6="固定颜色盒",D6="单向收纳盒")),J6,0)</ns0:f>
        <ns0:v>0</ns0:v>
      </ns0:c>
      <ns0:c r="N6" s="149" t="n">
        <ns0:f>IF(AND(B6="开局",OR(D6="数字盖盒",D6="普通冰冻盒",D6="数字冰冻盒",D6="数字冰冻单颗暂存盒")),J6,0)</ns0:f>
        <ns0:v>0</ns0:v>
      </ns0:c>
      <ns0:c r="O6" s="145" t="str">
        <ns0:f>IF(AND(E6&gt;0,E6=INT(E6),G6&gt;=0,G6&lt;=F6,G6=INT(G6),OR(AND(F6=1,OR(D6="单颗暂存盒",D6="数字冰冻单颗暂存盒")),AND(F6=4,NOT(OR(D6="单颗暂存盒",D6="数字冰冻单颗暂存盒")))),IF(OR(D6="数字盖盒",D6="数字冰冻盒",D6="数字冰冻单颗暂存盒"),AND(H6&gt;=1,H6=INT(H6)),H6=0),IF(B6="开局",AND(IF(OR(D6="数字盖盒",D6="普通冰冻盒",D6="数字冰冻盒",D6="炸弹盒",D6="底部置顶盒"),OR(G6=3,G6=4),TRUE),IF(OR(D6="单向收纳盒",D6="单颗暂存盒",D6="数字冰冻单颗暂存盒"),OR(G6=0,G6=1),TRUE),IF(OR(D6="固定颜色盒",D6="广告锁定周转盒"),G6=0,TRUE)),TRUE)),"通过","需调整")</ns0:f>
        <ns0:v>通过</ns0:v>
      </ns0:c>
      <ns0:c r="P6" s="145" t="str">
        <ns0:v>基础装料</ns0:v>
      </ns0:c>
      <ns0:c r="Q6" s="145" t="str">
        <ns0:v>待逐味及层序配置</ns0:v>
      </ns0:c>
      <ns0:c r="R6" s="149" t="n">
        <ns0:f>E6*H6</ns0:f>
        <ns0:v>0</ns0:v>
      </ns0:c>
    </ns0:row>
    <ns0:row r="7" ht="21" customHeight="1">
      <ns0:c r="A7" s="150" t="n">
        <ns0:v>1</ns0:v>
      </ns0:c>
      <ns0:c r="B7" s="147" t="str">
        <ns0:v>开局</ns0:v>
      </ns0:c>
      <ns0:c r="C7" s="147" t="str">
        <ns0:v>R2-001-02</ns0:v>
      </ns0:c>
      <ns0:c r="D7" s="147" t="str">
        <ns0:v>普通盒</ns0:v>
      </ns0:c>
      <ns0:c r="E7" s="152" t="n">
        <ns0:v>2</ns0:v>
      </ns0:c>
      <ns0:c r="F7" s="152" t="n">
        <ns0:v>4</ns0:v>
      </ns0:c>
      <ns0:c r="G7" s="152" t="n">
        <ns0:v>0</ns0:v>
      </ns0:c>
      <ns0:c r="H7" s="152" t="n">
        <ns0:v>0</ns0:v>
      </ns0:c>
      <ns0:c r="I7" s="150" t="n">
        <ns0:f>E7*G7</ns0:f>
        <ns0:v>0</ns0:v>
      </ns0:c>
      <ns0:c r="J7" s="150" t="n">
        <ns0:f>E7*(F7-G7)</ns0:f>
        <ns0:v>8</ns0:v>
      </ns0:c>
      <ns0:c r="K7" s="150" t="n">
        <ns0:f>IF(AND(B7="开局",G7=0,OR(D7="普通盒",D7="单颗暂存盒")),J7,0)</ns0:f>
        <ns0:v>8</ns0:v>
      </ns0:c>
      <ns0:c r="L7" s="150" t="n">
        <ns0:f>IF(AND(B7="开局",G7&gt;0,OR(D7="普通盒",D7="底部置顶盒",D7="炸弹盒")),J7,0)</ns0:f>
        <ns0:v>0</ns0:v>
      </ns0:c>
      <ns0:c r="M7" s="150" t="n">
        <ns0:f>IF(AND(B7="开局",OR(D7="固定颜色盒",D7="单向收纳盒")),J7,0)</ns0:f>
        <ns0:v>0</ns0:v>
      </ns0:c>
      <ns0:c r="N7" s="150" t="n">
        <ns0:f>IF(AND(B7="开局",OR(D7="数字盖盒",D7="普通冰冻盒",D7="数字冰冻盒",D7="数字冰冻单颗暂存盒")),J7,0)</ns0:f>
        <ns0:v>0</ns0:v>
      </ns0:c>
      <ns0:c r="O7" s="147" t="str">
        <ns0:f>IF(AND(E7&gt;0,E7=INT(E7),G7&gt;=0,G7&lt;=F7,G7=INT(G7),OR(AND(F7=1,OR(D7="单颗暂存盒",D7="数字冰冻单颗暂存盒")),AND(F7=4,NOT(OR(D7="单颗暂存盒",D7="数字冰冻单颗暂存盒")))),IF(OR(D7="数字盖盒",D7="数字冰冻盒",D7="数字冰冻单颗暂存盒"),AND(H7&gt;=1,H7=INT(H7)),H7=0),IF(B7="开局",AND(IF(OR(D7="数字盖盒",D7="普通冰冻盒",D7="数字冰冻盒",D7="炸弹盒",D7="底部置顶盒"),OR(G7=3,G7=4),TRUE),IF(OR(D7="单向收纳盒",D7="单颗暂存盒",D7="数字冰冻单颗暂存盒"),OR(G7=0,G7=1),TRUE),IF(OR(D7="固定颜色盒",D7="广告锁定周转盒"),G7=0,TRUE)),TRUE)),"通过","需调整")</ns0:f>
        <ns0:v>通过</ns0:v>
      </ns0:c>
      <ns0:c r="P7" s="147" t="str">
        <ns0:v>通用周转</ns0:v>
      </ns0:c>
      <ns0:c r="Q7" s="147" t="str">
        <ns0:v>待逐味及层序配置</ns0:v>
      </ns0:c>
      <ns0:c r="R7" s="150" t="n">
        <ns0:f>E7*H7</ns0:f>
        <ns0:v>0</ns0:v>
      </ns0:c>
    </ns0:row>
    <ns0:row r="8" ht="21" customHeight="1">
      <ns0:c r="A8" s="149" t="n">
        <ns0:v>1</ns0:v>
      </ns0:c>
      <ns0:c r="B8" s="145" t="str">
        <ns0:v>开局</ns0:v>
      </ns0:c>
      <ns0:c r="C8" s="145" t="str">
        <ns0:v>R2-001-03</ns0:v>
      </ns0:c>
      <ns0:c r="D8" s="145" t="str">
        <ns0:v>广告锁定周转盒</ns0:v>
      </ns0:c>
      <ns0:c r="E8" s="152" t="n">
        <ns0:v>2</ns0:v>
      </ns0:c>
      <ns0:c r="F8" s="152" t="n">
        <ns0:v>4</ns0:v>
      </ns0:c>
      <ns0:c r="G8" s="152" t="n">
        <ns0:v>0</ns0:v>
      </ns0:c>
      <ns0:c r="H8" s="152" t="n">
        <ns0:v>0</ns0:v>
      </ns0:c>
      <ns0:c r="I8" s="149" t="n">
        <ns0:f>E8*G8</ns0:f>
        <ns0:v>0</ns0:v>
      </ns0:c>
      <ns0:c r="J8" s="149" t="n">
        <ns0:f>E8*(F8-G8)</ns0:f>
        <ns0:v>8</ns0:v>
      </ns0:c>
      <ns0:c r="K8" s="149" t="n">
        <ns0:f>IF(AND(B8="开局",G8=0,OR(D8="普通盒",D8="单颗暂存盒")),J8,0)</ns0:f>
        <ns0:v>0</ns0:v>
      </ns0:c>
      <ns0:c r="L8" s="149" t="n">
        <ns0:f>IF(AND(B8="开局",G8&gt;0,OR(D8="普通盒",D8="底部置顶盒",D8="炸弹盒")),J8,0)</ns0:f>
        <ns0:v>0</ns0:v>
      </ns0:c>
      <ns0:c r="M8" s="149" t="n">
        <ns0:f>IF(AND(B8="开局",OR(D8="固定颜色盒",D8="单向收纳盒")),J8,0)</ns0:f>
        <ns0:v>0</ns0:v>
      </ns0:c>
      <ns0:c r="N8" s="149" t="n">
        <ns0:f>IF(AND(B8="开局",OR(D8="数字盖盒",D8="普通冰冻盒",D8="数字冰冻盒",D8="数字冰冻单颗暂存盒")),J8,0)</ns0:f>
        <ns0:v>0</ns0:v>
      </ns0:c>
      <ns0:c r="O8" s="145" t="str">
        <ns0:f>IF(AND(E8&gt;0,E8=INT(E8),G8&gt;=0,G8&lt;=F8,G8=INT(G8),OR(AND(F8=1,OR(D8="单颗暂存盒",D8="数字冰冻单颗暂存盒")),AND(F8=4,NOT(OR(D8="单颗暂存盒",D8="数字冰冻单颗暂存盒")))),IF(OR(D8="数字盖盒",D8="数字冰冻盒",D8="数字冰冻单颗暂存盒"),AND(H8&gt;=1,H8=INT(H8)),H8=0),IF(B8="开局",AND(IF(OR(D8="数字盖盒",D8="普通冰冻盒",D8="数字冰冻盒",D8="炸弹盒",D8="底部置顶盒"),OR(G8=3,G8=4),TRUE),IF(OR(D8="单向收纳盒",D8="单颗暂存盒",D8="数字冰冻单颗暂存盒"),OR(G8=0,G8=1),TRUE),IF(OR(D8="固定颜色盒",D8="广告锁定周转盒"),G8=0,TRUE)),TRUE)),"通过","需调整")</ns0:f>
        <ns0:v>通过</ns0:v>
      </ns0:c>
      <ns0:c r="P8" s="145" t="str">
        <ns0:v>可选广告周转</ns0:v>
      </ns0:c>
      <ns0:c r="Q8" s="145" t="str">
        <ns0:v>待逐味及层序配置</ns0:v>
      </ns0:c>
      <ns0:c r="R8" s="149" t="n">
        <ns0:f>E8*H8</ns0:f>
        <ns0:v>0</ns0:v>
      </ns0:c>
    </ns0:row>
    <ns0:row r="9" ht="21" customHeight="1">
      <ns0:c r="A9" s="150" t="n">
        <ns0:v>2</ns0:v>
      </ns0:c>
      <ns0:c r="B9" s="147" t="str">
        <ns0:v>开局</ns0:v>
      </ns0:c>
      <ns0:c r="C9" s="147" t="str">
        <ns0:v>R2-002-01</ns0:v>
      </ns0:c>
      <ns0:c r="D9" s="147" t="str">
        <ns0:v>普通盒</ns0:v>
      </ns0:c>
      <ns0:c r="E9" s="152" t="n">
        <ns0:v>7</ns0:v>
      </ns0:c>
      <ns0:c r="F9" s="152" t="n">
        <ns0:v>4</ns0:v>
      </ns0:c>
      <ns0:c r="G9" s="152" t="n">
        <ns0:v>4</ns0:v>
      </ns0:c>
      <ns0:c r="H9" s="152" t="n">
        <ns0:v>0</ns0:v>
      </ns0:c>
      <ns0:c r="I9" s="150" t="n">
        <ns0:f>E9*G9</ns0:f>
        <ns0:v>12</ns0:v>
      </ns0:c>
      <ns0:c r="J9" s="150" t="n">
        <ns0:f>E9*(F9-G9)</ns0:f>
        <ns0:v>0</ns0:v>
      </ns0:c>
      <ns0:c r="K9" s="150" t="n">
        <ns0:f>IF(AND(B9="开局",G9=0,OR(D9="普通盒",D9="单颗暂存盒")),J9,0)</ns0:f>
        <ns0:v>0</ns0:v>
      </ns0:c>
      <ns0:c r="L9" s="150" t="n">
        <ns0:f>IF(AND(B9="开局",G9&gt;0,OR(D9="普通盒",D9="底部置顶盒",D9="炸弹盒")),J9,0)</ns0:f>
        <ns0:v>0</ns0:v>
      </ns0:c>
      <ns0:c r="M9" s="150" t="n">
        <ns0:f>IF(AND(B9="开局",OR(D9="固定颜色盒",D9="单向收纳盒")),J9,0)</ns0:f>
        <ns0:v>0</ns0:v>
      </ns0:c>
      <ns0:c r="N9" s="150" t="n">
        <ns0:f>IF(AND(B9="开局",OR(D9="数字盖盒",D9="普通冰冻盒",D9="数字冰冻盒",D9="数字冰冻单颗暂存盒")),J9,0)</ns0:f>
        <ns0:v>0</ns0:v>
      </ns0:c>
      <ns0:c r="O9" s="147" t="str">
        <ns0:f>IF(AND(E9&gt;0,E9=INT(E9),G9&gt;=0,G9&lt;=F9,G9=INT(G9),OR(AND(F9=1,OR(D9="单颗暂存盒",D9="数字冰冻单颗暂存盒")),AND(F9=4,NOT(OR(D9="单颗暂存盒",D9="数字冰冻单颗暂存盒")))),IF(OR(D9="数字盖盒",D9="数字冰冻盒",D9="数字冰冻单颗暂存盒"),AND(H9&gt;=1,H9=INT(H9)),H9=0),IF(B9="开局",AND(IF(OR(D9="数字盖盒",D9="普通冰冻盒",D9="数字冰冻盒",D9="炸弹盒",D9="底部置顶盒"),OR(G9=3,G9=4),TRUE),IF(OR(D9="单向收纳盒",D9="单颗暂存盒",D9="数字冰冻单颗暂存盒"),OR(G9=0,G9=1),TRUE),IF(OR(D9="固定颜色盒",D9="广告锁定周转盒"),G9=0,TRUE)),TRUE)),"通过","需调整")</ns0:f>
        <ns0:v>通过</ns0:v>
      </ns0:c>
      <ns0:c r="P9" s="147" t="str">
        <ns0:v>参考图七只普通满盒；层序和订单由右侧 JSON 固定</ns0:v>
      </ns0:c>
      <ns0:c r="Q9" s="147" t="str">
        <ns0:v>层序JSON:{"slots":[{"group_id":"R2-002-01","layers":[6,4,1,4]},{"group_id":"R2-002-01","layers":[3,4,6,4]},{"group_id":"R2-002-01","layers":[5,3,2,4]},{"group_id":"R2-002-04","layers":[4,3]},{"group_id":"R2-002-04","layers":[0,5]},{"group_id":"R2-002-01","layers":[4,3,2,6]},{"group_id":"R2-002-05","layers":[0,0,4,3]},{"group_id":"R2-002-01","layers":[2,5,0,1]},{"group_id":"R2-002-01","layers":[1,2,3,3]},{"group_id":"R2-002-02","layers":[]},{"group_id":"R2-002-02","layers":[]},{"group_id":"R2-002-01","layers":[6,5,1,3]}],"demand_sequences":[[4,6,5,4,3],[3,1,2,0]],"reference":"Archive/ReferenceImage/planning/level_02_screw_reference.png"}</ns0:v>
      </ns0:c>
      <ns0:c r="R9" s="150" t="n">
        <ns0:f>E9*H9</ns0:f>
        <ns0:v>0</ns0:v>
      </ns0:c>
    </ns0:row>
    <ns0:row r="10" ht="21" customHeight="1">
      <ns0:c r="A10" s="149" t="n">
        <ns0:v>2</ns0:v>
      </ns0:c>
      <ns0:c r="B10" s="145" t="str">
        <ns0:v>开局</ns0:v>
      </ns0:c>
      <ns0:c r="C10" s="145" t="str">
        <ns0:v>R2-002-02</ns0:v>
      </ns0:c>
      <ns0:c r="D10" s="145" t="str">
        <ns0:v>普通盒</ns0:v>
      </ns0:c>
      <ns0:c r="E10" s="152" t="n">
        <ns0:v>2</ns0:v>
      </ns0:c>
      <ns0:c r="F10" s="152" t="n">
        <ns0:v>4</ns0:v>
      </ns0:c>
      <ns0:c r="G10" s="152" t="n">
        <ns0:v>0</ns0:v>
      </ns0:c>
      <ns0:c r="H10" s="152" t="n">
        <ns0:v>0</ns0:v>
      </ns0:c>
      <ns0:c r="I10" s="149" t="n">
        <ns0:f>E10*G10</ns0:f>
        <ns0:v>0</ns0:v>
      </ns0:c>
      <ns0:c r="J10" s="149" t="n">
        <ns0:f>E10*(F10-G10)</ns0:f>
        <ns0:v>4</ns0:v>
      </ns0:c>
      <ns0:c r="K10" s="149" t="n">
        <ns0:f>IF(AND(B10="开局",G10=0,OR(D10="普通盒",D10="单颗暂存盒")),J10,0)</ns0:f>
        <ns0:v>4</ns0:v>
      </ns0:c>
      <ns0:c r="L10" s="149" t="n">
        <ns0:f>IF(AND(B10="开局",G10&gt;0,OR(D10="普通盒",D10="底部置顶盒",D10="炸弹盒")),J10,0)</ns0:f>
        <ns0:v>0</ns0:v>
      </ns0:c>
      <ns0:c r="M10" s="149" t="n">
        <ns0:f>IF(AND(B10="开局",OR(D10="固定颜色盒",D10="单向收纳盒")),J10,0)</ns0:f>
        <ns0:v>0</ns0:v>
      </ns0:c>
      <ns0:c r="N10" s="149" t="n">
        <ns0:f>IF(AND(B10="开局",OR(D10="数字盖盒",D10="普通冰冻盒",D10="数字冰冻盒",D10="数字冰冻单颗暂存盒")),J10,0)</ns0:f>
        <ns0:v>0</ns0:v>
      </ns0:c>
      <ns0:c r="O10" s="145" t="str">
        <ns0:f>IF(AND(E10&gt;0,E10=INT(E10),G10&gt;=0,G10&lt;=F10,G10=INT(G10),OR(AND(F10=1,OR(D10="单颗暂存盒",D10="数字冰冻单颗暂存盒")),AND(F10=4,NOT(OR(D10="单颗暂存盒",D10="数字冰冻单颗暂存盒")))),IF(OR(D10="数字盖盒",D10="数字冰冻盒",D10="数字冰冻单颗暂存盒"),AND(H10&gt;=1,H10=INT(H10)),H10=0),IF(B10="开局",AND(IF(OR(D10="数字盖盒",D10="普通冰冻盒",D10="数字冰冻盒",D10="炸弹盒",D10="底部置顶盒"),OR(G10=3,G10=4),TRUE),IF(OR(D10="单向收纳盒",D10="单颗暂存盒",D10="数字冰冻单颗暂存盒"),OR(G10=0,G10=1),TRUE),IF(OR(D10="固定颜色盒",D10="广告锁定周转盒"),G10=0,TRUE)),TRUE)),"通过","需调整")</ns0:f>
        <ns0:v>通过</ns0:v>
      </ns0:c>
      <ns0:c r="P10" s="145" t="str">
        <ns0:v>通用周转</ns0:v>
      </ns0:c>
      <ns0:c r="Q10" s="145" t="str">
        <ns0:v>待逐味及层序配置</ns0:v>
      </ns0:c>
      <ns0:c r="R10" s="149" t="n">
        <ns0:f>E10*H10</ns0:f>
        <ns0:v>0</ns0:v>
      </ns0:c>
    </ns0:row>
    <ns0:row r="11" ht="21" customHeight="1">
      <ns0:c r="A11" s="150" t="n">
        <ns0:v>2</ns0:v>
      </ns0:c>
      <ns0:c r="B11" s="147" t="str">
        <ns0:v>开局</ns0:v>
      </ns0:c>
      <ns0:c r="C11" s="147" t="str">
        <ns0:v>R2-002-03</ns0:v>
      </ns0:c>
      <ns0:c r="D11" s="147" t="str">
        <ns0:v>广告锁定周转盒</ns0:v>
      </ns0:c>
      <ns0:c r="E11" s="152" t="n">
        <ns0:v>2</ns0:v>
      </ns0:c>
      <ns0:c r="F11" s="152" t="n">
        <ns0:v>4</ns0:v>
      </ns0:c>
      <ns0:c r="G11" s="152" t="n">
        <ns0:v>0</ns0:v>
      </ns0:c>
      <ns0:c r="H11" s="152" t="n">
        <ns0:v>0</ns0:v>
      </ns0:c>
      <ns0:c r="I11" s="150" t="n">
        <ns0:f>E11*G11</ns0:f>
        <ns0:v>0</ns0:v>
      </ns0:c>
      <ns0:c r="J11" s="150" t="n">
        <ns0:f>E11*(F11-G11)</ns0:f>
        <ns0:v>8</ns0:v>
      </ns0:c>
      <ns0:c r="K11" s="150" t="n">
        <ns0:f>IF(AND(B11="开局",G11=0,OR(D11="普通盒",D11="单颗暂存盒")),J11,0)</ns0:f>
        <ns0:v>0</ns0:v>
      </ns0:c>
      <ns0:c r="L11" s="150" t="n">
        <ns0:f>IF(AND(B11="开局",G11&gt;0,OR(D11="普通盒",D11="底部置顶盒",D11="炸弹盒")),J11,0)</ns0:f>
        <ns0:v>0</ns0:v>
      </ns0:c>
      <ns0:c r="M11" s="150" t="n">
        <ns0:f>IF(AND(B11="开局",OR(D11="固定颜色盒",D11="单向收纳盒")),J11,0)</ns0:f>
        <ns0:v>0</ns0:v>
      </ns0:c>
      <ns0:c r="N11" s="150" t="n">
        <ns0:f>IF(AND(B11="开局",OR(D11="数字盖盒",D11="普通冰冻盒",D11="数字冰冻盒",D11="数字冰冻单颗暂存盒")),J11,0)</ns0:f>
        <ns0:v>0</ns0:v>
      </ns0:c>
      <ns0:c r="O11" s="147" t="str">
        <ns0:f>IF(AND(E11&gt;0,E11=INT(E11),G11&gt;=0,G11&lt;=F11,G11=INT(G11),OR(AND(F11=1,OR(D11="单颗暂存盒",D11="数字冰冻单颗暂存盒")),AND(F11=4,NOT(OR(D11="单颗暂存盒",D11="数字冰冻单颗暂存盒")))),IF(OR(D11="数字盖盒",D11="数字冰冻盒",D11="数字冰冻单颗暂存盒"),AND(H11&gt;=1,H11=INT(H11)),H11=0),IF(B11="开局",AND(IF(OR(D11="数字盖盒",D11="普通冰冻盒",D11="数字冰冻盒",D11="炸弹盒",D11="底部置顶盒"),OR(G11=3,G11=4),TRUE),IF(OR(D11="单向收纳盒",D11="单颗暂存盒",D11="数字冰冻单颗暂存盒"),OR(G11=0,G11=1),TRUE),IF(OR(D11="固定颜色盒",D11="广告锁定周转盒"),G11=0,TRUE)),TRUE)),"通过","需调整")</ns0:f>
        <ns0:v>通过</ns0:v>
      </ns0:c>
      <ns0:c r="P11" s="147" t="str">
        <ns0:v>可选广告周转</ns0:v>
      </ns0:c>
      <ns0:c r="Q11" s="147" t="str">
        <ns0:v>待逐味及层序配置</ns0:v>
      </ns0:c>
      <ns0:c r="R11" s="150" t="n">
        <ns0:f>E11*H11</ns0:f>
        <ns0:v>0</ns0:v>
      </ns0:c>
    </ns0:row>
    <ns0:row r="12" ht="21" customHeight="1">
      <ns0:c r="A12" s="149" t="n">
        <ns0:v>3</ns0:v>
      </ns0:c>
      <ns0:c r="B12" s="145" t="str">
        <ns0:v>开局</ns0:v>
      </ns0:c>
      <ns0:c r="C12" s="145" t="str">
        <ns0:v>R2-003-01</ns0:v>
      </ns0:c>
      <ns0:c r="D12" s="145" t="str">
        <ns0:v>普通盒</ns0:v>
      </ns0:c>
      <ns0:c r="E12" s="152" t="n">
        <ns0:v>14</ns0:v>
      </ns0:c>
      <ns0:c r="F12" s="152" t="n">
        <ns0:v>4</ns0:v>
      </ns0:c>
      <ns0:c r="G12" s="152" t="n">
        <ns0:v>4</ns0:v>
      </ns0:c>
      <ns0:c r="H12" s="152" t="n">
        <ns0:v>0</ns0:v>
      </ns0:c>
      <ns0:c r="I12" s="149" t="n">
        <ns0:f>E12*G12</ns0:f>
        <ns0:v>16</ns0:v>
      </ns0:c>
      <ns0:c r="J12" s="149" t="n">
        <ns0:f>E12*(F12-G12)</ns0:f>
        <ns0:v>0</ns0:v>
      </ns0:c>
      <ns0:c r="K12" s="149" t="n">
        <ns0:f>IF(AND(B12="开局",G12=0,OR(D12="普通盒",D12="单颗暂存盒")),J12,0)</ns0:f>
        <ns0:v>0</ns0:v>
      </ns0:c>
      <ns0:c r="L12" s="149" t="n">
        <ns0:f>IF(AND(B12="开局",G12&gt;0,OR(D12="普通盒",D12="底部置顶盒",D12="炸弹盒")),J12,0)</ns0:f>
        <ns0:v>0</ns0:v>
      </ns0:c>
      <ns0:c r="M12" s="149" t="n">
        <ns0:f>IF(AND(B12="开局",OR(D12="固定颜色盒",D12="单向收纳盒")),J12,0)</ns0:f>
        <ns0:v>0</ns0:v>
      </ns0:c>
      <ns0:c r="N12" s="149" t="n">
        <ns0:f>IF(AND(B12="开局",OR(D12="数字盖盒",D12="普通冰冻盒",D12="数字冰冻盒",D12="数字冰冻单颗暂存盒")),J12,0)</ns0:f>
        <ns0:v>0</ns0:v>
      </ns0:c>
      <ns0:c r="O12" s="145" t="str">
        <ns0:f>IF(AND(E12&gt;0,E12=INT(E12),G12&gt;=0,G12&lt;=F12,G12=INT(G12),OR(AND(F12=1,OR(D12="单颗暂存盒",D12="数字冰冻单颗暂存盒")),AND(F12=4,NOT(OR(D12="单颗暂存盒",D12="数字冰冻单颗暂存盒")))),IF(OR(D12="数字盖盒",D12="数字冰冻盒",D12="数字冰冻单颗暂存盒"),AND(H12&gt;=1,H12=INT(H12)),H12=0),IF(B12="开局",AND(IF(OR(D12="数字盖盒",D12="普通冰冻盒",D12="数字冰冻盒",D12="炸弹盒",D12="底部置顶盒"),OR(G12=3,G12=4),TRUE),IF(OR(D12="单向收纳盒",D12="单颗暂存盒",D12="数字冰冻单颗暂存盒"),OR(G12=0,G12=1),TRUE),IF(OR(D12="固定颜色盒",D12="广告锁定周转盒"),G12=0,TRUE)),TRUE)),"通过","需调整")</ns0:f>
        <ns0:v>通过</ns0:v>
      </ns0:c>
      <ns0:c r="P12" s="145" t="str">
        <ns0:v>第三关参考图十四只普通满盒；固定层序与订单见右侧</ns0:v>
      </ns0:c>
      <ns0:c r="Q12" s="145" t="str">
        <ns0:v>层序JSON:{"slots":[{"group_id":"R2-003-05","layers":[0,5,0,3]},{"group_id":"R2-003-01","layers":[3,3,2,4]},{"group_id":"R2-003-01","layers":[5,6,0,3]},{"group_id":"R2-003-01","layers":[6,2,0,2]},{"group_id":"R2-003-01","layers":[5,3,1,5]},{"group_id":"R2-003-01","layers":[3,1,2,6]},{"group_id":"R2-003-05","layers":[4,3,3,2]},{"group_id":"R2-003-01","layers":[0,4,0,0]},{"group_id":"R2-003-04","layers":[3,1]},{"group_id":"R2-003-02","layers":[]},{"group_id":"R2-003-04","layers":[2,3]},{"group_id":"R2-003-01","layers":[1,4,2,1]},{"group_id":"R2-003-01","layers":[0,3,2,0]},{"group_id":"R2-003-01","layers":[4,5,1,2]},{"group_id":"R2-003-01","layers":[6,0,5,6]},{"group_id":"R2-003-01","layers":[3,4,0,5]},{"group_id":"R2-003-01","layers":[5,2,4,6]},{"group_id":"R2-003-01","layers":[6,2,4,2]},{"group_id":"R2-003-01","layers":[0,1,6,1]}],"demand_sequences":[[3,0,6,3,4,2,5,1,2],[2,4,5,1,0,6,3,0]],"reference":"Archive/ReferenceImage/planning/level_03_screw_reference.png"}</ns0:v>
      </ns0:c>
      <ns0:c r="R12" s="149" t="n">
        <ns0:f>E12*H12</ns0:f>
        <ns0:v>0</ns0:v>
      </ns0:c>
    </ns0:row>
    <ns0:row r="13" ht="21" customHeight="1">
      <ns0:c r="A13" s="150" t="n">
        <ns0:v>3</ns0:v>
      </ns0:c>
      <ns0:c r="B13" s="147" t="str">
        <ns0:v>开局</ns0:v>
      </ns0:c>
      <ns0:c r="C13" s="147" t="str">
        <ns0:v>R2-003-02</ns0:v>
      </ns0:c>
      <ns0:c r="D13" s="147" t="str">
        <ns0:v>普通盒</ns0:v>
      </ns0:c>
      <ns0:c r="E13" s="152" t="n">
        <ns0:v>1</ns0:v>
      </ns0:c>
      <ns0:c r="F13" s="152" t="n">
        <ns0:v>4</ns0:v>
      </ns0:c>
      <ns0:c r="G13" s="152" t="n">
        <ns0:v>0</ns0:v>
      </ns0:c>
      <ns0:c r="H13" s="152" t="n">
        <ns0:v>0</ns0:v>
      </ns0:c>
      <ns0:c r="I13" s="150" t="n">
        <ns0:f>E13*G13</ns0:f>
        <ns0:v>0</ns0:v>
      </ns0:c>
      <ns0:c r="J13" s="150" t="n">
        <ns0:f>E13*(F13-G13)</ns0:f>
        <ns0:v>4</ns0:v>
      </ns0:c>
      <ns0:c r="K13" s="150" t="n">
        <ns0:f>IF(AND(B13="开局",G13=0,OR(D13="普通盒",D13="单颗暂存盒")),J13,0)</ns0:f>
        <ns0:v>4</ns0:v>
      </ns0:c>
      <ns0:c r="L13" s="150" t="n">
        <ns0:f>IF(AND(B13="开局",G13&gt;0,OR(D13="普通盒",D13="底部置顶盒",D13="炸弹盒")),J13,0)</ns0:f>
        <ns0:v>0</ns0:v>
      </ns0:c>
      <ns0:c r="M13" s="150" t="n">
        <ns0:f>IF(AND(B13="开局",OR(D13="固定颜色盒",D13="单向收纳盒")),J13,0)</ns0:f>
        <ns0:v>0</ns0:v>
      </ns0:c>
      <ns0:c r="N13" s="150" t="n">
        <ns0:f>IF(AND(B13="开局",OR(D13="数字盖盒",D13="普通冰冻盒",D13="数字冰冻盒",D13="数字冰冻单颗暂存盒")),J13,0)</ns0:f>
        <ns0:v>0</ns0:v>
      </ns0:c>
      <ns0:c r="O13" s="147" t="str">
        <ns0:f>IF(AND(E13&gt;0,E13=INT(E13),G13&gt;=0,G13&lt;=F13,G13=INT(G13),OR(AND(F13=1,OR(D13="单颗暂存盒",D13="数字冰冻单颗暂存盒")),AND(F13=4,NOT(OR(D13="单颗暂存盒",D13="数字冰冻单颗暂存盒")))),IF(OR(D13="数字盖盒",D13="数字冰冻盒",D13="数字冰冻单颗暂存盒"),AND(H13&gt;=1,H13=INT(H13)),H13=0),IF(B13="开局",AND(IF(OR(D13="数字盖盒",D13="普通冰冻盒",D13="数字冰冻盒",D13="炸弹盒",D13="底部置顶盒"),OR(G13=3,G13=4),TRUE),IF(OR(D13="单向收纳盒",D13="单颗暂存盒",D13="数字冰冻单颗暂存盒"),OR(G13=0,G13=1),TRUE),IF(OR(D13="固定颜色盒",D13="广告锁定周转盒"),G13=0,TRUE)),TRUE)),"通过","需调整")</ns0:f>
        <ns0:v>通过</ns0:v>
      </ns0:c>
      <ns0:c r="P13" s="147" t="str">
        <ns0:v>通用周转</ns0:v>
      </ns0:c>
      <ns0:c r="Q13" s="147" t="str">
        <ns0:v>待逐味及层序配置</ns0:v>
      </ns0:c>
      <ns0:c r="R13" s="150" t="n">
        <ns0:f>E13*H13</ns0:f>
        <ns0:v>0</ns0:v>
      </ns0:c>
    </ns0:row>
    <ns0:row r="14" ht="21" customHeight="1">
      <ns0:c r="A14" s="149" t="n">
        <ns0:v>3</ns0:v>
      </ns0:c>
      <ns0:c r="B14" s="145" t="str">
        <ns0:v>开局</ns0:v>
      </ns0:c>
      <ns0:c r="C14" s="145" t="str">
        <ns0:v>R2-003-03</ns0:v>
      </ns0:c>
      <ns0:c r="D14" s="145" t="str">
        <ns0:v>广告锁定周转盒</ns0:v>
      </ns0:c>
      <ns0:c r="E14" s="152" t="n">
        <ns0:v>2</ns0:v>
      </ns0:c>
      <ns0:c r="F14" s="152" t="n">
        <ns0:v>4</ns0:v>
      </ns0:c>
      <ns0:c r="G14" s="152" t="n">
        <ns0:v>0</ns0:v>
      </ns0:c>
      <ns0:c r="H14" s="152" t="n">
        <ns0:v>0</ns0:v>
      </ns0:c>
      <ns0:c r="I14" s="149" t="n">
        <ns0:f>E14*G14</ns0:f>
        <ns0:v>0</ns0:v>
      </ns0:c>
      <ns0:c r="J14" s="149" t="n">
        <ns0:f>E14*(F14-G14)</ns0:f>
        <ns0:v>8</ns0:v>
      </ns0:c>
      <ns0:c r="K14" s="149" t="n">
        <ns0:f>IF(AND(B14="开局",G14=0,OR(D14="普通盒",D14="单颗暂存盒")),J14,0)</ns0:f>
        <ns0:v>0</ns0:v>
      </ns0:c>
      <ns0:c r="L14" s="149" t="n">
        <ns0:f>IF(AND(B14="开局",G14&gt;0,OR(D14="普通盒",D14="底部置顶盒",D14="炸弹盒")),J14,0)</ns0:f>
        <ns0:v>0</ns0:v>
      </ns0:c>
      <ns0:c r="M14" s="149" t="n">
        <ns0:f>IF(AND(B14="开局",OR(D14="固定颜色盒",D14="单向收纳盒")),J14,0)</ns0:f>
        <ns0:v>0</ns0:v>
      </ns0:c>
      <ns0:c r="N14" s="149" t="n">
        <ns0:f>IF(AND(B14="开局",OR(D14="数字盖盒",D14="普通冰冻盒",D14="数字冰冻盒",D14="数字冰冻单颗暂存盒")),J14,0)</ns0:f>
        <ns0:v>0</ns0:v>
      </ns0:c>
      <ns0:c r="O14" s="145" t="str">
        <ns0:f>IF(AND(E14&gt;0,E14=INT(E14),G14&gt;=0,G14&lt;=F14,G14=INT(G14),OR(AND(F14=1,OR(D14="单颗暂存盒",D14="数字冰冻单颗暂存盒")),AND(F14=4,NOT(OR(D14="单颗暂存盒",D14="数字冰冻单颗暂存盒")))),IF(OR(D14="数字盖盒",D14="数字冰冻盒",D14="数字冰冻单颗暂存盒"),AND(H14&gt;=1,H14=INT(H14)),H14=0),IF(B14="开局",AND(IF(OR(D14="数字盖盒",D14="普通冰冻盒",D14="数字冰冻盒",D14="炸弹盒",D14="底部置顶盒"),OR(G14=3,G14=4),TRUE),IF(OR(D14="单向收纳盒",D14="单颗暂存盒",D14="数字冰冻单颗暂存盒"),OR(G14=0,G14=1),TRUE),IF(OR(D14="固定颜色盒",D14="广告锁定周转盒"),G14=0,TRUE)),TRUE)),"通过","需调整")</ns0:f>
        <ns0:v>通过</ns0:v>
      </ns0:c>
      <ns0:c r="P14" s="145" t="str">
        <ns0:v>可选广告周转</ns0:v>
      </ns0:c>
      <ns0:c r="Q14" s="145" t="str">
        <ns0:v>待逐味及层序配置</ns0:v>
      </ns0:c>
      <ns0:c r="R14" s="149" t="n">
        <ns0:f>E14*H14</ns0:f>
        <ns0:v>0</ns0:v>
      </ns0:c>
    </ns0:row>
    <ns0:row r="15" ht="21" customHeight="1">
      <ns0:c r="A15" s="150" t="n">
        <ns0:v>4</ns0:v>
      </ns0:c>
      <ns0:c r="B15" s="147" t="str">
        <ns0:v>开局</ns0:v>
      </ns0:c>
      <ns0:c r="C15" s="147" t="str">
        <ns0:v>R2-004-01</ns0:v>
      </ns0:c>
      <ns0:c r="D15" s="147" t="str">
        <ns0:v>普通盒</ns0:v>
      </ns0:c>
      <ns0:c r="E15" s="152" t="n">
        <ns0:v>17</ns0:v>
      </ns0:c>
      <ns0:c r="F15" s="152" t="n">
        <ns0:v>4</ns0:v>
      </ns0:c>
      <ns0:c r="G15" s="152" t="n">
        <ns0:v>4</ns0:v>
      </ns0:c>
      <ns0:c r="H15" s="152" t="n">
        <ns0:v>0</ns0:v>
      </ns0:c>
      <ns0:c r="I15" s="150" t="n">
        <ns0:f>E15*G15</ns0:f>
        <ns0:v>68</ns0:v>
      </ns0:c>
      <ns0:c r="J15" s="150" t="n">
        <ns0:f>E15*(F15-G15)</ns0:f>
        <ns0:v>0</ns0:v>
      </ns0:c>
      <ns0:c r="K15" s="150" t="n">
        <ns0:f>IF(AND(B15="开局",G15=0,OR(D15="普通盒",D15="单颗暂存盒")),J15,0)</ns0:f>
        <ns0:v>0</ns0:v>
      </ns0:c>
      <ns0:c r="L15" s="150" t="n">
        <ns0:f>IF(AND(B15="开局",G15&gt;0,OR(D15="普通盒",D15="底部置顶盒",D15="炸弹盒")),J15,0)</ns0:f>
        <ns0:v>0</ns0:v>
      </ns0:c>
      <ns0:c r="M15" s="150" t="n">
        <ns0:f>IF(AND(B15="开局",OR(D15="固定颜色盒",D15="单向收纳盒")),J15,0)</ns0:f>
        <ns0:v>0</ns0:v>
      </ns0:c>
      <ns0:c r="N15" s="150" t="n">
        <ns0:f>IF(AND(B15="开局",OR(D15="数字盖盒",D15="普通冰冻盒",D15="数字冰冻盒",D15="数字冰冻单颗暂存盒")),J15,0)</ns0:f>
        <ns0:v>0</ns0:v>
      </ns0:c>
      <ns0:c r="O15" s="147" t="str">
        <ns0:f>IF(AND(E15&gt;0,E15=INT(E15),G15&gt;=0,G15&lt;=F15,G15=INT(G15),OR(AND(F15=1,OR(D15="单颗暂存盒",D15="数字冰冻单颗暂存盒")),AND(F15=4,NOT(OR(D15="单颗暂存盒",D15="数字冰冻单颗暂存盒")))),IF(OR(D15="数字盖盒",D15="数字冰冻盒",D15="数字冰冻单颗暂存盒"),AND(H15&gt;=1,H15=INT(H15)),H15=0),IF(B15="开局",AND(IF(OR(D15="数字盖盒",D15="普通冰冻盒",D15="数字冰冻盒",D15="炸弹盒",D15="底部置顶盒"),OR(G15=3,G15=4),TRUE),IF(OR(D15="单向收纳盒",D15="单颗暂存盒",D15="数字冰冻单颗暂存盒"),OR(G15=0,G15=1),TRUE),IF(OR(D15="固定颜色盒",D15="广告锁定周转盒"),G15=0,TRUE)),TRUE)),"通过","需调整")</ns0:f>
        <ns0:v>通过</ns0:v>
      </ns0:c>
      <ns0:c r="P15" s="147" t="str">
        <ns0:v>参考图十七只普通满盒</ns0:v>
      </ns0:c>
      <ns0:c r="Q15" s="147" t="str">
        <ns0:v>层序JSON:{"slots":[{"group_id":"R2-004-04","layers":[3,0,8,8]},{"group_id":"R2-004-01","layers":[3,4,2,0]},{"group_id":"R2-004-01","layers":[6,5,3,2]},{"group_id":"R2-004-01","layers":[8,0,5,6]},{"group_id":"R2-004-01","layers":[6,12,4,8]},{"group_id":"R2-004-01","layers":[8,5,6,2]},{"group_id":"R2-004-04","layers":[3,5,4,12]},{"group_id":"R2-004-01","layers":[3,8,12,4]},{"group_id":"R2-004-01","layers":[3,0,6,2]},{"group_id":"R2-004-01","layers":[4,12,6,8]},{"group_id":"R2-004-01","layers":[3,3,6,0]},{"group_id":"R2-004-01","layers":[12,8,6,3]},{"group_id":"R2-004-01","layers":[4,12,12,2]},{"group_id":"R2-004-01","layers":[8,3,3,12]},{"group_id":"R2-004-01","layers":[4,2,5,3]},{"group_id":"R2-004-01","layers":[0,6,5,0]},{"group_id":"R2-004-01","layers":[4,8,5,0]},{"group_id":"R2-004-01","layers":[2,6,8,8]},{"group_id":"R2-004-01","layers":[5,2,6,6]},{"group_id":"R2-004-02","layers":[]},{"group_id":"R2-004-02","layers":[]}],"demand_sequences":[[0,6,6,5,2,8,3,12,4,6],[12,0,3,2,4,5,8,3,8]],"reference":"Archive/ReferenceImage/planning/level_04_screw_reference.png"}</ns0:v>
      </ns0:c>
      <ns0:c r="R15" s="150" t="n">
        <ns0:f>E15*H15</ns0:f>
        <ns0:v>0</ns0:v>
      </ns0:c>
    </ns0:row>
    <ns0:row r="16" ht="21" customHeight="1">
      <ns0:c r="A16" s="149" t="n">
        <ns0:v>4</ns0:v>
      </ns0:c>
      <ns0:c r="B16" s="145" t="str">
        <ns0:v>开局</ns0:v>
      </ns0:c>
      <ns0:c r="C16" s="145" t="str">
        <ns0:v>R2-004-02</ns0:v>
      </ns0:c>
      <ns0:c r="D16" s="145" t="str">
        <ns0:v>普通盒</ns0:v>
      </ns0:c>
      <ns0:c r="E16" s="152" t="n">
        <ns0:v>2</ns0:v>
      </ns0:c>
      <ns0:c r="F16" s="152" t="n">
        <ns0:v>4</ns0:v>
      </ns0:c>
      <ns0:c r="G16" s="152" t="n">
        <ns0:v>0</ns0:v>
      </ns0:c>
      <ns0:c r="H16" s="152" t="n">
        <ns0:v>0</ns0:v>
      </ns0:c>
      <ns0:c r="I16" s="149" t="n">
        <ns0:f>E16*G16</ns0:f>
        <ns0:v>0</ns0:v>
      </ns0:c>
      <ns0:c r="J16" s="149" t="n">
        <ns0:f>E16*(F16-G16)</ns0:f>
        <ns0:v>8</ns0:v>
      </ns0:c>
      <ns0:c r="K16" s="149" t="n">
        <ns0:f>IF(AND(B16="开局",G16=0,OR(D16="普通盒",D16="单颗暂存盒")),J16,0)</ns0:f>
        <ns0:v>8</ns0:v>
      </ns0:c>
      <ns0:c r="L16" s="149" t="n">
        <ns0:f>IF(AND(B16="开局",G16&gt;0,OR(D16="普通盒",D16="底部置顶盒",D16="炸弹盒")),J16,0)</ns0:f>
        <ns0:v>0</ns0:v>
      </ns0:c>
      <ns0:c r="M16" s="149" t="n">
        <ns0:f>IF(AND(B16="开局",OR(D16="固定颜色盒",D16="单向收纳盒")),J16,0)</ns0:f>
        <ns0:v>0</ns0:v>
      </ns0:c>
      <ns0:c r="N16" s="149" t="n">
        <ns0:f>IF(AND(B16="开局",OR(D16="数字盖盒",D16="普通冰冻盒",D16="数字冰冻盒",D16="数字冰冻单颗暂存盒")),J16,0)</ns0:f>
        <ns0:v>0</ns0:v>
      </ns0:c>
      <ns0:c r="O16" s="145" t="str">
        <ns0:f>IF(AND(E16&gt;0,E16=INT(E16),G16&gt;=0,G16&lt;=F16,G16=INT(G16),OR(AND(F16=1,OR(D16="单颗暂存盒",D16="数字冰冻单颗暂存盒")),AND(F16=4,NOT(OR(D16="单颗暂存盒",D16="数字冰冻单颗暂存盒")))),IF(OR(D16="数字盖盒",D16="数字冰冻盒",D16="数字冰冻单颗暂存盒"),AND(H16&gt;=1,H16=INT(H16)),H16=0),IF(B16="开局",AND(IF(OR(D16="数字盖盒",D16="普通冰冻盒",D16="数字冰冻盒",D16="炸弹盒",D16="底部置顶盒"),OR(G16=3,G16=4),TRUE),IF(OR(D16="单向收纳盒",D16="单颗暂存盒",D16="数字冰冻单颗暂存盒"),OR(G16=0,G16=1),TRUE),IF(OR(D16="固定颜色盒",D16="广告锁定周转盒"),G16=0,TRUE)),TRUE)),"通过","需调整")</ns0:f>
        <ns0:v>通过</ns0:v>
      </ns0:c>
      <ns0:c r="P16" s="145" t="str">
        <ns0:v>两只免费空盒</ns0:v>
      </ns0:c>
      <ns0:c r="Q16" s="145" t="str">
        <ns0:v>容量4，开局为空</ns0:v>
      </ns0:c>
      <ns0:c r="R16" s="149" t="n">
        <ns0:f>E16*H16</ns0:f>
        <ns0:v>0</ns0:v>
      </ns0:c>
    </ns0:row>
    <ns0:row r="17" ht="21" customHeight="1">
      <ns0:c r="A17" s="150" t="n">
        <ns0:v>4</ns0:v>
      </ns0:c>
      <ns0:c r="B17" s="147" t="str">
        <ns0:v>开局</ns0:v>
      </ns0:c>
      <ns0:c r="C17" s="147" t="str">
        <ns0:v>R2-004-03</ns0:v>
      </ns0:c>
      <ns0:c r="D17" s="147" t="str">
        <ns0:v>广告锁定周转盒</ns0:v>
      </ns0:c>
      <ns0:c r="E17" s="152" t="n">
        <ns0:v>2</ns0:v>
      </ns0:c>
      <ns0:c r="F17" s="152" t="n">
        <ns0:v>4</ns0:v>
      </ns0:c>
      <ns0:c r="G17" s="152" t="n">
        <ns0:v>0</ns0:v>
      </ns0:c>
      <ns0:c r="H17" s="152" t="n">
        <ns0:v>0</ns0:v>
      </ns0:c>
      <ns0:c r="I17" s="150" t="n">
        <ns0:f>E17*G17</ns0:f>
        <ns0:v>0</ns0:v>
      </ns0:c>
      <ns0:c r="J17" s="150" t="n">
        <ns0:f>E17*(F17-G17)</ns0:f>
        <ns0:v>8</ns0:v>
      </ns0:c>
      <ns0:c r="K17" s="150" t="n">
        <ns0:f>IF(AND(B17="开局",G17=0,OR(D17="普通盒",D17="单颗暂存盒")),J17,0)</ns0:f>
        <ns0:v>0</ns0:v>
      </ns0:c>
      <ns0:c r="L17" s="150" t="n">
        <ns0:f>IF(AND(B17="开局",G17&gt;0,OR(D17="普通盒",D17="底部置顶盒",D17="炸弹盒")),J17,0)</ns0:f>
        <ns0:v>0</ns0:v>
      </ns0:c>
      <ns0:c r="M17" s="150" t="n">
        <ns0:f>IF(AND(B17="开局",OR(D17="固定颜色盒",D17="单向收纳盒")),J17,0)</ns0:f>
        <ns0:v>0</ns0:v>
      </ns0:c>
      <ns0:c r="N17" s="150" t="n">
        <ns0:f>IF(AND(B17="开局",OR(D17="数字盖盒",D17="普通冰冻盒",D17="数字冰冻盒",D17="数字冰冻单颗暂存盒")),J17,0)</ns0:f>
        <ns0:v>0</ns0:v>
      </ns0:c>
      <ns0:c r="O17" s="147" t="str">
        <ns0:f>IF(AND(E17&gt;0,E17=INT(E17),G17&gt;=0,G17&lt;=F17,G17=INT(G17),OR(AND(F17=1,OR(D17="单颗暂存盒",D17="数字冰冻单颗暂存盒")),AND(F17=4,NOT(OR(D17="单颗暂存盒",D17="数字冰冻单颗暂存盒")))),IF(OR(D17="数字盖盒",D17="数字冰冻盒",D17="数字冰冻单颗暂存盒"),AND(H17&gt;=1,H17=INT(H17)),H17=0),IF(B17="开局",AND(IF(OR(D17="数字盖盒",D17="普通冰冻盒",D17="数字冰冻盒",D17="炸弹盒",D17="底部置顶盒"),OR(G17=3,G17=4),TRUE),IF(OR(D17="单向收纳盒",D17="单颗暂存盒",D17="数字冰冻单颗暂存盒"),OR(G17=0,G17=1),TRUE),IF(OR(D17="固定颜色盒",D17="广告锁定周转盒"),G17=0,TRUE)),TRUE)),"通过","需调整")</ns0:f>
        <ns0:v>通过</ns0:v>
      </ns0:c>
      <ns0:c r="P17" s="147" t="str">
        <ns0:v>可选广告周转</ns0:v>
      </ns0:c>
      <ns0:c r="Q17" s="147" t="str">
        <ns0:v>A/B可选解锁；无广告可通关</ns0:v>
      </ns0:c>
      <ns0:c r="R17" s="150" t="n">
        <ns0:f>E17*H17</ns0:f>
        <ns0:v>0</ns0:v>
      </ns0:c>
    </ns0:row>
    <ns0:row r="18" ht="21" customHeight="1">
      <ns0:c r="A18" s="149" t="n">
        <ns0:v>5</ns0:v>
      </ns0:c>
      <ns0:c r="B18" s="145" t="str">
        <ns0:v>开局</ns0:v>
      </ns0:c>
      <ns0:c r="C18" s="145" t="str">
        <ns0:v>FILL-005-4</ns0:v>
      </ns0:c>
      <ns0:c r="D18" s="145" t="str">
        <ns0:v>普通盒</ns0:v>
      </ns0:c>
      <ns0:c r="E18" s="152" t="n">
        <ns0:v>13</ns0:v>
      </ns0:c>
      <ns0:c r="F18" s="152" t="n">
        <ns0:v>4</ns0:v>
      </ns0:c>
      <ns0:c r="G18" s="152" t="n">
        <ns0:v>4</ns0:v>
      </ns0:c>
      <ns0:c r="H18" s="152" t="n">
        <ns0:v>0</ns0:v>
      </ns0:c>
      <ns0:c r="I18" s="149" t="n">
        <ns0:f>E18*G18</ns0:f>
        <ns0:v>52</ns0:v>
      </ns0:c>
      <ns0:c r="J18" s="149" t="n">
        <ns0:f>E18*(F18-G18)</ns0:f>
        <ns0:v>0</ns0:v>
      </ns0:c>
      <ns0:c r="K18" s="149" t="n">
        <ns0:f>IF(AND(B18="开局",G18=0,OR(D18="普通盒",D18="单颗暂存盒")),J18,0)</ns0:f>
        <ns0:v>0</ns0:v>
      </ns0:c>
      <ns0:c r="L18" s="149" t="n">
        <ns0:f>IF(AND(B18="开局",G18&gt;0,OR(D18="普通盒",D18="底部置顶盒",D18="炸弹盒")),J18,0)</ns0:f>
        <ns0:v>0</ns0:v>
      </ns0:c>
      <ns0:c r="M18" s="149" t="n">
        <ns0:f>IF(AND(B18="开局",OR(D18="固定颜色盒",D18="单向收纳盒")),J18,0)</ns0:f>
        <ns0:v>0</ns0:v>
      </ns0:c>
      <ns0:c r="N18" s="149" t="n">
        <ns0:f>IF(AND(B18="开局",OR(D18="数字盖盒",D18="普通冰冻盒",D18="数字冰冻盒",D18="数字冰冻单颗暂存盒")),J18,0)</ns0:f>
        <ns0:v>0</ns0:v>
      </ns0:c>
      <ns0:c r="O18" s="145" t="str">
        <ns0:f>IF(AND(E18&gt;0,E18=INT(E18),G18&gt;=0,G18&lt;=F18,G18=INT(G18),OR(AND(F18=1,OR(D18="单颗暂存盒",D18="数字冰冻单颗暂存盒")),AND(F18=4,NOT(OR(D18="单颗暂存盒",D18="数字冰冻单颗暂存盒")))),IF(OR(D18="数字盖盒",D18="数字冰冻盒",D18="数字冰冻单颗暂存盒"),AND(H18&gt;=1,H18=INT(H18)),H18=0),IF(B18="开局",AND(IF(OR(D18="数字盖盒",D18="普通冰冻盒",D18="数字冰冻盒",D18="炸弹盒",D18="底部置顶盒"),OR(G18=3,G18=4),TRUE),IF(OR(D18="单向收纳盒",D18="单颗暂存盒",D18="数字冰冻单颗暂存盒"),OR(G18=0,G18=1),TRUE),IF(OR(D18="固定颜色盒",D18="广告锁定周转盒"),G18=0,TRUE)),TRUE)),"通过","需调整")</ns0:f>
        <ns0:v>通过</ns0:v>
      </ns0:c>
      <ns0:c r="P18" s="145" t="str">
        <ns0:v>开局装量多样化</ns0:v>
      </ns0:c>
      <ns0:c r="Q18" s="145" t="str">
        <ns0:v>层序JSON:{"reference":"Designing/r2_level_update.md","slots":[{"group_id":"FILL-005-4","layers":[2,0,5,5]},{"group_id":"FILL-005-4","layers":[8,0,3,2]},{"group_id":"FILL-005-4","layers":[0,0,8,6]},{"group_id":"FILL-005-3","layers":[2,6,8]},{"group_id":"FILL-005-2","layers":[8,4]},{"group_id":"FILL-005-4","layers":[8,2,2,8]},{"group_id":"FILL-005-3","layers":[6,5,2]},{"group_id":"FILL-005-4","layers":[5,4,2,2]},{"group_id":"FILL-005-4","layers":[5,0,8,2]},{"group_id":"FILL-005-4","layers":[6,2,4,6]},{"group_id":"FILL-005-4","layers":[0,6,8,2]},{"group_id":"FILL-005-4","layers":[6,5,3,3]},{"group_id":"FILL-005-4","layers":[3,8,0,5]},{"group_id":"FILL-005-ICE","layers":[5,8,8,6]},{"group_id":"FILL-005-4","layers":[6,3,2,2]},{"group_id":"FILL-005-ICE","layers":[2,4,6,6]},{"group_id":"FILL-005-4","layers":[6,0,2,3]},{"group_id":"FILL-005-4","layers":[2,8,3,3]},{"group_id":"FILL-005-0","layers":[]}],"stock":[],"demand_sequences":[[0,6,6,2,5,4,2,8,8],[6,3,2,3,5,2,8,0]]}</ns0:v>
      </ns0:c>
      <ns0:c r="R18" s="149" t="n">
        <ns0:f>E18*H18</ns0:f>
        <ns0:v>0</ns0:v>
      </ns0:c>
    </ns0:row>
    <ns0:row r="19" ht="21" customHeight="1">
      <ns0:c r="A19" s="150" t="n">
        <ns0:v>5</ns0:v>
      </ns0:c>
      <ns0:c r="B19" s="147" t="str">
        <ns0:v>开局</ns0:v>
      </ns0:c>
      <ns0:c r="C19" s="147" t="str">
        <ns0:v>FILL-005-3</ns0:v>
      </ns0:c>
      <ns0:c r="D19" s="147" t="str">
        <ns0:v>普通盒</ns0:v>
      </ns0:c>
      <ns0:c r="E19" s="152" t="n">
        <ns0:v>2</ns0:v>
      </ns0:c>
      <ns0:c r="F19" s="152" t="n">
        <ns0:v>4</ns0:v>
      </ns0:c>
      <ns0:c r="G19" s="152" t="n">
        <ns0:v>3</ns0:v>
      </ns0:c>
      <ns0:c r="H19" s="152" t="n">
        <ns0:v>0</ns0:v>
      </ns0:c>
      <ns0:c r="I19" s="150" t="n">
        <ns0:f>E19*G19</ns0:f>
        <ns0:v>6</ns0:v>
      </ns0:c>
      <ns0:c r="J19" s="150" t="n">
        <ns0:f>E19*(F19-G19)</ns0:f>
        <ns0:v>2</ns0:v>
      </ns0:c>
      <ns0:c r="K19" s="150" t="n">
        <ns0:f>IF(AND(B19="开局",G19=0,OR(D19="普通盒",D19="单颗暂存盒")),J19,0)</ns0:f>
        <ns0:v>0</ns0:v>
      </ns0:c>
      <ns0:c r="L19" s="150" t="n">
        <ns0:f>IF(AND(B19="开局",G19&gt;0,OR(D19="普通盒",D19="底部置顶盒",D19="炸弹盒")),J19,0)</ns0:f>
        <ns0:v>2</ns0:v>
      </ns0:c>
      <ns0:c r="M19" s="150" t="n">
        <ns0:f>IF(AND(B19="开局",OR(D19="固定颜色盒",D19="单向收纳盒")),J19,0)</ns0:f>
        <ns0:v>0</ns0:v>
      </ns0:c>
      <ns0:c r="N19" s="150" t="n">
        <ns0:f>IF(AND(B19="开局",OR(D19="数字盖盒",D19="普通冰冻盒",D19="数字冰冻盒",D19="数字冰冻单颗暂存盒")),J19,0)</ns0:f>
        <ns0:v>0</ns0:v>
      </ns0:c>
      <ns0:c r="O19" s="147" t="str">
        <ns0:f>IF(AND(E19&gt;0,E19=INT(E19),G19&gt;=0,G19&lt;=F19,G19=INT(G19),OR(AND(F19=1,OR(D19="单颗暂存盒",D19="数字冰冻单颗暂存盒")),AND(F19=4,NOT(OR(D19="单颗暂存盒",D19="数字冰冻单颗暂存盒")))),IF(OR(D19="数字盖盒",D19="数字冰冻盒",D19="数字冰冻单颗暂存盒"),AND(H19&gt;=1,H19=INT(H19)),H19=0),IF(B19="开局",AND(IF(OR(D19="数字盖盒",D19="普通冰冻盒",D19="数字冰冻盒",D19="炸弹盒",D19="底部置顶盒"),OR(G19=3,G19=4),TRUE),IF(OR(D19="单向收纳盒",D19="单颗暂存盒",D19="数字冰冻单颗暂存盒"),OR(G19=0,G19=1),TRUE),IF(OR(D19="固定颜色盒",D19="广告锁定周转盒"),G19=0,TRUE)),TRUE)),"通过","需调整")</ns0:f>
        <ns0:v>通过</ns0:v>
      </ns0:c>
      <ns0:c r="P19" s="147" t="str">
        <ns0:v>开局装量多样化</ns0:v>
      </ns0:c>
      <ns0:c r="Q19" s="147" t="str">
        <ns0:v>逐味供需与可操作空间由固定层序校验</ns0:v>
      </ns0:c>
      <ns0:c r="R19" s="150" t="n">
        <ns0:f>E19*H19</ns0:f>
        <ns0:v>0</ns0:v>
      </ns0:c>
    </ns0:row>
    <ns0:row r="20" ht="21" customHeight="1">
      <ns0:c r="A20" s="149" t="n">
        <ns0:v>5</ns0:v>
      </ns0:c>
      <ns0:c r="B20" s="145" t="str">
        <ns0:v>开局</ns0:v>
      </ns0:c>
      <ns0:c r="C20" s="145" t="str">
        <ns0:v>FILL-005-2</ns0:v>
      </ns0:c>
      <ns0:c r="D20" s="145" t="str">
        <ns0:v>普通盒</ns0:v>
      </ns0:c>
      <ns0:c r="E20" s="152" t="n">
        <ns0:v>1</ns0:v>
      </ns0:c>
      <ns0:c r="F20" s="152" t="n">
        <ns0:v>4</ns0:v>
      </ns0:c>
      <ns0:c r="G20" s="152" t="n">
        <ns0:v>2</ns0:v>
      </ns0:c>
      <ns0:c r="H20" s="152" t="n">
        <ns0:v>0</ns0:v>
      </ns0:c>
      <ns0:c r="I20" s="149" t="n">
        <ns0:f>E20*G20</ns0:f>
        <ns0:v>2</ns0:v>
      </ns0:c>
      <ns0:c r="J20" s="149" t="n">
        <ns0:f>E20*(F20-G20)</ns0:f>
        <ns0:v>2</ns0:v>
      </ns0:c>
      <ns0:c r="K20" s="149" t="n">
        <ns0:f>IF(AND(B20="开局",G20=0,OR(D20="普通盒",D20="单颗暂存盒")),J20,0)</ns0:f>
        <ns0:v>0</ns0:v>
      </ns0:c>
      <ns0:c r="L20" s="149" t="n">
        <ns0:f>IF(AND(B20="开局",G20&gt;0,OR(D20="普通盒",D20="底部置顶盒",D20="炸弹盒")),J20,0)</ns0:f>
        <ns0:v>2</ns0:v>
      </ns0:c>
      <ns0:c r="M20" s="149" t="n">
        <ns0:f>IF(AND(B20="开局",OR(D20="固定颜色盒",D20="单向收纳盒")),J20,0)</ns0:f>
        <ns0:v>0</ns0:v>
      </ns0:c>
      <ns0:c r="N20" s="149" t="n">
        <ns0:f>IF(AND(B20="开局",OR(D20="数字盖盒",D20="普通冰冻盒",D20="数字冰冻盒",D20="数字冰冻单颗暂存盒")),J20,0)</ns0:f>
        <ns0:v>0</ns0:v>
      </ns0:c>
      <ns0:c r="O20" s="145" t="str">
        <ns0:f>IF(AND(E20&gt;0,E20=INT(E20),G20&gt;=0,G20&lt;=F20,G20=INT(G20),OR(AND(F20=1,OR(D20="单颗暂存盒",D20="数字冰冻单颗暂存盒")),AND(F20=4,NOT(OR(D20="单颗暂存盒",D20="数字冰冻单颗暂存盒")))),IF(OR(D20="数字盖盒",D20="数字冰冻盒",D20="数字冰冻单颗暂存盒"),AND(H20&gt;=1,H20=INT(H20)),H20=0),IF(B20="开局",AND(IF(OR(D20="数字盖盒",D20="普通冰冻盒",D20="数字冰冻盒",D20="炸弹盒",D20="底部置顶盒"),OR(G20=3,G20=4),TRUE),IF(OR(D20="单向收纳盒",D20="单颗暂存盒",D20="数字冰冻单颗暂存盒"),OR(G20=0,G20=1),TRUE),IF(OR(D20="固定颜色盒",D20="广告锁定周转盒"),G20=0,TRUE)),TRUE)),"通过","需调整")</ns0:f>
        <ns0:v>通过</ns0:v>
      </ns0:c>
      <ns0:c r="P20" s="145" t="str">
        <ns0:v>开局装量多样化</ns0:v>
      </ns0:c>
      <ns0:c r="Q20" s="145" t="str">
        <ns0:v>逐味供需与可操作空间由固定层序校验</ns0:v>
      </ns0:c>
      <ns0:c r="R20" s="149" t="n">
        <ns0:f>E20*H20</ns0:f>
        <ns0:v>0</ns0:v>
      </ns0:c>
    </ns0:row>
    <ns0:row r="21" ht="21" customHeight="1">
      <ns0:c r="A21" s="150" t="n">
        <ns0:v>6</ns0:v>
      </ns0:c>
      <ns0:c r="B21" s="147" t="str">
        <ns0:v>开局</ns0:v>
      </ns0:c>
      <ns0:c r="C21" s="147" t="str">
        <ns0:v>FILL-006-4</ns0:v>
      </ns0:c>
      <ns0:c r="D21" s="147" t="str">
        <ns0:v>普通盒</ns0:v>
      </ns0:c>
      <ns0:c r="E21" s="152" t="n">
        <ns0:v>13</ns0:v>
      </ns0:c>
      <ns0:c r="F21" s="152" t="n">
        <ns0:v>4</ns0:v>
      </ns0:c>
      <ns0:c r="G21" s="152" t="n">
        <ns0:v>4</ns0:v>
      </ns0:c>
      <ns0:c r="H21" s="152" t="n">
        <ns0:v>0</ns0:v>
      </ns0:c>
      <ns0:c r="I21" s="150" t="n">
        <ns0:f>E21*G21</ns0:f>
        <ns0:v>52</ns0:v>
      </ns0:c>
      <ns0:c r="J21" s="150" t="n">
        <ns0:f>E21*(F21-G21)</ns0:f>
        <ns0:v>0</ns0:v>
      </ns0:c>
      <ns0:c r="K21" s="150" t="n">
        <ns0:f>IF(AND(B21="开局",G21=0,OR(D21="普通盒",D21="单颗暂存盒")),J21,0)</ns0:f>
        <ns0:v>0</ns0:v>
      </ns0:c>
      <ns0:c r="L21" s="150" t="n">
        <ns0:f>IF(AND(B21="开局",G21&gt;0,OR(D21="普通盒",D21="底部置顶盒",D21="炸弹盒")),J21,0)</ns0:f>
        <ns0:v>0</ns0:v>
      </ns0:c>
      <ns0:c r="M21" s="150" t="n">
        <ns0:f>IF(AND(B21="开局",OR(D21="固定颜色盒",D21="单向收纳盒")),J21,0)</ns0:f>
        <ns0:v>0</ns0:v>
      </ns0:c>
      <ns0:c r="N21" s="150" t="n">
        <ns0:f>IF(AND(B21="开局",OR(D21="数字盖盒",D21="普通冰冻盒",D21="数字冰冻盒",D21="数字冰冻单颗暂存盒")),J21,0)</ns0:f>
        <ns0:v>0</ns0:v>
      </ns0:c>
      <ns0:c r="O21" s="147" t="str">
        <ns0:f>IF(AND(E21&gt;0,E21=INT(E21),G21&gt;=0,G21&lt;=F21,G21=INT(G21),OR(AND(F21=1,OR(D21="单颗暂存盒",D21="数字冰冻单颗暂存盒")),AND(F21=4,NOT(OR(D21="单颗暂存盒",D21="数字冰冻单颗暂存盒")))),IF(OR(D21="数字盖盒",D21="数字冰冻盒",D21="数字冰冻单颗暂存盒"),AND(H21&gt;=1,H21=INT(H21)),H21=0),IF(B21="开局",AND(IF(OR(D21="数字盖盒",D21="普通冰冻盒",D21="数字冰冻盒",D21="炸弹盒",D21="底部置顶盒"),OR(G21=3,G21=4),TRUE),IF(OR(D21="单向收纳盒",D21="单颗暂存盒",D21="数字冰冻单颗暂存盒"),OR(G21=0,G21=1),TRUE),IF(OR(D21="固定颜色盒",D21="广告锁定周转盒"),G21=0,TRUE)),TRUE)),"通过","需调整")</ns0:f>
        <ns0:v>通过</ns0:v>
      </ns0:c>
      <ns0:c r="P21" s="147" t="str">
        <ns0:v>开局装量多样化</ns0:v>
      </ns0:c>
      <ns0:c r="Q21" s="147" t="str">
        <ns0:v>层序JSON:{"reference":"Designing/r2_level_update.md","slots":[{"group_id":"FILL-006-3","layers":[6,6,5]},{"group_id":"FILL-006-4","layers":[6,8,2,5]},{"group_id":"FILL-006-4","layers":[12,5,8,4]},{"group_id":"FILL-006-4","layers":[8,5,6,5]},{"group_id":"FILL-006-4","layers":[6,8,2,6]},{"group_id":"FILL-006-4","layers":[6,8,4,2]},{"group_id":"FILL-006-4","layers":[5,2,8,2]},{"group_id":"FILL-006-4","layers":[0,8,5,6]},{"group_id":"FILL-006-4","layers":[3,6,5,12]},{"group_id":"FILL-006-2","layers":[6,3]},{"group_id":"FILL-006-2","layers":[2,0]},{"group_id":"FILL-006-3","layers":[8,12,8]},{"group_id":"FILL-006-3","layers":[5,6,8]},{"group_id":"FILL-006-3","layers":[6,3,12]},{"group_id":"FILL-006-4","layers":[8,6,5,6]},{"group_id":"FILL-006-4","layers":[2,8,0,0]},{"group_id":"FILL-006-4","layers":[4,5,4,6]},{"group_id":"FILL-006-4","layers":[4,6,5,4],"hidden":[3]},{"group_id":"FILL-006-4","layers":[3,4,4,2]},{"group_id":"FILL-006-0","layers":[]}],"stock":[],"demand_sequences":[[6,3,2,8,6,5,5,8,4],[5,8,12,2,6,6,4,0]]}</ns0:v>
      </ns0:c>
      <ns0:c r="R21" s="150" t="n">
        <ns0:f>E21*H21</ns0:f>
        <ns0:v>0</ns0:v>
      </ns0:c>
    </ns0:row>
    <ns0:row r="22" ht="21" customHeight="1">
      <ns0:c r="A22" s="149" t="n">
        <ns0:v>6</ns0:v>
      </ns0:c>
      <ns0:c r="B22" s="145" t="str">
        <ns0:v>开局</ns0:v>
      </ns0:c>
      <ns0:c r="C22" s="145" t="str">
        <ns0:v>FILL-006-3</ns0:v>
      </ns0:c>
      <ns0:c r="D22" s="145" t="str">
        <ns0:v>普通盒</ns0:v>
      </ns0:c>
      <ns0:c r="E22" s="152" t="n">
        <ns0:v>4</ns0:v>
      </ns0:c>
      <ns0:c r="F22" s="152" t="n">
        <ns0:v>4</ns0:v>
      </ns0:c>
      <ns0:c r="G22" s="152" t="n">
        <ns0:v>3</ns0:v>
      </ns0:c>
      <ns0:c r="H22" s="152" t="n">
        <ns0:v>0</ns0:v>
      </ns0:c>
      <ns0:c r="I22" s="149" t="n">
        <ns0:f>E22*G22</ns0:f>
        <ns0:v>12</ns0:v>
      </ns0:c>
      <ns0:c r="J22" s="149" t="n">
        <ns0:f>E22*(F22-G22)</ns0:f>
        <ns0:v>4</ns0:v>
      </ns0:c>
      <ns0:c r="K22" s="149" t="n">
        <ns0:f>IF(AND(B22="开局",G22=0,OR(D22="普通盒",D22="单颗暂存盒")),J22,0)</ns0:f>
        <ns0:v>0</ns0:v>
      </ns0:c>
      <ns0:c r="L22" s="149" t="n">
        <ns0:f>IF(AND(B22="开局",G22&gt;0,OR(D22="普通盒",D22="底部置顶盒",D22="炸弹盒")),J22,0)</ns0:f>
        <ns0:v>4</ns0:v>
      </ns0:c>
      <ns0:c r="M22" s="149" t="n">
        <ns0:f>IF(AND(B22="开局",OR(D22="固定颜色盒",D22="单向收纳盒")),J22,0)</ns0:f>
        <ns0:v>0</ns0:v>
      </ns0:c>
      <ns0:c r="N22" s="149" t="n">
        <ns0:f>IF(AND(B22="开局",OR(D22="数字盖盒",D22="普通冰冻盒",D22="数字冰冻盒",D22="数字冰冻单颗暂存盒")),J22,0)</ns0:f>
        <ns0:v>0</ns0:v>
      </ns0:c>
      <ns0:c r="O22" s="145" t="str">
        <ns0:f>IF(AND(E22&gt;0,E22=INT(E22),G22&gt;=0,G22&lt;=F22,G22=INT(G22),OR(AND(F22=1,OR(D22="单颗暂存盒",D22="数字冰冻单颗暂存盒")),AND(F22=4,NOT(OR(D22="单颗暂存盒",D22="数字冰冻单颗暂存盒")))),IF(OR(D22="数字盖盒",D22="数字冰冻盒",D22="数字冰冻单颗暂存盒"),AND(H22&gt;=1,H22=INT(H22)),H22=0),IF(B22="开局",AND(IF(OR(D22="数字盖盒",D22="普通冰冻盒",D22="数字冰冻盒",D22="炸弹盒",D22="底部置顶盒"),OR(G22=3,G22=4),TRUE),IF(OR(D22="单向收纳盒",D22="单颗暂存盒",D22="数字冰冻单颗暂存盒"),OR(G22=0,G22=1),TRUE),IF(OR(D22="固定颜色盒",D22="广告锁定周转盒"),G22=0,TRUE)),TRUE)),"通过","需调整")</ns0:f>
        <ns0:v>通过</ns0:v>
      </ns0:c>
      <ns0:c r="P22" s="145" t="str">
        <ns0:v>开局装量多样化</ns0:v>
      </ns0:c>
      <ns0:c r="Q22" s="145" t="str">
        <ns0:v>逐味供需与可操作空间由固定层序校验</ns0:v>
      </ns0:c>
      <ns0:c r="R22" s="149" t="n">
        <ns0:f>E22*H22</ns0:f>
        <ns0:v>0</ns0:v>
      </ns0:c>
    </ns0:row>
    <ns0:row r="23" ht="21" customHeight="1">
      <ns0:c r="A23" s="150" t="n">
        <ns0:v>6</ns0:v>
      </ns0:c>
      <ns0:c r="B23" s="147" t="str">
        <ns0:v>开局</ns0:v>
      </ns0:c>
      <ns0:c r="C23" s="147" t="str">
        <ns0:v>FILL-006-2</ns0:v>
      </ns0:c>
      <ns0:c r="D23" s="147" t="str">
        <ns0:v>普通盒</ns0:v>
      </ns0:c>
      <ns0:c r="E23" s="152" t="n">
        <ns0:v>2</ns0:v>
      </ns0:c>
      <ns0:c r="F23" s="152" t="n">
        <ns0:v>4</ns0:v>
      </ns0:c>
      <ns0:c r="G23" s="152" t="n">
        <ns0:v>2</ns0:v>
      </ns0:c>
      <ns0:c r="H23" s="152" t="n">
        <ns0:v>0</ns0:v>
      </ns0:c>
      <ns0:c r="I23" s="150" t="n">
        <ns0:f>E23*G23</ns0:f>
        <ns0:v>4</ns0:v>
      </ns0:c>
      <ns0:c r="J23" s="150" t="n">
        <ns0:f>E23*(F23-G23)</ns0:f>
        <ns0:v>4</ns0:v>
      </ns0:c>
      <ns0:c r="K23" s="150" t="n">
        <ns0:f>IF(AND(B23="开局",G23=0,OR(D23="普通盒",D23="单颗暂存盒")),J23,0)</ns0:f>
        <ns0:v>0</ns0:v>
      </ns0:c>
      <ns0:c r="L23" s="150" t="n">
        <ns0:f>IF(AND(B23="开局",G23&gt;0,OR(D23="普通盒",D23="底部置顶盒",D23="炸弹盒")),J23,0)</ns0:f>
        <ns0:v>4</ns0:v>
      </ns0:c>
      <ns0:c r="M23" s="150" t="n">
        <ns0:f>IF(AND(B23="开局",OR(D23="固定颜色盒",D23="单向收纳盒")),J23,0)</ns0:f>
        <ns0:v>0</ns0:v>
      </ns0:c>
      <ns0:c r="N23" s="150" t="n">
        <ns0:f>IF(AND(B23="开局",OR(D23="数字盖盒",D23="普通冰冻盒",D23="数字冰冻盒",D23="数字冰冻单颗暂存盒")),J23,0)</ns0:f>
        <ns0:v>0</ns0:v>
      </ns0:c>
      <ns0:c r="O23" s="147" t="str">
        <ns0:f>IF(AND(E23&gt;0,E23=INT(E23),G23&gt;=0,G23&lt;=F23,G23=INT(G23),OR(AND(F23=1,OR(D23="单颗暂存盒",D23="数字冰冻单颗暂存盒")),AND(F23=4,NOT(OR(D23="单颗暂存盒",D23="数字冰冻单颗暂存盒")))),IF(OR(D23="数字盖盒",D23="数字冰冻盒",D23="数字冰冻单颗暂存盒"),AND(H23&gt;=1,H23=INT(H23)),H23=0),IF(B23="开局",AND(IF(OR(D23="数字盖盒",D23="普通冰冻盒",D23="数字冰冻盒",D23="炸弹盒",D23="底部置顶盒"),OR(G23=3,G23=4),TRUE),IF(OR(D23="单向收纳盒",D23="单颗暂存盒",D23="数字冰冻单颗暂存盒"),OR(G23=0,G23=1),TRUE),IF(OR(D23="固定颜色盒",D23="广告锁定周转盒"),G23=0,TRUE)),TRUE)),"通过","需调整")</ns0:f>
        <ns0:v>通过</ns0:v>
      </ns0:c>
      <ns0:c r="P23" s="147" t="str">
        <ns0:v>开局装量多样化</ns0:v>
      </ns0:c>
      <ns0:c r="Q23" s="147" t="str">
        <ns0:v>逐味供需与可操作空间由固定层序校验</ns0:v>
      </ns0:c>
      <ns0:c r="R23" s="150" t="n">
        <ns0:f>E23*H23</ns0:f>
        <ns0:v>0</ns0:v>
      </ns0:c>
    </ns0:row>
    <ns0:row r="24" ht="21" customHeight="1">
      <ns0:c r="A24" s="149" t="n">
        <ns0:v>6</ns0:v>
      </ns0:c>
      <ns0:c r="B24" s="145" t="str">
        <ns0:v>开局</ns0:v>
      </ns0:c>
      <ns0:c r="C24" s="145" t="str">
        <ns0:v>FILL-006-0</ns0:v>
      </ns0:c>
      <ns0:c r="D24" s="145" t="str">
        <ns0:v>普通盒</ns0:v>
      </ns0:c>
      <ns0:c r="E24" s="152" t="n">
        <ns0:v>1</ns0:v>
      </ns0:c>
      <ns0:c r="F24" s="152" t="n">
        <ns0:v>4</ns0:v>
      </ns0:c>
      <ns0:c r="G24" s="152" t="n">
        <ns0:v>0</ns0:v>
      </ns0:c>
      <ns0:c r="H24" s="152" t="n">
        <ns0:v>0</ns0:v>
      </ns0:c>
      <ns0:c r="I24" s="149" t="n">
        <ns0:f>E24*G24</ns0:f>
        <ns0:v>0</ns0:v>
      </ns0:c>
      <ns0:c r="J24" s="149" t="n">
        <ns0:f>E24*(F24-G24)</ns0:f>
        <ns0:v>4</ns0:v>
      </ns0:c>
      <ns0:c r="K24" s="149" t="n">
        <ns0:f>IF(AND(B24="开局",G24=0,OR(D24="普通盒",D24="单颗暂存盒")),J24,0)</ns0:f>
        <ns0:v>4</ns0:v>
      </ns0:c>
      <ns0:c r="L24" s="149" t="n">
        <ns0:f>IF(AND(B24="开局",G24&gt;0,OR(D24="普通盒",D24="底部置顶盒",D24="炸弹盒")),J24,0)</ns0:f>
        <ns0:v>0</ns0:v>
      </ns0:c>
      <ns0:c r="M24" s="149" t="n">
        <ns0:f>IF(AND(B24="开局",OR(D24="固定颜色盒",D24="单向收纳盒")),J24,0)</ns0:f>
        <ns0:v>0</ns0:v>
      </ns0:c>
      <ns0:c r="N24" s="149" t="n">
        <ns0:f>IF(AND(B24="开局",OR(D24="数字盖盒",D24="普通冰冻盒",D24="数字冰冻盒",D24="数字冰冻单颗暂存盒")),J24,0)</ns0:f>
        <ns0:v>0</ns0:v>
      </ns0:c>
      <ns0:c r="O24" s="145" t="str">
        <ns0:f>IF(AND(E24&gt;0,E24=INT(E24),G24&gt;=0,G24&lt;=F24,G24=INT(G24),OR(AND(F24=1,OR(D24="单颗暂存盒",D24="数字冰冻单颗暂存盒")),AND(F24=4,NOT(OR(D24="单颗暂存盒",D24="数字冰冻单颗暂存盒")))),IF(OR(D24="数字盖盒",D24="数字冰冻盒",D24="数字冰冻单颗暂存盒"),AND(H24&gt;=1,H24=INT(H24)),H24=0),IF(B24="开局",AND(IF(OR(D24="数字盖盒",D24="普通冰冻盒",D24="数字冰冻盒",D24="炸弹盒",D24="底部置顶盒"),OR(G24=3,G24=4),TRUE),IF(OR(D24="单向收纳盒",D24="单颗暂存盒",D24="数字冰冻单颗暂存盒"),OR(G24=0,G24=1),TRUE),IF(OR(D24="固定颜色盒",D24="广告锁定周转盒"),G24=0,TRUE)),TRUE)),"通过","需调整")</ns0:f>
        <ns0:v>通过</ns0:v>
      </ns0:c>
      <ns0:c r="P24" s="145" t="str">
        <ns0:v>开局装量多样化</ns0:v>
      </ns0:c>
      <ns0:c r="Q24" s="145" t="str">
        <ns0:v>逐味供需与可操作空间由固定层序校验</ns0:v>
      </ns0:c>
      <ns0:c r="R24" s="149" t="n">
        <ns0:f>E24*H24</ns0:f>
        <ns0:v>0</ns0:v>
      </ns0:c>
    </ns0:row>
    <ns0:row r="25" ht="21" customHeight="1">
      <ns0:c r="A25" s="150" t="n">
        <ns0:v>7</ns0:v>
      </ns0:c>
      <ns0:c r="B25" s="147" t="str">
        <ns0:v>开局</ns0:v>
      </ns0:c>
      <ns0:c r="C25" s="147" t="str">
        <ns0:v>FILL-007-4</ns0:v>
      </ns0:c>
      <ns0:c r="D25" s="147" t="str">
        <ns0:v>普通盒</ns0:v>
      </ns0:c>
      <ns0:c r="E25" s="152" t="n">
        <ns0:v>14</ns0:v>
      </ns0:c>
      <ns0:c r="F25" s="152" t="n">
        <ns0:v>4</ns0:v>
      </ns0:c>
      <ns0:c r="G25" s="152" t="n">
        <ns0:v>4</ns0:v>
      </ns0:c>
      <ns0:c r="H25" s="152" t="n">
        <ns0:v>0</ns0:v>
      </ns0:c>
      <ns0:c r="I25" s="150" t="n">
        <ns0:f>E25*G25</ns0:f>
        <ns0:v>56</ns0:v>
      </ns0:c>
      <ns0:c r="J25" s="150" t="n">
        <ns0:f>E25*(F25-G25)</ns0:f>
        <ns0:v>0</ns0:v>
      </ns0:c>
      <ns0:c r="K25" s="150" t="n">
        <ns0:f>IF(AND(B25="开局",G25=0,OR(D25="普通盒",D25="单颗暂存盒")),J25,0)</ns0:f>
        <ns0:v>0</ns0:v>
      </ns0:c>
      <ns0:c r="L25" s="150" t="n">
        <ns0:f>IF(AND(B25="开局",G25&gt;0,OR(D25="普通盒",D25="底部置顶盒",D25="炸弹盒")),J25,0)</ns0:f>
        <ns0:v>0</ns0:v>
      </ns0:c>
      <ns0:c r="M25" s="150" t="n">
        <ns0:f>IF(AND(B25="开局",OR(D25="固定颜色盒",D25="单向收纳盒")),J25,0)</ns0:f>
        <ns0:v>0</ns0:v>
      </ns0:c>
      <ns0:c r="N25" s="150" t="n">
        <ns0:f>IF(AND(B25="开局",OR(D25="数字盖盒",D25="普通冰冻盒",D25="数字冰冻盒",D25="数字冰冻单颗暂存盒")),J25,0)</ns0:f>
        <ns0:v>0</ns0:v>
      </ns0:c>
      <ns0:c r="O25" s="147" t="str">
        <ns0:f>IF(AND(E25&gt;0,E25=INT(E25),G25&gt;=0,G25&lt;=F25,G25=INT(G25),OR(AND(F25=1,OR(D25="单颗暂存盒",D25="数字冰冻单颗暂存盒")),AND(F25=4,NOT(OR(D25="单颗暂存盒",D25="数字冰冻单颗暂存盒")))),IF(OR(D25="数字盖盒",D25="数字冰冻盒",D25="数字冰冻单颗暂存盒"),AND(H25&gt;=1,H25=INT(H25)),H25=0),IF(B25="开局",AND(IF(OR(D25="数字盖盒",D25="普通冰冻盒",D25="数字冰冻盒",D25="炸弹盒",D25="底部置顶盒"),OR(G25=3,G25=4),TRUE),IF(OR(D25="单向收纳盒",D25="单颗暂存盒",D25="数字冰冻单颗暂存盒"),OR(G25=0,G25=1),TRUE),IF(OR(D25="固定颜色盒",D25="广告锁定周转盒"),G25=0,TRUE)),TRUE)),"通过","需调整")</ns0:f>
        <ns0:v>通过</ns0:v>
      </ns0:c>
      <ns0:c r="P25" s="147" t="str">
        <ns0:v>开局装量多样化</ns0:v>
      </ns0:c>
      <ns0:c r="Q25" s="147" t="str">
        <ns0:v>层序JSON:{"reference":"Designing/r2_level_update.md","slots":[{"group_id":"FILL-007-3","layers":[6,8,2]},{"group_id":"FILL-007-4","layers":[2,12,8,2]},{"group_id":"FILL-007-4","layers":[3,2,3,4]},{"group_id":"FILL-007-4","layers":[2,3,2,8]},{"group_id":"FILL-007-3","layers":[2,2,4]},{"group_id":"FILL-007-4","layers":[2,4,0,12]},{"group_id":"FILL-007-3","layers":[6,8,3]},{"group_id":"FILL-007-4","layers":[4,2,8,3]},{"group_id":"FILL-007-2","layers":[12,5],"hidden":[1]},{"group_id":"FILL-007-4","layers":[3,2,12,12]},{"group_id":"FILL-007-4","layers":[3,4,4,12]},{"group_id":"FILL-007-4","layers":[4,2,4,3]},{"group_id":"FILL-007-4","layers":[0,2,4,6]},{"group_id":"FILL-007-4","layers":[4,8,3,4]},{"group_id":"FILL-007-3","layers":[6,2,4]},{"group_id":"FILL-007-4","layers":[5,12,2,2]},{"group_id":"FILL-007-4","layers":[0,3,0,4]},{"group_id":"FILL-007-4","layers":[5,3,4,4],"hidden":[3]},{"group_id":"FILL-007-2","layers":[8,8]},{"group_id":"FILL-007-4","layers":[12,5,4,3]}],"stock":[],"demand_sequences":[[2,4,4,3,0,6,4,2,2],[5,12,12,3,2,4,3,8,8]]}</ns0:v>
      </ns0:c>
      <ns0:c r="R25" s="150" t="n">
        <ns0:f>E25*H25</ns0:f>
        <ns0:v>0</ns0:v>
      </ns0:c>
    </ns0:row>
    <ns0:row r="26" ht="21" customHeight="1">
      <ns0:c r="A26" s="149" t="n">
        <ns0:v>7</ns0:v>
      </ns0:c>
      <ns0:c r="B26" s="145" t="str">
        <ns0:v>开局</ns0:v>
      </ns0:c>
      <ns0:c r="C26" s="145" t="str">
        <ns0:v>FILL-007-3</ns0:v>
      </ns0:c>
      <ns0:c r="D26" s="145" t="str">
        <ns0:v>普通盒</ns0:v>
      </ns0:c>
      <ns0:c r="E26" s="152" t="n">
        <ns0:v>4</ns0:v>
      </ns0:c>
      <ns0:c r="F26" s="152" t="n">
        <ns0:v>4</ns0:v>
      </ns0:c>
      <ns0:c r="G26" s="152" t="n">
        <ns0:v>3</ns0:v>
      </ns0:c>
      <ns0:c r="H26" s="152" t="n">
        <ns0:v>0</ns0:v>
      </ns0:c>
      <ns0:c r="I26" s="149" t="n">
        <ns0:f>E26*G26</ns0:f>
        <ns0:v>12</ns0:v>
      </ns0:c>
      <ns0:c r="J26" s="149" t="n">
        <ns0:f>E26*(F26-G26)</ns0:f>
        <ns0:v>4</ns0:v>
      </ns0:c>
      <ns0:c r="K26" s="149" t="n">
        <ns0:f>IF(AND(B26="开局",G26=0,OR(D26="普通盒",D26="单颗暂存盒")),J26,0)</ns0:f>
        <ns0:v>0</ns0:v>
      </ns0:c>
      <ns0:c r="L26" s="149" t="n">
        <ns0:f>IF(AND(B26="开局",G26&gt;0,OR(D26="普通盒",D26="底部置顶盒",D26="炸弹盒")),J26,0)</ns0:f>
        <ns0:v>4</ns0:v>
      </ns0:c>
      <ns0:c r="M26" s="149" t="n">
        <ns0:f>IF(AND(B26="开局",OR(D26="固定颜色盒",D26="单向收纳盒")),J26,0)</ns0:f>
        <ns0:v>0</ns0:v>
      </ns0:c>
      <ns0:c r="N26" s="149" t="n">
        <ns0:f>IF(AND(B26="开局",OR(D26="数字盖盒",D26="普通冰冻盒",D26="数字冰冻盒",D26="数字冰冻单颗暂存盒")),J26,0)</ns0:f>
        <ns0:v>0</ns0:v>
      </ns0:c>
      <ns0:c r="O26" s="145" t="str">
        <ns0:f>IF(AND(E26&gt;0,E26=INT(E26),G26&gt;=0,G26&lt;=F26,G26=INT(G26),OR(AND(F26=1,OR(D26="单颗暂存盒",D26="数字冰冻单颗暂存盒")),AND(F26=4,NOT(OR(D26="单颗暂存盒",D26="数字冰冻单颗暂存盒")))),IF(OR(D26="数字盖盒",D26="数字冰冻盒",D26="数字冰冻单颗暂存盒"),AND(H26&gt;=1,H26=INT(H26)),H26=0),IF(B26="开局",AND(IF(OR(D26="数字盖盒",D26="普通冰冻盒",D26="数字冰冻盒",D26="炸弹盒",D26="底部置顶盒"),OR(G26=3,G26=4),TRUE),IF(OR(D26="单向收纳盒",D26="单颗暂存盒",D26="数字冰冻单颗暂存盒"),OR(G26=0,G26=1),TRUE),IF(OR(D26="固定颜色盒",D26="广告锁定周转盒"),G26=0,TRUE)),TRUE)),"通过","需调整")</ns0:f>
        <ns0:v>通过</ns0:v>
      </ns0:c>
      <ns0:c r="P26" s="145" t="str">
        <ns0:v>开局装量多样化</ns0:v>
      </ns0:c>
      <ns0:c r="Q26" s="145" t="str">
        <ns0:v>逐味供需与可操作空间由固定层序校验</ns0:v>
      </ns0:c>
      <ns0:c r="R26" s="149" t="n">
        <ns0:f>E26*H26</ns0:f>
        <ns0:v>0</ns0:v>
      </ns0:c>
    </ns0:row>
    <ns0:row r="27" ht="21" customHeight="1">
      <ns0:c r="A27" s="150" t="n">
        <ns0:v>7</ns0:v>
      </ns0:c>
      <ns0:c r="B27" s="147" t="str">
        <ns0:v>开局</ns0:v>
      </ns0:c>
      <ns0:c r="C27" s="147" t="str">
        <ns0:v>FILL-007-2</ns0:v>
      </ns0:c>
      <ns0:c r="D27" s="147" t="str">
        <ns0:v>普通盒</ns0:v>
      </ns0:c>
      <ns0:c r="E27" s="152" t="n">
        <ns0:v>2</ns0:v>
      </ns0:c>
      <ns0:c r="F27" s="152" t="n">
        <ns0:v>4</ns0:v>
      </ns0:c>
      <ns0:c r="G27" s="152" t="n">
        <ns0:v>2</ns0:v>
      </ns0:c>
      <ns0:c r="H27" s="152" t="n">
        <ns0:v>0</ns0:v>
      </ns0:c>
      <ns0:c r="I27" s="150" t="n">
        <ns0:f>E27*G27</ns0:f>
        <ns0:v>4</ns0:v>
      </ns0:c>
      <ns0:c r="J27" s="150" t="n">
        <ns0:f>E27*(F27-G27)</ns0:f>
        <ns0:v>4</ns0:v>
      </ns0:c>
      <ns0:c r="K27" s="150" t="n">
        <ns0:f>IF(AND(B27="开局",G27=0,OR(D27="普通盒",D27="单颗暂存盒")),J27,0)</ns0:f>
        <ns0:v>0</ns0:v>
      </ns0:c>
      <ns0:c r="L27" s="150" t="n">
        <ns0:f>IF(AND(B27="开局",G27&gt;0,OR(D27="普通盒",D27="底部置顶盒",D27="炸弹盒")),J27,0)</ns0:f>
        <ns0:v>4</ns0:v>
      </ns0:c>
      <ns0:c r="M27" s="150" t="n">
        <ns0:f>IF(AND(B27="开局",OR(D27="固定颜色盒",D27="单向收纳盒")),J27,0)</ns0:f>
        <ns0:v>0</ns0:v>
      </ns0:c>
      <ns0:c r="N27" s="150" t="n">
        <ns0:f>IF(AND(B27="开局",OR(D27="数字盖盒",D27="普通冰冻盒",D27="数字冰冻盒",D27="数字冰冻单颗暂存盒")),J27,0)</ns0:f>
        <ns0:v>0</ns0:v>
      </ns0:c>
      <ns0:c r="O27" s="147" t="str">
        <ns0:f>IF(AND(E27&gt;0,E27=INT(E27),G27&gt;=0,G27&lt;=F27,G27=INT(G27),OR(AND(F27=1,OR(D27="单颗暂存盒",D27="数字冰冻单颗暂存盒")),AND(F27=4,NOT(OR(D27="单颗暂存盒",D27="数字冰冻单颗暂存盒")))),IF(OR(D27="数字盖盒",D27="数字冰冻盒",D27="数字冰冻单颗暂存盒"),AND(H27&gt;=1,H27=INT(H27)),H27=0),IF(B27="开局",AND(IF(OR(D27="数字盖盒",D27="普通冰冻盒",D27="数字冰冻盒",D27="炸弹盒",D27="底部置顶盒"),OR(G27=3,G27=4),TRUE),IF(OR(D27="单向收纳盒",D27="单颗暂存盒",D27="数字冰冻单颗暂存盒"),OR(G27=0,G27=1),TRUE),IF(OR(D27="固定颜色盒",D27="广告锁定周转盒"),G27=0,TRUE)),TRUE)),"通过","需调整")</ns0:f>
        <ns0:v>通过</ns0:v>
      </ns0:c>
      <ns0:c r="P27" s="147" t="str">
        <ns0:v>开局装量多样化</ns0:v>
      </ns0:c>
      <ns0:c r="Q27" s="147" t="str">
        <ns0:v>逐味供需与可操作空间由固定层序校验</ns0:v>
      </ns0:c>
      <ns0:c r="R27" s="150" t="n">
        <ns0:f>E27*H27</ns0:f>
        <ns0:v>0</ns0:v>
      </ns0:c>
    </ns0:row>
    <ns0:row r="28" ht="21" customHeight="1">
      <ns0:c r="A28" s="149" t="n">
        <ns0:v>8</ns0:v>
      </ns0:c>
      <ns0:c r="B28" s="145" t="str">
        <ns0:v>开局</ns0:v>
      </ns0:c>
      <ns0:c r="C28" s="145" t="str">
        <ns0:v>WAVE-008-01</ns0:v>
      </ns0:c>
      <ns0:c r="D28" s="145" t="str">
        <ns0:v>普通盒</ns0:v>
      </ns0:c>
      <ns0:c r="E28" s="152" t="n">
        <ns0:v>16</ns0:v>
      </ns0:c>
      <ns0:c r="F28" s="152" t="n">
        <ns0:v>4</ns0:v>
      </ns0:c>
      <ns0:c r="G28" s="152" t="n">
        <ns0:v>4</ns0:v>
      </ns0:c>
      <ns0:c r="H28" s="152" t="n">
        <ns0:v>0</ns0:v>
      </ns0:c>
      <ns0:c r="I28" s="149" t="n">
        <ns0:f>E28*G28</ns0:f>
        <ns0:v>64</ns0:v>
      </ns0:c>
      <ns0:c r="J28" s="149" t="n">
        <ns0:f>E28*(F28-G28)</ns0:f>
        <ns0:v>0</ns0:v>
      </ns0:c>
      <ns0:c r="K28" s="149" t="n">
        <ns0:f>IF(AND(B28="开局",G28=0,OR(D28="普通盒",D28="单颗暂存盒")),J28,0)</ns0:f>
        <ns0:v>0</ns0:v>
      </ns0:c>
      <ns0:c r="L28" s="149" t="n">
        <ns0:f>IF(AND(B28="开局",G28&gt;0,OR(D28="普通盒",D28="底部置顶盒",D28="炸弹盒")),J28,0)</ns0:f>
        <ns0:v>0</ns0:v>
      </ns0:c>
      <ns0:c r="M28" s="149" t="n">
        <ns0:f>IF(AND(B28="开局",OR(D28="固定颜色盒",D28="单向收纳盒")),J28,0)</ns0:f>
        <ns0:v>0</ns0:v>
      </ns0:c>
      <ns0:c r="N28" s="149" t="n">
        <ns0:f>IF(AND(B28="开局",OR(D28="数字盖盒",D28="普通冰冻盒",D28="数字冰冻盒",D28="数字冰冻单颗暂存盒")),J28,0)</ns0:f>
        <ns0:v>0</ns0:v>
      </ns0:c>
      <ns0:c r="O28" s="145" t="str">
        <ns0:f>IF(AND(E28&gt;0,E28=INT(E28),G28&gt;=0,G28&lt;=F28,G28=INT(G28),OR(AND(F28=1,OR(D28="单颗暂存盒",D28="数字冰冻单颗暂存盒")),AND(F28=4,NOT(OR(D28="单颗暂存盒",D28="数字冰冻单颗暂存盒")))),IF(OR(D28="数字盖盒",D28="数字冰冻盒",D28="数字冰冻单颗暂存盒"),AND(H28&gt;=1,H28=INT(H28)),H28=0),IF(B28="开局",AND(IF(OR(D28="数字盖盒",D28="普通冰冻盒",D28="数字冰冻盒",D28="炸弹盒",D28="底部置顶盒"),OR(G28=3,G28=4),TRUE),IF(OR(D28="单向收纳盒",D28="单颗暂存盒",D28="数字冰冻单颗暂存盒"),OR(G28=0,G28=1),TRUE),IF(OR(D28="固定颜色盒",D28="广告锁定周转盒"),G28=0,TRUE)),TRUE)),"通过","需调整")</ns0:f>
        <ns0:v>通过</ns0:v>
      </ns0:c>
      <ns0:c r="P28" s="145" t="str">
        <ns0:v>用户确认温和波动方案</ns0:v>
      </ns0:c>
      <ns0:c r="Q28" s="145" t="str">
        <ns0:v>层序JSON:{"reference":"Designing/r2_level_update.md","slots":[{"group_id":"WAVE-008-01","layers":[12,4,8,8]},{"group_id":"WAVE-008-02","layers":[12,4,6,5]},{"group_id":"WAVE-008-01","layers":[0,6,5,3]},{"group_id":"WAVE-008-01","layers":[4,4,12,6]},{"group_id":"WAVE-008-01","layers":[3,3,12,0]},{"group_id":"WAVE-008-01","layers":[8,3,8,5]},{"group_id":"WAVE-008-01","layers":[2,12,0,0],"hidden":[2]},{"group_id":"WAVE-008-01","layers":[0,0,2,8]},{"group_id":"WAVE-008-01","layers":[8,0,5,0]},{"group_id":"WAVE-008-01","layers":[2,0,8,12]},{"group_id":"WAVE-008-01","layers":[4,5,3,0]},{"group_id":"WAVE-008-01","layers":[8,8,12,8]},{"group_id":"WAVE-008-01","layers":[5,0,3,8],"hidden":[1]},{"group_id":"WAVE-008-01","layers":[5,0,5,0]},{"group_id":"WAVE-008-01","layers":[8,6,0,4]},{"group_id":"WAVE-008-01","layers":[0,12,4,4]},{"group_id":"WAVE-008-01","layers":[2,3,0,3]},{"group_id":"WAVE-008-03","layers":[]},{"group_id":"WAVE-008-03","layers":[]}],"stock":[],"demand_sequences":[[8,4,4,6,5,3,2,8,5],[0,0,12,0,3,0,8,12]]}</ns0:v>
      </ns0:c>
      <ns0:c r="R28" s="149" t="n">
        <ns0:f>E28*H28</ns0:f>
        <ns0:v>0</ns0:v>
      </ns0:c>
    </ns0:row>
    <ns0:row r="29" ht="21" customHeight="1">
      <ns0:c r="A29" s="150" t="n">
        <ns0:v>8</ns0:v>
      </ns0:c>
      <ns0:c r="B29" s="147" t="str">
        <ns0:v>开局</ns0:v>
      </ns0:c>
      <ns0:c r="C29" s="147" t="str">
        <ns0:v>WAVE-008-02</ns0:v>
      </ns0:c>
      <ns0:c r="D29" s="147" t="str">
        <ns0:v>数字冰冻盒</ns0:v>
      </ns0:c>
      <ns0:c r="E29" s="152" t="n">
        <ns0:v>1</ns0:v>
      </ns0:c>
      <ns0:c r="F29" s="152" t="n">
        <ns0:v>4</ns0:v>
      </ns0:c>
      <ns0:c r="G29" s="152" t="n">
        <ns0:v>4</ns0:v>
      </ns0:c>
      <ns0:c r="H29" s="152" t="n">
        <ns0:v>1</ns0:v>
      </ns0:c>
      <ns0:c r="I29" s="150" t="n">
        <ns0:f>E29*G29</ns0:f>
        <ns0:v>4</ns0:v>
      </ns0:c>
      <ns0:c r="J29" s="150" t="n">
        <ns0:f>E29*(F29-G29)</ns0:f>
        <ns0:v>0</ns0:v>
      </ns0:c>
      <ns0:c r="K29" s="150" t="n">
        <ns0:f>IF(AND(B29="开局",G29=0,OR(D29="普通盒",D29="单颗暂存盒")),J29,0)</ns0:f>
        <ns0:v>0</ns0:v>
      </ns0:c>
      <ns0:c r="L29" s="150" t="n">
        <ns0:f>IF(AND(B29="开局",G29&gt;0,OR(D29="普通盒",D29="底部置顶盒",D29="炸弹盒")),J29,0)</ns0:f>
        <ns0:v>0</ns0:v>
      </ns0:c>
      <ns0:c r="M29" s="150" t="n">
        <ns0:f>IF(AND(B29="开局",OR(D29="固定颜色盒",D29="单向收纳盒")),J29,0)</ns0:f>
        <ns0:v>0</ns0:v>
      </ns0:c>
      <ns0:c r="N29" s="150" t="n">
        <ns0:f>IF(AND(B29="开局",OR(D29="数字盖盒",D29="普通冰冻盒",D29="数字冰冻盒",D29="数字冰冻单颗暂存盒")),J29,0)</ns0:f>
        <ns0:v>0</ns0:v>
      </ns0:c>
      <ns0:c r="O29" s="147" t="str">
        <ns0:f>IF(AND(E29&gt;0,E29=INT(E29),G29&gt;=0,G29&lt;=F29,G29=INT(G29),OR(AND(F29=1,OR(D29="单颗暂存盒",D29="数字冰冻单颗暂存盒")),AND(F29=4,NOT(OR(D29="单颗暂存盒",D29="数字冰冻单颗暂存盒")))),IF(OR(D29="数字盖盒",D29="数字冰冻盒",D29="数字冰冻单颗暂存盒"),AND(H29&gt;=1,H29=INT(H29)),H29=0),IF(B29="开局",AND(IF(OR(D29="数字盖盒",D29="普通冰冻盒",D29="数字冰冻盒",D29="炸弹盒",D29="底部置顶盒"),OR(G29=3,G29=4),TRUE),IF(OR(D29="单向收纳盒",D29="单颗暂存盒",D29="数字冰冻单颗暂存盒"),OR(G29=0,G29=1),TRUE),IF(OR(D29="固定颜色盒",D29="广告锁定周转盒"),G29=0,TRUE)),TRUE)),"通过","需调整")</ns0:f>
        <ns0:v>通过</ns0:v>
      </ns0:c>
      <ns0:c r="P29" s="147" t="str">
        <ns0:v>用户确认温和波动方案</ns0:v>
      </ns0:c>
      <ns0:c r="Q29" s="147" t="str">
        <ns0:v>逐味供需由固定层序校验</ns0:v>
      </ns0:c>
      <ns0:c r="R29" s="150" t="n">
        <ns0:f>E29*H29</ns0:f>
        <ns0:v>1</ns0:v>
      </ns0:c>
    </ns0:row>
    <ns0:row r="30" ht="21" customHeight="1">
      <ns0:c r="A30" s="149" t="n">
        <ns0:v>8</ns0:v>
      </ns0:c>
      <ns0:c r="B30" s="145" t="str">
        <ns0:v>开局</ns0:v>
      </ns0:c>
      <ns0:c r="C30" s="145" t="str">
        <ns0:v>WAVE-008-03</ns0:v>
      </ns0:c>
      <ns0:c r="D30" s="145" t="str">
        <ns0:v>普通盒</ns0:v>
      </ns0:c>
      <ns0:c r="E30" s="152" t="n">
        <ns0:v>2</ns0:v>
      </ns0:c>
      <ns0:c r="F30" s="152" t="n">
        <ns0:v>4</ns0:v>
      </ns0:c>
      <ns0:c r="G30" s="152" t="n">
        <ns0:v>0</ns0:v>
      </ns0:c>
      <ns0:c r="H30" s="152" t="n">
        <ns0:v>0</ns0:v>
      </ns0:c>
      <ns0:c r="I30" s="149" t="n">
        <ns0:f>E30*G30</ns0:f>
        <ns0:v>0</ns0:v>
      </ns0:c>
      <ns0:c r="J30" s="149" t="n">
        <ns0:f>E30*(F30-G30)</ns0:f>
        <ns0:v>8</ns0:v>
      </ns0:c>
      <ns0:c r="K30" s="149" t="n">
        <ns0:f>IF(AND(B30="开局",G30=0,OR(D30="普通盒",D30="单颗暂存盒")),J30,0)</ns0:f>
        <ns0:v>8</ns0:v>
      </ns0:c>
      <ns0:c r="L30" s="149" t="n">
        <ns0:f>IF(AND(B30="开局",G30&gt;0,OR(D30="普通盒",D30="底部置顶盒",D30="炸弹盒")),J30,0)</ns0:f>
        <ns0:v>0</ns0:v>
      </ns0:c>
      <ns0:c r="M30" s="149" t="n">
        <ns0:f>IF(AND(B30="开局",OR(D30="固定颜色盒",D30="单向收纳盒")),J30,0)</ns0:f>
        <ns0:v>0</ns0:v>
      </ns0:c>
      <ns0:c r="N30" s="149" t="n">
        <ns0:f>IF(AND(B30="开局",OR(D30="数字盖盒",D30="普通冰冻盒",D30="数字冰冻盒",D30="数字冰冻单颗暂存盒")),J30,0)</ns0:f>
        <ns0:v>0</ns0:v>
      </ns0:c>
      <ns0:c r="O30" s="145" t="str">
        <ns0:f>IF(AND(E30&gt;0,E30=INT(E30),G30&gt;=0,G30&lt;=F30,G30=INT(G30),OR(AND(F30=1,OR(D30="单颗暂存盒",D30="数字冰冻单颗暂存盒")),AND(F30=4,NOT(OR(D30="单颗暂存盒",D30="数字冰冻单颗暂存盒")))),IF(OR(D30="数字盖盒",D30="数字冰冻盒",D30="数字冰冻单颗暂存盒"),AND(H30&gt;=1,H30=INT(H30)),H30=0),IF(B30="开局",AND(IF(OR(D30="数字盖盒",D30="普通冰冻盒",D30="数字冰冻盒",D30="炸弹盒",D30="底部置顶盒"),OR(G30=3,G30=4),TRUE),IF(OR(D30="单向收纳盒",D30="单颗暂存盒",D30="数字冰冻单颗暂存盒"),OR(G30=0,G30=1),TRUE),IF(OR(D30="固定颜色盒",D30="广告锁定周转盒"),G30=0,TRUE)),TRUE)),"通过","需调整")</ns0:f>
        <ns0:v>通过</ns0:v>
      </ns0:c>
      <ns0:c r="P30" s="145" t="str">
        <ns0:v>用户确认温和波动方案</ns0:v>
      </ns0:c>
      <ns0:c r="Q30" s="145" t="str">
        <ns0:v>逐味供需由固定层序校验</ns0:v>
      </ns0:c>
      <ns0:c r="R30" s="149" t="n">
        <ns0:f>E30*H30</ns0:f>
        <ns0:v>0</ns0:v>
      </ns0:c>
    </ns0:row>
    <ns0:row r="31" ht="21" customHeight="1">
      <ns0:c r="A31" s="150" t="n">
        <ns0:v>9</ns0:v>
      </ns0:c>
      <ns0:c r="B31" s="147" t="str">
        <ns0:v>开局</ns0:v>
      </ns0:c>
      <ns0:c r="C31" s="147" t="str">
        <ns0:v>FILL-009-4</ns0:v>
      </ns0:c>
      <ns0:c r="D31" s="147" t="str">
        <ns0:v>普通盒</ns0:v>
      </ns0:c>
      <ns0:c r="E31" s="152" t="n">
        <ns0:v>15</ns0:v>
      </ns0:c>
      <ns0:c r="F31" s="152" t="n">
        <ns0:v>4</ns0:v>
      </ns0:c>
      <ns0:c r="G31" s="152" t="n">
        <ns0:v>4</ns0:v>
      </ns0:c>
      <ns0:c r="H31" s="152" t="n">
        <ns0:v>0</ns0:v>
      </ns0:c>
      <ns0:c r="I31" s="150" t="n">
        <ns0:f>E31*G31</ns0:f>
        <ns0:v>60</ns0:v>
      </ns0:c>
      <ns0:c r="J31" s="150" t="n">
        <ns0:f>E31*(F31-G31)</ns0:f>
        <ns0:v>0</ns0:v>
      </ns0:c>
      <ns0:c r="K31" s="150" t="n">
        <ns0:f>IF(AND(B31="开局",G31=0,OR(D31="普通盒",D31="单颗暂存盒")),J31,0)</ns0:f>
        <ns0:v>0</ns0:v>
      </ns0:c>
      <ns0:c r="L31" s="150" t="n">
        <ns0:f>IF(AND(B31="开局",G31&gt;0,OR(D31="普通盒",D31="底部置顶盒",D31="炸弹盒")),J31,0)</ns0:f>
        <ns0:v>0</ns0:v>
      </ns0:c>
      <ns0:c r="M31" s="150" t="n">
        <ns0:f>IF(AND(B31="开局",OR(D31="固定颜色盒",D31="单向收纳盒")),J31,0)</ns0:f>
        <ns0:v>0</ns0:v>
      </ns0:c>
      <ns0:c r="N31" s="150" t="n">
        <ns0:f>IF(AND(B31="开局",OR(D31="数字盖盒",D31="普通冰冻盒",D31="数字冰冻盒",D31="数字冰冻单颗暂存盒")),J31,0)</ns0:f>
        <ns0:v>0</ns0:v>
      </ns0:c>
      <ns0:c r="O31" s="147" t="str">
        <ns0:f>IF(AND(E31&gt;0,E31=INT(E31),G31&gt;=0,G31&lt;=F31,G31=INT(G31),OR(AND(F31=1,OR(D31="单颗暂存盒",D31="数字冰冻单颗暂存盒")),AND(F31=4,NOT(OR(D31="单颗暂存盒",D31="数字冰冻单颗暂存盒")))),IF(OR(D31="数字盖盒",D31="数字冰冻盒",D31="数字冰冻单颗暂存盒"),AND(H31&gt;=1,H31=INT(H31)),H31=0),IF(B31="开局",AND(IF(OR(D31="数字盖盒",D31="普通冰冻盒",D31="数字冰冻盒",D31="炸弹盒",D31="底部置顶盒"),OR(G31=3,G31=4),TRUE),IF(OR(D31="单向收纳盒",D31="单颗暂存盒",D31="数字冰冻单颗暂存盒"),OR(G31=0,G31=1),TRUE),IF(OR(D31="固定颜色盒",D31="广告锁定周转盒"),G31=0,TRUE)),TRUE)),"通过","需调整")</ns0:f>
        <ns0:v>通过</ns0:v>
      </ns0:c>
      <ns0:c r="P31" s="147" t="str">
        <ns0:v>开局装量多样化</ns0:v>
      </ns0:c>
      <ns0:c r="Q31" s="147" t="str">
        <ns0:v>层序JSON:{"reference":"Designing/r2_level_update.md","slots":[{"group_id":"FILL-009-1","layers":[0]},{"group_id":"FILL-009-4","layers":[8,2,12,8]},{"group_id":"FILL-009-4","layers":[2,12,12,3]},{"group_id":"FILL-009-4","layers":[5,12,8,5]},{"group_id":"FILL-009-3","layers":[5,0,8]},{"group_id":"FILL-009-4","layers":[0,4,0,2]},{"group_id":"FILL-009-4","layers":[3,2,3,3]},{"group_id":"FILL-009-4","layers":[8,3,5,6]},{"group_id":"FILL-009-4","layers":[6,12,0,5]},{"group_id":"FILL-009-4","layers":[12,4,12,8]},{"group_id":"FILL-009-4","layers":[12,8,4,8]},{"group_id":"FILL-009-4","layers":[12,4,3,3]},{"group_id":"FILL-009-4","layers":[8,6,0,3]},{"group_id":"FILL-009-4","layers":[6,8,4,12]},{"group_id":"FILL-009-4","layers":[4,0,4,3]},{"group_id":"FILL-009-4","layers":[12,5,8,3]},{"group_id":"FILL-009-4","layers":[5,12,3,0]},{"group_id":"FILL-009-0","layers":[]}],"stock":[{"group_id":"FILL-009-STOCK","layers":[8,5,3,4]}],"demand_sequences":[[12,4,8,3,3,12,2,5,3],[5,0,8,4,8,12,0,6]]}</ns0:v>
      </ns0:c>
      <ns0:c r="R31" s="150" t="n">
        <ns0:f>E31*H31</ns0:f>
        <ns0:v>0</ns0:v>
      </ns0:c>
    </ns0:row>
    <ns0:row r="32" ht="21" customHeight="1">
      <ns0:c r="A32" s="149" t="n">
        <ns0:v>9</ns0:v>
      </ns0:c>
      <ns0:c r="B32" s="145" t="str">
        <ns0:v>开局</ns0:v>
      </ns0:c>
      <ns0:c r="C32" s="145" t="str">
        <ns0:v>FILL-009-3</ns0:v>
      </ns0:c>
      <ns0:c r="D32" s="145" t="str">
        <ns0:v>普通盒</ns0:v>
      </ns0:c>
      <ns0:c r="E32" s="152" t="n">
        <ns0:v>1</ns0:v>
      </ns0:c>
      <ns0:c r="F32" s="152" t="n">
        <ns0:v>4</ns0:v>
      </ns0:c>
      <ns0:c r="G32" s="152" t="n">
        <ns0:v>3</ns0:v>
      </ns0:c>
      <ns0:c r="H32" s="152" t="n">
        <ns0:v>0</ns0:v>
      </ns0:c>
      <ns0:c r="I32" s="149" t="n">
        <ns0:f>E32*G32</ns0:f>
        <ns0:v>3</ns0:v>
      </ns0:c>
      <ns0:c r="J32" s="149" t="n">
        <ns0:f>E32*(F32-G32)</ns0:f>
        <ns0:v>1</ns0:v>
      </ns0:c>
      <ns0:c r="K32" s="149" t="n">
        <ns0:f>IF(AND(B32="开局",G32=0,OR(D32="普通盒",D32="单颗暂存盒")),J32,0)</ns0:f>
        <ns0:v>0</ns0:v>
      </ns0:c>
      <ns0:c r="L32" s="149" t="n">
        <ns0:f>IF(AND(B32="开局",G32&gt;0,OR(D32="普通盒",D32="底部置顶盒",D32="炸弹盒")),J32,0)</ns0:f>
        <ns0:v>1</ns0:v>
      </ns0:c>
      <ns0:c r="M32" s="149" t="n">
        <ns0:f>IF(AND(B32="开局",OR(D32="固定颜色盒",D32="单向收纳盒")),J32,0)</ns0:f>
        <ns0:v>0</ns0:v>
      </ns0:c>
      <ns0:c r="N32" s="149" t="n">
        <ns0:f>IF(AND(B32="开局",OR(D32="数字盖盒",D32="普通冰冻盒",D32="数字冰冻盒",D32="数字冰冻单颗暂存盒")),J32,0)</ns0:f>
        <ns0:v>0</ns0:v>
      </ns0:c>
      <ns0:c r="O32" s="145" t="str">
        <ns0:f>IF(AND(E32&gt;0,E32=INT(E32),G32&gt;=0,G32&lt;=F32,G32=INT(G32),OR(AND(F32=1,OR(D32="单颗暂存盒",D32="数字冰冻单颗暂存盒")),AND(F32=4,NOT(OR(D32="单颗暂存盒",D32="数字冰冻单颗暂存盒")))),IF(OR(D32="数字盖盒",D32="数字冰冻盒",D32="数字冰冻单颗暂存盒"),AND(H32&gt;=1,H32=INT(H32)),H32=0),IF(B32="开局",AND(IF(OR(D32="数字盖盒",D32="普通冰冻盒",D32="数字冰冻盒",D32="炸弹盒",D32="底部置顶盒"),OR(G32=3,G32=4),TRUE),IF(OR(D32="单向收纳盒",D32="单颗暂存盒",D32="数字冰冻单颗暂存盒"),OR(G32=0,G32=1),TRUE),IF(OR(D32="固定颜色盒",D32="广告锁定周转盒"),G32=0,TRUE)),TRUE)),"通过","需调整")</ns0:f>
        <ns0:v>通过</ns0:v>
      </ns0:c>
      <ns0:c r="P32" s="145" t="str">
        <ns0:v>开局装量多样化</ns0:v>
      </ns0:c>
      <ns0:c r="Q32" s="145" t="str">
        <ns0:v>逐味供需与可操作空间由固定层序校验</ns0:v>
      </ns0:c>
      <ns0:c r="R32" s="149" t="n">
        <ns0:f>E32*H32</ns0:f>
        <ns0:v>0</ns0:v>
      </ns0:c>
    </ns0:row>
    <ns0:row r="33" ht="21" customHeight="1">
      <ns0:c r="A33" s="150" t="n">
        <ns0:v>9</ns0:v>
      </ns0:c>
      <ns0:c r="B33" s="147" t="str">
        <ns0:v>开局</ns0:v>
      </ns0:c>
      <ns0:c r="C33" s="147" t="str">
        <ns0:v>FILL-009-1</ns0:v>
      </ns0:c>
      <ns0:c r="D33" s="147" t="str">
        <ns0:v>普通盒</ns0:v>
      </ns0:c>
      <ns0:c r="E33" s="152" t="n">
        <ns0:v>1</ns0:v>
      </ns0:c>
      <ns0:c r="F33" s="152" t="n">
        <ns0:v>4</ns0:v>
      </ns0:c>
      <ns0:c r="G33" s="152" t="n">
        <ns0:v>1</ns0:v>
      </ns0:c>
      <ns0:c r="H33" s="152" t="n">
        <ns0:v>0</ns0:v>
      </ns0:c>
      <ns0:c r="I33" s="150" t="n">
        <ns0:f>E33*G33</ns0:f>
        <ns0:v>1</ns0:v>
      </ns0:c>
      <ns0:c r="J33" s="150" t="n">
        <ns0:f>E33*(F33-G33)</ns0:f>
        <ns0:v>3</ns0:v>
      </ns0:c>
      <ns0:c r="K33" s="150" t="n">
        <ns0:f>IF(AND(B33="开局",G33=0,OR(D33="普通盒",D33="单颗暂存盒")),J33,0)</ns0:f>
        <ns0:v>0</ns0:v>
      </ns0:c>
      <ns0:c r="L33" s="150" t="n">
        <ns0:f>IF(AND(B33="开局",G33&gt;0,OR(D33="普通盒",D33="底部置顶盒",D33="炸弹盒")),J33,0)</ns0:f>
        <ns0:v>3</ns0:v>
      </ns0:c>
      <ns0:c r="M33" s="150" t="n">
        <ns0:f>IF(AND(B33="开局",OR(D33="固定颜色盒",D33="单向收纳盒")),J33,0)</ns0:f>
        <ns0:v>0</ns0:v>
      </ns0:c>
      <ns0:c r="N33" s="150" t="n">
        <ns0:f>IF(AND(B33="开局",OR(D33="数字盖盒",D33="普通冰冻盒",D33="数字冰冻盒",D33="数字冰冻单颗暂存盒")),J33,0)</ns0:f>
        <ns0:v>0</ns0:v>
      </ns0:c>
      <ns0:c r="O33" s="147" t="str">
        <ns0:f>IF(AND(E33&gt;0,E33=INT(E33),G33&gt;=0,G33&lt;=F33,G33=INT(G33),OR(AND(F33=1,OR(D33="单颗暂存盒",D33="数字冰冻单颗暂存盒")),AND(F33=4,NOT(OR(D33="单颗暂存盒",D33="数字冰冻单颗暂存盒")))),IF(OR(D33="数字盖盒",D33="数字冰冻盒",D33="数字冰冻单颗暂存盒"),AND(H33&gt;=1,H33=INT(H33)),H33=0),IF(B33="开局",AND(IF(OR(D33="数字盖盒",D33="普通冰冻盒",D33="数字冰冻盒",D33="炸弹盒",D33="底部置顶盒"),OR(G33=3,G33=4),TRUE),IF(OR(D33="单向收纳盒",D33="单颗暂存盒",D33="数字冰冻单颗暂存盒"),OR(G33=0,G33=1),TRUE),IF(OR(D33="固定颜色盒",D33="广告锁定周转盒"),G33=0,TRUE)),TRUE)),"通过","需调整")</ns0:f>
        <ns0:v>通过</ns0:v>
      </ns0:c>
      <ns0:c r="P33" s="147" t="str">
        <ns0:v>开局装量多样化</ns0:v>
      </ns0:c>
      <ns0:c r="Q33" s="147" t="str">
        <ns0:v>逐味供需与可操作空间由固定层序校验</ns0:v>
      </ns0:c>
      <ns0:c r="R33" s="150" t="n">
        <ns0:f>E33*H33</ns0:f>
        <ns0:v>0</ns0:v>
      </ns0:c>
    </ns0:row>
    <ns0:row r="34" ht="21" customHeight="1">
      <ns0:c r="A34" s="149" t="n">
        <ns0:v>9</ns0:v>
      </ns0:c>
      <ns0:c r="B34" s="145" t="str">
        <ns0:v>开局</ns0:v>
      </ns0:c>
      <ns0:c r="C34" s="145" t="str">
        <ns0:v>FILL-009-0</ns0:v>
      </ns0:c>
      <ns0:c r="D34" s="145" t="str">
        <ns0:v>普通盒</ns0:v>
      </ns0:c>
      <ns0:c r="E34" s="152" t="n">
        <ns0:v>1</ns0:v>
      </ns0:c>
      <ns0:c r="F34" s="152" t="n">
        <ns0:v>4</ns0:v>
      </ns0:c>
      <ns0:c r="G34" s="152" t="n">
        <ns0:v>0</ns0:v>
      </ns0:c>
      <ns0:c r="H34" s="152" t="n">
        <ns0:v>0</ns0:v>
      </ns0:c>
      <ns0:c r="I34" s="149" t="n">
        <ns0:f>E34*G34</ns0:f>
        <ns0:v>0</ns0:v>
      </ns0:c>
      <ns0:c r="J34" s="149" t="n">
        <ns0:f>E34*(F34-G34)</ns0:f>
        <ns0:v>4</ns0:v>
      </ns0:c>
      <ns0:c r="K34" s="149" t="n">
        <ns0:f>IF(AND(B34="开局",G34=0,OR(D34="普通盒",D34="单颗暂存盒")),J34,0)</ns0:f>
        <ns0:v>4</ns0:v>
      </ns0:c>
      <ns0:c r="L34" s="149" t="n">
        <ns0:f>IF(AND(B34="开局",G34&gt;0,OR(D34="普通盒",D34="底部置顶盒",D34="炸弹盒")),J34,0)</ns0:f>
        <ns0:v>0</ns0:v>
      </ns0:c>
      <ns0:c r="M34" s="149" t="n">
        <ns0:f>IF(AND(B34="开局",OR(D34="固定颜色盒",D34="单向收纳盒")),J34,0)</ns0:f>
        <ns0:v>0</ns0:v>
      </ns0:c>
      <ns0:c r="N34" s="149" t="n">
        <ns0:f>IF(AND(B34="开局",OR(D34="数字盖盒",D34="普通冰冻盒",D34="数字冰冻盒",D34="数字冰冻单颗暂存盒")),J34,0)</ns0:f>
        <ns0:v>0</ns0:v>
      </ns0:c>
      <ns0:c r="O34" s="145" t="str">
        <ns0:f>IF(AND(E34&gt;0,E34=INT(E34),G34&gt;=0,G34&lt;=F34,G34=INT(G34),OR(AND(F34=1,OR(D34="单颗暂存盒",D34="数字冰冻单颗暂存盒")),AND(F34=4,NOT(OR(D34="单颗暂存盒",D34="数字冰冻单颗暂存盒")))),IF(OR(D34="数字盖盒",D34="数字冰冻盒",D34="数字冰冻单颗暂存盒"),AND(H34&gt;=1,H34=INT(H34)),H34=0),IF(B34="开局",AND(IF(OR(D34="数字盖盒",D34="普通冰冻盒",D34="数字冰冻盒",D34="炸弹盒",D34="底部置顶盒"),OR(G34=3,G34=4),TRUE),IF(OR(D34="单向收纳盒",D34="单颗暂存盒",D34="数字冰冻单颗暂存盒"),OR(G34=0,G34=1),TRUE),IF(OR(D34="固定颜色盒",D34="广告锁定周转盒"),G34=0,TRUE)),TRUE)),"通过","需调整")</ns0:f>
        <ns0:v>通过</ns0:v>
      </ns0:c>
      <ns0:c r="P34" s="145" t="str">
        <ns0:v>开局装量多样化</ns0:v>
      </ns0:c>
      <ns0:c r="Q34" s="145" t="str">
        <ns0:v>逐味供需与可操作空间由固定层序校验</ns0:v>
      </ns0:c>
      <ns0:c r="R34" s="149" t="n">
        <ns0:f>E34*H34</ns0:f>
        <ns0:v>0</ns0:v>
      </ns0:c>
    </ns0:row>
    <ns0:row r="35" ht="21" customHeight="1">
      <ns0:c r="A35" s="150" t="n">
        <ns0:v>9</ns0:v>
      </ns0:c>
      <ns0:c r="B35" s="147" t="str">
        <ns0:v>开局</ns0:v>
      </ns0:c>
      <ns0:c r="C35" s="147" t="str">
        <ns0:v>FILL-009-AD</ns0:v>
      </ns0:c>
      <ns0:c r="D35" s="147" t="str">
        <ns0:v>广告锁定周转盒</ns0:v>
      </ns0:c>
      <ns0:c r="E35" s="152" t="n">
        <ns0:v>2</ns0:v>
      </ns0:c>
      <ns0:c r="F35" s="152" t="n">
        <ns0:v>4</ns0:v>
      </ns0:c>
      <ns0:c r="G35" s="152" t="n">
        <ns0:v>0</ns0:v>
      </ns0:c>
      <ns0:c r="H35" s="152" t="n">
        <ns0:v>0</ns0:v>
      </ns0:c>
      <ns0:c r="I35" s="150" t="n">
        <ns0:f>E35*G35</ns0:f>
        <ns0:v>0</ns0:v>
      </ns0:c>
      <ns0:c r="J35" s="150" t="n">
        <ns0:f>E35*(F35-G35)</ns0:f>
        <ns0:v>8</ns0:v>
      </ns0:c>
      <ns0:c r="K35" s="150" t="n">
        <ns0:f>IF(AND(B35="开局",G35=0,OR(D35="普通盒",D35="单颗暂存盒")),J35,0)</ns0:f>
        <ns0:v>0</ns0:v>
      </ns0:c>
      <ns0:c r="L35" s="150" t="n">
        <ns0:f>IF(AND(B35="开局",G35&gt;0,OR(D35="普通盒",D35="底部置顶盒",D35="炸弹盒")),J35,0)</ns0:f>
        <ns0:v>0</ns0:v>
      </ns0:c>
      <ns0:c r="M35" s="150" t="n">
        <ns0:f>IF(AND(B35="开局",OR(D35="固定颜色盒",D35="单向收纳盒")),J35,0)</ns0:f>
        <ns0:v>0</ns0:v>
      </ns0:c>
      <ns0:c r="N35" s="150" t="n">
        <ns0:f>IF(AND(B35="开局",OR(D35="数字盖盒",D35="普通冰冻盒",D35="数字冰冻盒",D35="数字冰冻单颗暂存盒")),J35,0)</ns0:f>
        <ns0:v>0</ns0:v>
      </ns0:c>
      <ns0:c r="O35" s="147" t="str">
        <ns0:f>IF(AND(E35&gt;0,E35=INT(E35),G35&gt;=0,G35&lt;=F35,G35=INT(G35),OR(AND(F35=1,OR(D35="单颗暂存盒",D35="数字冰冻单颗暂存盒")),AND(F35=4,NOT(OR(D35="单颗暂存盒",D35="数字冰冻单颗暂存盒")))),IF(OR(D35="数字盖盒",D35="数字冰冻盒",D35="数字冰冻单颗暂存盒"),AND(H35&gt;=1,H35=INT(H35)),H35=0),IF(B35="开局",AND(IF(OR(D35="数字盖盒",D35="普通冰冻盒",D35="数字冰冻盒",D35="炸弹盒",D35="底部置顶盒"),OR(G35=3,G35=4),TRUE),IF(OR(D35="单向收纳盒",D35="单颗暂存盒",D35="数字冰冻单颗暂存盒"),OR(G35=0,G35=1),TRUE),IF(OR(D35="固定颜色盒",D35="广告锁定周转盒"),G35=0,TRUE)),TRUE)),"通过","需调整")</ns0:f>
        <ns0:v>通过</ns0:v>
      </ns0:c>
      <ns0:c r="P35" s="147" t="str">
        <ns0:v>可选广告周转</ns0:v>
      </ns0:c>
      <ns0:c r="Q35" s="147" t="str">
        <ns0:v>逐味供需与可操作空间由固定层序校验</ns0:v>
      </ns0:c>
      <ns0:c r="R35" s="150" t="n">
        <ns0:f>E35*H35</ns0:f>
        <ns0:v>0</ns0:v>
      </ns0:c>
    </ns0:row>
    <ns0:row r="36" ht="21" customHeight="1">
      <ns0:c r="A36" s="149" t="n">
        <ns0:v>10</ns0:v>
      </ns0:c>
      <ns0:c r="B36" s="145" t="str">
        <ns0:v>开局</ns0:v>
      </ns0:c>
      <ns0:c r="C36" s="145" t="str">
        <ns0:v>FILL-010-4</ns0:v>
      </ns0:c>
      <ns0:c r="D36" s="145" t="str">
        <ns0:v>普通盒</ns0:v>
      </ns0:c>
      <ns0:c r="E36" s="152" t="n">
        <ns0:v>13</ns0:v>
      </ns0:c>
      <ns0:c r="F36" s="152" t="n">
        <ns0:v>4</ns0:v>
      </ns0:c>
      <ns0:c r="G36" s="152" t="n">
        <ns0:v>4</ns0:v>
      </ns0:c>
      <ns0:c r="H36" s="152" t="n">
        <ns0:v>0</ns0:v>
      </ns0:c>
      <ns0:c r="I36" s="149" t="n">
        <ns0:f>E36*G36</ns0:f>
        <ns0:v>52</ns0:v>
      </ns0:c>
      <ns0:c r="J36" s="149" t="n">
        <ns0:f>E36*(F36-G36)</ns0:f>
        <ns0:v>0</ns0:v>
      </ns0:c>
      <ns0:c r="K36" s="149" t="n">
        <ns0:f>IF(AND(B36="开局",G36=0,OR(D36="普通盒",D36="单颗暂存盒")),J36,0)</ns0:f>
        <ns0:v>0</ns0:v>
      </ns0:c>
      <ns0:c r="L36" s="149" t="n">
        <ns0:f>IF(AND(B36="开局",G36&gt;0,OR(D36="普通盒",D36="底部置顶盒",D36="炸弹盒")),J36,0)</ns0:f>
        <ns0:v>0</ns0:v>
      </ns0:c>
      <ns0:c r="M36" s="149" t="n">
        <ns0:f>IF(AND(B36="开局",OR(D36="固定颜色盒",D36="单向收纳盒")),J36,0)</ns0:f>
        <ns0:v>0</ns0:v>
      </ns0:c>
      <ns0:c r="N36" s="149" t="n">
        <ns0:f>IF(AND(B36="开局",OR(D36="数字盖盒",D36="普通冰冻盒",D36="数字冰冻盒",D36="数字冰冻单颗暂存盒")),J36,0)</ns0:f>
        <ns0:v>0</ns0:v>
      </ns0:c>
      <ns0:c r="O36" s="145" t="str">
        <ns0:f>IF(AND(E36&gt;0,E36=INT(E36),G36&gt;=0,G36&lt;=F36,G36=INT(G36),OR(AND(F36=1,OR(D36="单颗暂存盒",D36="数字冰冻单颗暂存盒")),AND(F36=4,NOT(OR(D36="单颗暂存盒",D36="数字冰冻单颗暂存盒")))),IF(OR(D36="数字盖盒",D36="数字冰冻盒",D36="数字冰冻单颗暂存盒"),AND(H36&gt;=1,H36=INT(H36)),H36=0),IF(B36="开局",AND(IF(OR(D36="数字盖盒",D36="普通冰冻盒",D36="数字冰冻盒",D36="炸弹盒",D36="底部置顶盒"),OR(G36=3,G36=4),TRUE),IF(OR(D36="单向收纳盒",D36="单颗暂存盒",D36="数字冰冻单颗暂存盒"),OR(G36=0,G36=1),TRUE),IF(OR(D36="固定颜色盒",D36="广告锁定周转盒"),G36=0,TRUE)),TRUE)),"通过","需调整")</ns0:f>
        <ns0:v>通过</ns0:v>
      </ns0:c>
      <ns0:c r="P36" s="145" t="str">
        <ns0:v>开局装量多样化</ns0:v>
      </ns0:c>
      <ns0:c r="Q36" s="145" t="str">
        <ns0:v>层序JSON:{"reference":"Designing/r2_level_update.md","slots":[{"group_id":"FILL-010-3","layers":[0,6,5]},{"group_id":"FILL-010-4","layers":[2,12,12,4]},{"group_id":"FILL-010-2","layers":[12,4]},{"group_id":"FILL-010-4","layers":[8,6,4,3]},{"group_id":"FILL-010-4","layers":[4,0,3,4]},{"group_id":"FILL-010-4","layers":[3,0,4,3]},{"group_id":"FILL-010-4","layers":[5,3,8,2]},{"group_id":"FILL-010-4","layers":[3,2,0,2]},{"group_id":"FILL-010-4","layers":[4,5,12,12]},{"group_id":"FILL-010-4","layers":[2,8,5,2]},{"group_id":"FILL-010-4","layers":[4,8,2,4]},{"group_id":"FILL-010-4","layers":[0,4,2,6]},{"group_id":"FILL-010-2","layers":[0,8]},{"group_id":"FILL-010-2","layers":[0,6]},{"group_id":"FILL-010-4","layers":[12,3,8,6]},{"group_id":"FILL-010-4","layers":[4,2,3,0]},{"group_id":"FILL-010-3","layers":[2,6,4]},{"group_id":"FILL-010-4","layers":[8,2,8,4]}],"stock":[{"group_id":"FILL-010-STOCK","layers":[6,4,12,4]},{"group_id":"FILL-010-STOCK","layers":[2,6,4,12]}],"demand_sequences":[[6,3,0,6,0,2,2,12,8],[4,5,2,4,4,8,3,12,4]]}</ns0:v>
      </ns0:c>
      <ns0:c r="R36" s="149" t="n">
        <ns0:f>E36*H36</ns0:f>
        <ns0:v>0</ns0:v>
      </ns0:c>
    </ns0:row>
    <ns0:row r="37" ht="21" customHeight="1">
      <ns0:c r="A37" s="150" t="n">
        <ns0:v>10</ns0:v>
      </ns0:c>
      <ns0:c r="B37" s="147" t="str">
        <ns0:v>开局</ns0:v>
      </ns0:c>
      <ns0:c r="C37" s="147" t="str">
        <ns0:v>FILL-010-3</ns0:v>
      </ns0:c>
      <ns0:c r="D37" s="147" t="str">
        <ns0:v>普通盒</ns0:v>
      </ns0:c>
      <ns0:c r="E37" s="152" t="n">
        <ns0:v>2</ns0:v>
      </ns0:c>
      <ns0:c r="F37" s="152" t="n">
        <ns0:v>4</ns0:v>
      </ns0:c>
      <ns0:c r="G37" s="152" t="n">
        <ns0:v>3</ns0:v>
      </ns0:c>
      <ns0:c r="H37" s="152" t="n">
        <ns0:v>0</ns0:v>
      </ns0:c>
      <ns0:c r="I37" s="150" t="n">
        <ns0:f>E37*G37</ns0:f>
        <ns0:v>6</ns0:v>
      </ns0:c>
      <ns0:c r="J37" s="150" t="n">
        <ns0:f>E37*(F37-G37)</ns0:f>
        <ns0:v>2</ns0:v>
      </ns0:c>
      <ns0:c r="K37" s="150" t="n">
        <ns0:f>IF(AND(B37="开局",G37=0,OR(D37="普通盒",D37="单颗暂存盒")),J37,0)</ns0:f>
        <ns0:v>0</ns0:v>
      </ns0:c>
      <ns0:c r="L37" s="150" t="n">
        <ns0:f>IF(AND(B37="开局",G37&gt;0,OR(D37="普通盒",D37="底部置顶盒",D37="炸弹盒")),J37,0)</ns0:f>
        <ns0:v>2</ns0:v>
      </ns0:c>
      <ns0:c r="M37" s="150" t="n">
        <ns0:f>IF(AND(B37="开局",OR(D37="固定颜色盒",D37="单向收纳盒")),J37,0)</ns0:f>
        <ns0:v>0</ns0:v>
      </ns0:c>
      <ns0:c r="N37" s="150" t="n">
        <ns0:f>IF(AND(B37="开局",OR(D37="数字盖盒",D37="普通冰冻盒",D37="数字冰冻盒",D37="数字冰冻单颗暂存盒")),J37,0)</ns0:f>
        <ns0:v>0</ns0:v>
      </ns0:c>
      <ns0:c r="O37" s="147" t="str">
        <ns0:f>IF(AND(E37&gt;0,E37=INT(E37),G37&gt;=0,G37&lt;=F37,G37=INT(G37),OR(AND(F37=1,OR(D37="单颗暂存盒",D37="数字冰冻单颗暂存盒")),AND(F37=4,NOT(OR(D37="单颗暂存盒",D37="数字冰冻单颗暂存盒")))),IF(OR(D37="数字盖盒",D37="数字冰冻盒",D37="数字冰冻单颗暂存盒"),AND(H37&gt;=1,H37=INT(H37)),H37=0),IF(B37="开局",AND(IF(OR(D37="数字盖盒",D37="普通冰冻盒",D37="数字冰冻盒",D37="炸弹盒",D37="底部置顶盒"),OR(G37=3,G37=4),TRUE),IF(OR(D37="单向收纳盒",D37="单颗暂存盒",D37="数字冰冻单颗暂存盒"),OR(G37=0,G37=1),TRUE),IF(OR(D37="固定颜色盒",D37="广告锁定周转盒"),G37=0,TRUE)),TRUE)),"通过","需调整")</ns0:f>
        <ns0:v>通过</ns0:v>
      </ns0:c>
      <ns0:c r="P37" s="147" t="str">
        <ns0:v>开局装量多样化</ns0:v>
      </ns0:c>
      <ns0:c r="Q37" s="147" t="str">
        <ns0:v>逐味供需与可操作空间由固定层序校验</ns0:v>
      </ns0:c>
      <ns0:c r="R37" s="150" t="n">
        <ns0:f>E37*H37</ns0:f>
        <ns0:v>0</ns0:v>
      </ns0:c>
    </ns0:row>
    <ns0:row r="38" ht="21" customHeight="1">
      <ns0:c r="A38" s="149" t="n">
        <ns0:v>10</ns0:v>
      </ns0:c>
      <ns0:c r="B38" s="145" t="str">
        <ns0:v>开局</ns0:v>
      </ns0:c>
      <ns0:c r="C38" s="145" t="str">
        <ns0:v>FILL-010-2</ns0:v>
      </ns0:c>
      <ns0:c r="D38" s="145" t="str">
        <ns0:v>普通盒</ns0:v>
      </ns0:c>
      <ns0:c r="E38" s="152" t="n">
        <ns0:v>3</ns0:v>
      </ns0:c>
      <ns0:c r="F38" s="152" t="n">
        <ns0:v>4</ns0:v>
      </ns0:c>
      <ns0:c r="G38" s="152" t="n">
        <ns0:v>2</ns0:v>
      </ns0:c>
      <ns0:c r="H38" s="152" t="n">
        <ns0:v>0</ns0:v>
      </ns0:c>
      <ns0:c r="I38" s="149" t="n">
        <ns0:f>E38*G38</ns0:f>
        <ns0:v>6</ns0:v>
      </ns0:c>
      <ns0:c r="J38" s="149" t="n">
        <ns0:f>E38*(F38-G38)</ns0:f>
        <ns0:v>6</ns0:v>
      </ns0:c>
      <ns0:c r="K38" s="149" t="n">
        <ns0:f>IF(AND(B38="开局",G38=0,OR(D38="普通盒",D38="单颗暂存盒")),J38,0)</ns0:f>
        <ns0:v>0</ns0:v>
      </ns0:c>
      <ns0:c r="L38" s="149" t="n">
        <ns0:f>IF(AND(B38="开局",G38&gt;0,OR(D38="普通盒",D38="底部置顶盒",D38="炸弹盒")),J38,0)</ns0:f>
        <ns0:v>6</ns0:v>
      </ns0:c>
      <ns0:c r="M38" s="149" t="n">
        <ns0:f>IF(AND(B38="开局",OR(D38="固定颜色盒",D38="单向收纳盒")),J38,0)</ns0:f>
        <ns0:v>0</ns0:v>
      </ns0:c>
      <ns0:c r="N38" s="149" t="n">
        <ns0:f>IF(AND(B38="开局",OR(D38="数字盖盒",D38="普通冰冻盒",D38="数字冰冻盒",D38="数字冰冻单颗暂存盒")),J38,0)</ns0:f>
        <ns0:v>0</ns0:v>
      </ns0:c>
      <ns0:c r="O38" s="145" t="str">
        <ns0:f>IF(AND(E38&gt;0,E38=INT(E38),G38&gt;=0,G38&lt;=F38,G38=INT(G38),OR(AND(F38=1,OR(D38="单颗暂存盒",D38="数字冰冻单颗暂存盒")),AND(F38=4,NOT(OR(D38="单颗暂存盒",D38="数字冰冻单颗暂存盒")))),IF(OR(D38="数字盖盒",D38="数字冰冻盒",D38="数字冰冻单颗暂存盒"),AND(H38&gt;=1,H38=INT(H38)),H38=0),IF(B38="开局",AND(IF(OR(D38="数字盖盒",D38="普通冰冻盒",D38="数字冰冻盒",D38="炸弹盒",D38="底部置顶盒"),OR(G38=3,G38=4),TRUE),IF(OR(D38="单向收纳盒",D38="单颗暂存盒",D38="数字冰冻单颗暂存盒"),OR(G38=0,G38=1),TRUE),IF(OR(D38="固定颜色盒",D38="广告锁定周转盒"),G38=0,TRUE)),TRUE)),"通过","需调整")</ns0:f>
        <ns0:v>通过</ns0:v>
      </ns0:c>
      <ns0:c r="P38" s="145" t="str">
        <ns0:v>开局装量多样化</ns0:v>
      </ns0:c>
      <ns0:c r="Q38" s="145" t="str">
        <ns0:v>逐味供需与可操作空间由固定层序校验</ns0:v>
      </ns0:c>
      <ns0:c r="R38" s="149" t="n">
        <ns0:f>E38*H38</ns0:f>
        <ns0:v>0</ns0:v>
      </ns0:c>
    </ns0:row>
    <ns0:row r="39" ht="21" customHeight="1">
      <ns0:c r="A39" s="150" t="n">
        <ns0:v>10</ns0:v>
      </ns0:c>
      <ns0:c r="B39" s="147" t="str">
        <ns0:v>开局</ns0:v>
      </ns0:c>
      <ns0:c r="C39" s="147" t="str">
        <ns0:v>FILL-010-AD</ns0:v>
      </ns0:c>
      <ns0:c r="D39" s="147" t="str">
        <ns0:v>广告锁定周转盒</ns0:v>
      </ns0:c>
      <ns0:c r="E39" s="152" t="n">
        <ns0:v>2</ns0:v>
      </ns0:c>
      <ns0:c r="F39" s="152" t="n">
        <ns0:v>4</ns0:v>
      </ns0:c>
      <ns0:c r="G39" s="152" t="n">
        <ns0:v>0</ns0:v>
      </ns0:c>
      <ns0:c r="H39" s="152" t="n">
        <ns0:v>0</ns0:v>
      </ns0:c>
      <ns0:c r="I39" s="150" t="n">
        <ns0:f>E39*G39</ns0:f>
        <ns0:v>0</ns0:v>
      </ns0:c>
      <ns0:c r="J39" s="150" t="n">
        <ns0:f>E39*(F39-G39)</ns0:f>
        <ns0:v>8</ns0:v>
      </ns0:c>
      <ns0:c r="K39" s="150" t="n">
        <ns0:f>IF(AND(B39="开局",G39=0,OR(D39="普通盒",D39="单颗暂存盒")),J39,0)</ns0:f>
        <ns0:v>0</ns0:v>
      </ns0:c>
      <ns0:c r="L39" s="150" t="n">
        <ns0:f>IF(AND(B39="开局",G39&gt;0,OR(D39="普通盒",D39="底部置顶盒",D39="炸弹盒")),J39,0)</ns0:f>
        <ns0:v>0</ns0:v>
      </ns0:c>
      <ns0:c r="M39" s="150" t="n">
        <ns0:f>IF(AND(B39="开局",OR(D39="固定颜色盒",D39="单向收纳盒")),J39,0)</ns0:f>
        <ns0:v>0</ns0:v>
      </ns0:c>
      <ns0:c r="N39" s="150" t="n">
        <ns0:f>IF(AND(B39="开局",OR(D39="数字盖盒",D39="普通冰冻盒",D39="数字冰冻盒",D39="数字冰冻单颗暂存盒")),J39,0)</ns0:f>
        <ns0:v>0</ns0:v>
      </ns0:c>
      <ns0:c r="O39" s="147" t="str">
        <ns0:f>IF(AND(E39&gt;0,E39=INT(E39),G39&gt;=0,G39&lt;=F39,G39=INT(G39),OR(AND(F39=1,OR(D39="单颗暂存盒",D39="数字冰冻单颗暂存盒")),AND(F39=4,NOT(OR(D39="单颗暂存盒",D39="数字冰冻单颗暂存盒")))),IF(OR(D39="数字盖盒",D39="数字冰冻盒",D39="数字冰冻单颗暂存盒"),AND(H39&gt;=1,H39=INT(H39)),H39=0),IF(B39="开局",AND(IF(OR(D39="数字盖盒",D39="普通冰冻盒",D39="数字冰冻盒",D39="炸弹盒",D39="底部置顶盒"),OR(G39=3,G39=4),TRUE),IF(OR(D39="单向收纳盒",D39="单颗暂存盒",D39="数字冰冻单颗暂存盒"),OR(G39=0,G39=1),TRUE),IF(OR(D39="固定颜色盒",D39="广告锁定周转盒"),G39=0,TRUE)),TRUE)),"通过","需调整")</ns0:f>
        <ns0:v>通过</ns0:v>
      </ns0:c>
      <ns0:c r="P39" s="147" t="str">
        <ns0:v>可选广告周转</ns0:v>
      </ns0:c>
      <ns0:c r="Q39" s="147" t="str">
        <ns0:v>逐味供需与可操作空间由固定层序校验</ns0:v>
      </ns0:c>
      <ns0:c r="R39" s="150" t="n">
        <ns0:f>E39*H39</ns0:f>
        <ns0:v>0</ns0:v>
      </ns0:c>
    </ns0:row>
    <ns0:row r="40" ht="21" customHeight="1">
      <ns0:c r="A40" s="149" t="n">
        <ns0:v>11</ns0:v>
      </ns0:c>
      <ns0:c r="B40" s="145" t="str">
        <ns0:v>开局</ns0:v>
      </ns0:c>
      <ns0:c r="C40" s="145" t="str">
        <ns0:v>WAVE-011-01</ns0:v>
      </ns0:c>
      <ns0:c r="D40" s="145" t="str">
        <ns0:v>普通盒</ns0:v>
      </ns0:c>
      <ns0:c r="E40" s="152" t="n">
        <ns0:v>13</ns0:v>
      </ns0:c>
      <ns0:c r="F40" s="152" t="n">
        <ns0:v>4</ns0:v>
      </ns0:c>
      <ns0:c r="G40" s="152" t="n">
        <ns0:v>4</ns0:v>
      </ns0:c>
      <ns0:c r="H40" s="152" t="n">
        <ns0:v>0</ns0:v>
      </ns0:c>
      <ns0:c r="I40" s="149" t="n">
        <ns0:f>E40*G40</ns0:f>
        <ns0:v>52</ns0:v>
      </ns0:c>
      <ns0:c r="J40" s="149" t="n">
        <ns0:f>E40*(F40-G40)</ns0:f>
        <ns0:v>0</ns0:v>
      </ns0:c>
      <ns0:c r="K40" s="149" t="n">
        <ns0:f>IF(AND(B40="开局",G40=0,OR(D40="普通盒",D40="单颗暂存盒")),J40,0)</ns0:f>
        <ns0:v>0</ns0:v>
      </ns0:c>
      <ns0:c r="L40" s="149" t="n">
        <ns0:f>IF(AND(B40="开局",G40&gt;0,OR(D40="普通盒",D40="底部置顶盒",D40="炸弹盒")),J40,0)</ns0:f>
        <ns0:v>0</ns0:v>
      </ns0:c>
      <ns0:c r="M40" s="149" t="n">
        <ns0:f>IF(AND(B40="开局",OR(D40="固定颜色盒",D40="单向收纳盒")),J40,0)</ns0:f>
        <ns0:v>0</ns0:v>
      </ns0:c>
      <ns0:c r="N40" s="149" t="n">
        <ns0:f>IF(AND(B40="开局",OR(D40="数字盖盒",D40="普通冰冻盒",D40="数字冰冻盒",D40="数字冰冻单颗暂存盒")),J40,0)</ns0:f>
        <ns0:v>0</ns0:v>
      </ns0:c>
      <ns0:c r="O40" s="145" t="str">
        <ns0:f>IF(AND(E40&gt;0,E40=INT(E40),G40&gt;=0,G40&lt;=F40,G40=INT(G40),OR(AND(F40=1,OR(D40="单颗暂存盒",D40="数字冰冻单颗暂存盒")),AND(F40=4,NOT(OR(D40="单颗暂存盒",D40="数字冰冻单颗暂存盒")))),IF(OR(D40="数字盖盒",D40="数字冰冻盒",D40="数字冰冻单颗暂存盒"),AND(H40&gt;=1,H40=INT(H40)),H40=0),IF(B40="开局",AND(IF(OR(D40="数字盖盒",D40="普通冰冻盒",D40="数字冰冻盒",D40="炸弹盒",D40="底部置顶盒"),OR(G40=3,G40=4),TRUE),IF(OR(D40="单向收纳盒",D40="单颗暂存盒",D40="数字冰冻单颗暂存盒"),OR(G40=0,G40=1),TRUE),IF(OR(D40="固定颜色盒",D40="广告锁定周转盒"),G40=0,TRUE)),TRUE)),"通过","需调整")</ns0:f>
        <ns0:v>通过</ns0:v>
      </ns0:c>
      <ns0:c r="P40" s="145" t="str">
        <ns0:v>确认方案装量</ns0:v>
      </ns0:c>
      <ns0:c r="Q40" s="145" t="str">
        <ns0:v>层序JSON:{"reference":"2026-10-04 用户确认11—20关难度表；2026-10-05制作；层序自顶向下","slots":[{"group_id":"WAVE-011-01","layers":[5,5,8,2]},{"group_id":"WAVE-011-01","layers":[0,8,5,8]},{"group_id":"WAVE-011-02","layers":[4,6,12],"hidden":[2]},{"group_id":"WAVE-011-01","layers":[2,4,12,12]},{"group_id":"WAVE-011-01","layers":[5,0,5,5]},{"group_id":"WAVE-011-01","layers":[8,4,12,12]},{"group_id":"WAVE-011-03","layers":[12,6]},{"group_id":"WAVE-011-01","layers":[0,3,2,2],"hidden":[1]},{"group_id":"WAVE-011-05","layers":[6,3,2,8]},{"group_id":"WAVE-011-01","layers":[0,4,0,6]},{"group_id":"WAVE-011-01","layers":[3,5,3,6]},{"group_id":"WAVE-011-01","layers":[3,5,3,4]},{"group_id":"WAVE-011-02","layers":[6,3,4]},{"group_id":"WAVE-011-01","layers":[6,0,8,4]},{"group_id":"WAVE-011-01","layers":[4,8,8,6]},{"group_id":"WAVE-011-01","layers":[2,12,12,2]},{"group_id":"WAVE-011-01","layers":[0,3,2,0]},{"group_id":"WAVE-011-04","layers":[]}],"stock":[],"demand_sequences":[[6,5,5,3,8,0,6,12],[4,2,0,3,12,2,8,4]]}</ns0:v>
      </ns0:c>
      <ns0:c r="R40" s="149" t="n">
        <ns0:f>E40*H40</ns0:f>
        <ns0:v>0</ns0:v>
      </ns0:c>
    </ns0:row>
    <ns0:row r="41" ht="21" customHeight="1">
      <ns0:c r="A41" s="150" t="n">
        <ns0:v>11</ns0:v>
      </ns0:c>
      <ns0:c r="B41" s="147" t="str">
        <ns0:v>开局</ns0:v>
      </ns0:c>
      <ns0:c r="C41" s="147" t="str">
        <ns0:v>WAVE-011-02</ns0:v>
      </ns0:c>
      <ns0:c r="D41" s="147" t="str">
        <ns0:v>普通盒</ns0:v>
      </ns0:c>
      <ns0:c r="E41" s="152" t="n">
        <ns0:v>2</ns0:v>
      </ns0:c>
      <ns0:c r="F41" s="152" t="n">
        <ns0:v>4</ns0:v>
      </ns0:c>
      <ns0:c r="G41" s="152" t="n">
        <ns0:v>3</ns0:v>
      </ns0:c>
      <ns0:c r="H41" s="152" t="n">
        <ns0:v>0</ns0:v>
      </ns0:c>
      <ns0:c r="I41" s="150" t="n">
        <ns0:f>E41*G41</ns0:f>
        <ns0:v>6</ns0:v>
      </ns0:c>
      <ns0:c r="J41" s="150" t="n">
        <ns0:f>E41*(F41-G41)</ns0:f>
        <ns0:v>2</ns0:v>
      </ns0:c>
      <ns0:c r="K41" s="150" t="n">
        <ns0:f>IF(AND(B41="开局",G41=0,OR(D41="普通盒",D41="单颗暂存盒")),J41,0)</ns0:f>
        <ns0:v>0</ns0:v>
      </ns0:c>
      <ns0:c r="L41" s="150" t="n">
        <ns0:f>IF(AND(B41="开局",G41&gt;0,OR(D41="普通盒",D41="底部置顶盒",D41="炸弹盒")),J41,0)</ns0:f>
        <ns0:v>2</ns0:v>
      </ns0:c>
      <ns0:c r="M41" s="150" t="n">
        <ns0:f>IF(AND(B41="开局",OR(D41="固定颜色盒",D41="单向收纳盒")),J41,0)</ns0:f>
        <ns0:v>0</ns0:v>
      </ns0:c>
      <ns0:c r="N41" s="150" t="n">
        <ns0:f>IF(AND(B41="开局",OR(D41="数字盖盒",D41="普通冰冻盒",D41="数字冰冻盒",D41="数字冰冻单颗暂存盒")),J41,0)</ns0:f>
        <ns0:v>0</ns0:v>
      </ns0:c>
      <ns0:c r="O41" s="147" t="str">
        <ns0:f>IF(AND(E41&gt;0,E41=INT(E41),G41&gt;=0,G41&lt;=F41,G41=INT(G41),OR(AND(F41=1,OR(D41="单颗暂存盒",D41="数字冰冻单颗暂存盒")),AND(F41=4,NOT(OR(D41="单颗暂存盒",D41="数字冰冻单颗暂存盒")))),IF(OR(D41="数字盖盒",D41="数字冰冻盒",D41="数字冰冻单颗暂存盒"),AND(H41&gt;=1,H41=INT(H41)),H41=0),IF(B41="开局",AND(IF(OR(D41="数字盖盒",D41="普通冰冻盒",D41="数字冰冻盒",D41="炸弹盒",D41="底部置顶盒"),OR(G41=3,G41=4),TRUE),IF(OR(D41="单向收纳盒",D41="单颗暂存盒",D41="数字冰冻单颗暂存盒"),OR(G41=0,G41=1),TRUE),IF(OR(D41="固定颜色盒",D41="广告锁定周转盒"),G41=0,TRUE)),TRUE)),"通过","需调整")</ns0:f>
        <ns0:v>通过</ns0:v>
      </ns0:c>
      <ns0:c r="P41" s="147" t="str">
        <ns0:v>确认方案装量</ns0:v>
      </ns0:c>
      <ns0:c r="Q41" s="147" t="str">
        <ns0:v>普通盒容量4；广告周转不计入免费空盒</ns0:v>
      </ns0:c>
      <ns0:c r="R41" s="150" t="n">
        <ns0:f>E41*H41</ns0:f>
        <ns0:v>0</ns0:v>
      </ns0:c>
    </ns0:row>
    <ns0:row r="42" ht="21" customHeight="1">
      <ns0:c r="A42" s="149" t="n">
        <ns0:v>11</ns0:v>
      </ns0:c>
      <ns0:c r="B42" s="145" t="str">
        <ns0:v>开局</ns0:v>
      </ns0:c>
      <ns0:c r="C42" s="145" t="str">
        <ns0:v>WAVE-011-03</ns0:v>
      </ns0:c>
      <ns0:c r="D42" s="145" t="str">
        <ns0:v>普通盒</ns0:v>
      </ns0:c>
      <ns0:c r="E42" s="152" t="n">
        <ns0:v>1</ns0:v>
      </ns0:c>
      <ns0:c r="F42" s="152" t="n">
        <ns0:v>4</ns0:v>
      </ns0:c>
      <ns0:c r="G42" s="152" t="n">
        <ns0:v>2</ns0:v>
      </ns0:c>
      <ns0:c r="H42" s="152" t="n">
        <ns0:v>0</ns0:v>
      </ns0:c>
      <ns0:c r="I42" s="149" t="n">
        <ns0:f>E42*G42</ns0:f>
        <ns0:v>2</ns0:v>
      </ns0:c>
      <ns0:c r="J42" s="149" t="n">
        <ns0:f>E42*(F42-G42)</ns0:f>
        <ns0:v>2</ns0:v>
      </ns0:c>
      <ns0:c r="K42" s="149" t="n">
        <ns0:f>IF(AND(B42="开局",G42=0,OR(D42="普通盒",D42="单颗暂存盒")),J42,0)</ns0:f>
        <ns0:v>0</ns0:v>
      </ns0:c>
      <ns0:c r="L42" s="149" t="n">
        <ns0:f>IF(AND(B42="开局",G42&gt;0,OR(D42="普通盒",D42="底部置顶盒",D42="炸弹盒")),J42,0)</ns0:f>
        <ns0:v>2</ns0:v>
      </ns0:c>
      <ns0:c r="M42" s="149" t="n">
        <ns0:f>IF(AND(B42="开局",OR(D42="固定颜色盒",D42="单向收纳盒")),J42,0)</ns0:f>
        <ns0:v>0</ns0:v>
      </ns0:c>
      <ns0:c r="N42" s="149" t="n">
        <ns0:f>IF(AND(B42="开局",OR(D42="数字盖盒",D42="普通冰冻盒",D42="数字冰冻盒",D42="数字冰冻单颗暂存盒")),J42,0)</ns0:f>
        <ns0:v>0</ns0:v>
      </ns0:c>
      <ns0:c r="O42" s="145" t="str">
        <ns0:f>IF(AND(E42&gt;0,E42=INT(E42),G42&gt;=0,G42&lt;=F42,G42=INT(G42),OR(AND(F42=1,OR(D42="单颗暂存盒",D42="数字冰冻单颗暂存盒")),AND(F42=4,NOT(OR(D42="单颗暂存盒",D42="数字冰冻单颗暂存盒")))),IF(OR(D42="数字盖盒",D42="数字冰冻盒",D42="数字冰冻单颗暂存盒"),AND(H42&gt;=1,H42=INT(H42)),H42=0),IF(B42="开局",AND(IF(OR(D42="数字盖盒",D42="普通冰冻盒",D42="数字冰冻盒",D42="炸弹盒",D42="底部置顶盒"),OR(G42=3,G42=4),TRUE),IF(OR(D42="单向收纳盒",D42="单颗暂存盒",D42="数字冰冻单颗暂存盒"),OR(G42=0,G42=1),TRUE),IF(OR(D42="固定颜色盒",D42="广告锁定周转盒"),G42=0,TRUE)),TRUE)),"通过","需调整")</ns0:f>
        <ns0:v>通过</ns0:v>
      </ns0:c>
      <ns0:c r="P42" s="145" t="str">
        <ns0:v>确认方案装量</ns0:v>
      </ns0:c>
      <ns0:c r="Q42" s="145" t="str">
        <ns0:v>普通盒容量4；广告周转不计入免费空盒</ns0:v>
      </ns0:c>
      <ns0:c r="R42" s="149" t="n">
        <ns0:f>E42*H42</ns0:f>
        <ns0:v>0</ns0:v>
      </ns0:c>
    </ns0:row>
    <ns0:row r="43" ht="21" customHeight="1">
      <ns0:c r="A43" s="150" t="n">
        <ns0:v>11</ns0:v>
      </ns0:c>
      <ns0:c r="B43" s="147" t="str">
        <ns0:v>开局</ns0:v>
      </ns0:c>
      <ns0:c r="C43" s="147" t="str">
        <ns0:v>WAVE-011-04</ns0:v>
      </ns0:c>
      <ns0:c r="D43" s="147" t="str">
        <ns0:v>普通盒</ns0:v>
      </ns0:c>
      <ns0:c r="E43" s="152" t="n">
        <ns0:v>1</ns0:v>
      </ns0:c>
      <ns0:c r="F43" s="152" t="n">
        <ns0:v>4</ns0:v>
      </ns0:c>
      <ns0:c r="G43" s="152" t="n">
        <ns0:v>0</ns0:v>
      </ns0:c>
      <ns0:c r="H43" s="152" t="n">
        <ns0:v>0</ns0:v>
      </ns0:c>
      <ns0:c r="I43" s="150" t="n">
        <ns0:f>E43*G43</ns0:f>
        <ns0:v>0</ns0:v>
      </ns0:c>
      <ns0:c r="J43" s="150" t="n">
        <ns0:f>E43*(F43-G43)</ns0:f>
        <ns0:v>4</ns0:v>
      </ns0:c>
      <ns0:c r="K43" s="150" t="n">
        <ns0:f>IF(AND(B43="开局",G43=0,OR(D43="普通盒",D43="单颗暂存盒")),J43,0)</ns0:f>
        <ns0:v>4</ns0:v>
      </ns0:c>
      <ns0:c r="L43" s="150" t="n">
        <ns0:f>IF(AND(B43="开局",G43&gt;0,OR(D43="普通盒",D43="底部置顶盒",D43="炸弹盒")),J43,0)</ns0:f>
        <ns0:v>0</ns0:v>
      </ns0:c>
      <ns0:c r="M43" s="150" t="n">
        <ns0:f>IF(AND(B43="开局",OR(D43="固定颜色盒",D43="单向收纳盒")),J43,0)</ns0:f>
        <ns0:v>0</ns0:v>
      </ns0:c>
      <ns0:c r="N43" s="150" t="n">
        <ns0:f>IF(AND(B43="开局",OR(D43="数字盖盒",D43="普通冰冻盒",D43="数字冰冻盒",D43="数字冰冻单颗暂存盒")),J43,0)</ns0:f>
        <ns0:v>0</ns0:v>
      </ns0:c>
      <ns0:c r="O43" s="147" t="str">
        <ns0:f>IF(AND(E43&gt;0,E43=INT(E43),G43&gt;=0,G43&lt;=F43,G43=INT(G43),OR(AND(F43=1,OR(D43="单颗暂存盒",D43="数字冰冻单颗暂存盒")),AND(F43=4,NOT(OR(D43="单颗暂存盒",D43="数字冰冻单颗暂存盒")))),IF(OR(D43="数字盖盒",D43="数字冰冻盒",D43="数字冰冻单颗暂存盒"),AND(H43&gt;=1,H43=INT(H43)),H43=0),IF(B43="开局",AND(IF(OR(D43="数字盖盒",D43="普通冰冻盒",D43="数字冰冻盒",D43="炸弹盒",D43="底部置顶盒"),OR(G43=3,G43=4),TRUE),IF(OR(D43="单向收纳盒",D43="单颗暂存盒",D43="数字冰冻单颗暂存盒"),OR(G43=0,G43=1),TRUE),IF(OR(D43="固定颜色盒",D43="广告锁定周转盒"),G43=0,TRUE)),TRUE)),"通过","需调整")</ns0:f>
        <ns0:v>通过</ns0:v>
      </ns0:c>
      <ns0:c r="P43" s="147" t="str">
        <ns0:v>确认方案装量</ns0:v>
      </ns0:c>
      <ns0:c r="Q43" s="147" t="str">
        <ns0:v>普通盒容量4；广告周转不计入免费空盒</ns0:v>
      </ns0:c>
      <ns0:c r="R43" s="150" t="n">
        <ns0:f>E43*H43</ns0:f>
        <ns0:v>0</ns0:v>
      </ns0:c>
    </ns0:row>
    <ns0:row r="44" ht="21" customHeight="1">
      <ns0:c r="A44" s="149" t="n">
        <ns0:v>11</ns0:v>
      </ns0:c>
      <ns0:c r="B44" s="145" t="str">
        <ns0:v>开局</ns0:v>
      </ns0:c>
      <ns0:c r="C44" s="145" t="str">
        <ns0:v>WAVE-011-05</ns0:v>
      </ns0:c>
      <ns0:c r="D44" s="145" t="str">
        <ns0:v>数字冰冻盒</ns0:v>
      </ns0:c>
      <ns0:c r="E44" s="152" t="n">
        <ns0:v>1</ns0:v>
      </ns0:c>
      <ns0:c r="F44" s="152" t="n">
        <ns0:v>4</ns0:v>
      </ns0:c>
      <ns0:c r="G44" s="152" t="n">
        <ns0:v>4</ns0:v>
      </ns0:c>
      <ns0:c r="H44" s="152" t="n">
        <ns0:v>1</ns0:v>
      </ns0:c>
      <ns0:c r="I44" s="149" t="n">
        <ns0:f>E44*G44</ns0:f>
        <ns0:v>4</ns0:v>
      </ns0:c>
      <ns0:c r="J44" s="149" t="n">
        <ns0:f>E44*(F44-G44)</ns0:f>
        <ns0:v>0</ns0:v>
      </ns0:c>
      <ns0:c r="K44" s="149" t="n">
        <ns0:f>IF(AND(B44="开局",G44=0,OR(D44="普通盒",D44="单颗暂存盒")),J44,0)</ns0:f>
        <ns0:v>0</ns0:v>
      </ns0:c>
      <ns0:c r="L44" s="149" t="n">
        <ns0:f>IF(AND(B44="开局",G44&gt;0,OR(D44="普通盒",D44="底部置顶盒",D44="炸弹盒")),J44,0)</ns0:f>
        <ns0:v>0</ns0:v>
      </ns0:c>
      <ns0:c r="M44" s="149" t="n">
        <ns0:f>IF(AND(B44="开局",OR(D44="固定颜色盒",D44="单向收纳盒")),J44,0)</ns0:f>
        <ns0:v>0</ns0:v>
      </ns0:c>
      <ns0:c r="N44" s="149" t="n">
        <ns0:f>IF(AND(B44="开局",OR(D44="数字盖盒",D44="普通冰冻盒",D44="数字冰冻盒",D44="数字冰冻单颗暂存盒")),J44,0)</ns0:f>
        <ns0:v>0</ns0:v>
      </ns0:c>
      <ns0:c r="O44" s="145" t="str">
        <ns0:f>IF(AND(E44&gt;0,E44=INT(E44),G44&gt;=0,G44&lt;=F44,G44=INT(G44),OR(AND(F44=1,OR(D44="单颗暂存盒",D44="数字冰冻单颗暂存盒")),AND(F44=4,NOT(OR(D44="单颗暂存盒",D44="数字冰冻单颗暂存盒")))),IF(OR(D44="数字盖盒",D44="数字冰冻盒",D44="数字冰冻单颗暂存盒"),AND(H44&gt;=1,H44=INT(H44)),H44=0),IF(B44="开局",AND(IF(OR(D44="数字盖盒",D44="普通冰冻盒",D44="数字冰冻盒",D44="炸弹盒",D44="底部置顶盒"),OR(G44=3,G44=4),TRUE),IF(OR(D44="单向收纳盒",D44="单颗暂存盒",D44="数字冰冻单颗暂存盒"),OR(G44=0,G44=1),TRUE),IF(OR(D44="固定颜色盒",D44="广告锁定周转盒"),G44=0,TRUE)),TRUE)),"通过","需调整")</ns0:f>
        <ns0:v>通过</ns0:v>
      </ns0:c>
      <ns0:c r="P44" s="145" t="str">
        <ns0:v>确认方案装量</ns0:v>
      </ns0:c>
      <ns0:c r="Q44" s="145" t="str">
        <ns0:v>普通盒容量4；广告周转不计入免费空盒</ns0:v>
      </ns0:c>
      <ns0:c r="R44" s="149" t="n">
        <ns0:f>E44*H44</ns0:f>
        <ns0:v>1</ns0:v>
      </ns0:c>
    </ns0:row>
    <ns0:row r="45" ht="21" customHeight="1">
      <ns0:c r="A45" s="150" t="n">
        <ns0:v>11</ns0:v>
      </ns0:c>
      <ns0:c r="B45" s="147" t="str">
        <ns0:v>开局</ns0:v>
      </ns0:c>
      <ns0:c r="C45" s="147" t="str">
        <ns0:v>WAVE-011-06</ns0:v>
      </ns0:c>
      <ns0:c r="D45" s="147" t="str">
        <ns0:v>广告锁定周转盒</ns0:v>
      </ns0:c>
      <ns0:c r="E45" s="152" t="n">
        <ns0:v>2</ns0:v>
      </ns0:c>
      <ns0:c r="F45" s="152" t="n">
        <ns0:v>4</ns0:v>
      </ns0:c>
      <ns0:c r="G45" s="152" t="n">
        <ns0:v>0</ns0:v>
      </ns0:c>
      <ns0:c r="H45" s="152" t="n">
        <ns0:v>0</ns0:v>
      </ns0:c>
      <ns0:c r="I45" s="150" t="n">
        <ns0:f>E45*G45</ns0:f>
        <ns0:v>0</ns0:v>
      </ns0:c>
      <ns0:c r="J45" s="150" t="n">
        <ns0:f>E45*(F45-G45)</ns0:f>
        <ns0:v>8</ns0:v>
      </ns0:c>
      <ns0:c r="K45" s="150" t="n">
        <ns0:f>IF(AND(B45="开局",G45=0,OR(D45="普通盒",D45="单颗暂存盒")),J45,0)</ns0:f>
        <ns0:v>0</ns0:v>
      </ns0:c>
      <ns0:c r="L45" s="150" t="n">
        <ns0:f>IF(AND(B45="开局",G45&gt;0,OR(D45="普通盒",D45="底部置顶盒",D45="炸弹盒")),J45,0)</ns0:f>
        <ns0:v>0</ns0:v>
      </ns0:c>
      <ns0:c r="M45" s="150" t="n">
        <ns0:f>IF(AND(B45="开局",OR(D45="固定颜色盒",D45="单向收纳盒")),J45,0)</ns0:f>
        <ns0:v>0</ns0:v>
      </ns0:c>
      <ns0:c r="N45" s="150" t="n">
        <ns0:f>IF(AND(B45="开局",OR(D45="数字盖盒",D45="普通冰冻盒",D45="数字冰冻盒",D45="数字冰冻单颗暂存盒")),J45,0)</ns0:f>
        <ns0:v>0</ns0:v>
      </ns0:c>
      <ns0:c r="O45" s="147" t="str">
        <ns0:f>IF(AND(E45&gt;0,E45=INT(E45),G45&gt;=0,G45&lt;=F45,G45=INT(G45),OR(AND(F45=1,OR(D45="单颗暂存盒",D45="数字冰冻单颗暂存盒")),AND(F45=4,NOT(OR(D45="单颗暂存盒",D45="数字冰冻单颗暂存盒")))),IF(OR(D45="数字盖盒",D45="数字冰冻盒",D45="数字冰冻单颗暂存盒"),AND(H45&gt;=1,H45=INT(H45)),H45=0),IF(B45="开局",AND(IF(OR(D45="数字盖盒",D45="普通冰冻盒",D45="数字冰冻盒",D45="炸弹盒",D45="底部置顶盒"),OR(G45=3,G45=4),TRUE),IF(OR(D45="单向收纳盒",D45="单颗暂存盒",D45="数字冰冻单颗暂存盒"),OR(G45=0,G45=1),TRUE),IF(OR(D45="固定颜色盒",D45="广告锁定周转盒"),G45=0,TRUE)),TRUE)),"通过","需调整")</ns0:f>
        <ns0:v>通过</ns0:v>
      </ns0:c>
      <ns0:c r="P45" s="147" t="str">
        <ns0:v>确认方案装量</ns0:v>
      </ns0:c>
      <ns0:c r="Q45" s="147" t="str">
        <ns0:v>普通盒容量4；广告周转不计入免费空盒</ns0:v>
      </ns0:c>
      <ns0:c r="R45" s="150" t="n">
        <ns0:f>E45*H45</ns0:f>
        <ns0:v>0</ns0:v>
      </ns0:c>
    </ns0:row>
    <ns0:row r="46" ht="21" customHeight="1">
      <ns0:c r="A46" s="149" t="n">
        <ns0:v>12</ns0:v>
      </ns0:c>
      <ns0:c r="B46" s="145" t="str">
        <ns0:v>开局</ns0:v>
      </ns0:c>
      <ns0:c r="C46" s="145" t="str">
        <ns0:v>WAVE-012-01</ns0:v>
      </ns0:c>
      <ns0:c r="D46" s="145" t="str">
        <ns0:v>普通盒</ns0:v>
      </ns0:c>
      <ns0:c r="E46" s="152" t="n">
        <ns0:v>13</ns0:v>
      </ns0:c>
      <ns0:c r="F46" s="152" t="n">
        <ns0:v>4</ns0:v>
      </ns0:c>
      <ns0:c r="G46" s="152" t="n">
        <ns0:v>4</ns0:v>
      </ns0:c>
      <ns0:c r="H46" s="152" t="n">
        <ns0:v>0</ns0:v>
      </ns0:c>
      <ns0:c r="I46" s="149" t="n">
        <ns0:f>E46*G46</ns0:f>
        <ns0:v>52</ns0:v>
      </ns0:c>
      <ns0:c r="J46" s="149" t="n">
        <ns0:f>E46*(F46-G46)</ns0:f>
        <ns0:v>0</ns0:v>
      </ns0:c>
      <ns0:c r="K46" s="149" t="n">
        <ns0:f>IF(AND(B46="开局",G46=0,OR(D46="普通盒",D46="单颗暂存盒")),J46,0)</ns0:f>
        <ns0:v>0</ns0:v>
      </ns0:c>
      <ns0:c r="L46" s="149" t="n">
        <ns0:f>IF(AND(B46="开局",G46&gt;0,OR(D46="普通盒",D46="底部置顶盒",D46="炸弹盒")),J46,0)</ns0:f>
        <ns0:v>0</ns0:v>
      </ns0:c>
      <ns0:c r="M46" s="149" t="n">
        <ns0:f>IF(AND(B46="开局",OR(D46="固定颜色盒",D46="单向收纳盒")),J46,0)</ns0:f>
        <ns0:v>0</ns0:v>
      </ns0:c>
      <ns0:c r="N46" s="149" t="n">
        <ns0:f>IF(AND(B46="开局",OR(D46="数字盖盒",D46="普通冰冻盒",D46="数字冰冻盒",D46="数字冰冻单颗暂存盒")),J46,0)</ns0:f>
        <ns0:v>0</ns0:v>
      </ns0:c>
      <ns0:c r="O46" s="145" t="str">
        <ns0:f>IF(AND(E46&gt;0,E46=INT(E46),G46&gt;=0,G46&lt;=F46,G46=INT(G46),OR(AND(F46=1,OR(D46="单颗暂存盒",D46="数字冰冻单颗暂存盒")),AND(F46=4,NOT(OR(D46="单颗暂存盒",D46="数字冰冻单颗暂存盒")))),IF(OR(D46="数字盖盒",D46="数字冰冻盒",D46="数字冰冻单颗暂存盒"),AND(H46&gt;=1,H46=INT(H46)),H46=0),IF(B46="开局",AND(IF(OR(D46="数字盖盒",D46="普通冰冻盒",D46="数字冰冻盒",D46="炸弹盒",D46="底部置顶盒"),OR(G46=3,G46=4),TRUE),IF(OR(D46="单向收纳盒",D46="单颗暂存盒",D46="数字冰冻单颗暂存盒"),OR(G46=0,G46=1),TRUE),IF(OR(D46="固定颜色盒",D46="广告锁定周转盒"),G46=0,TRUE)),TRUE)),"通过","需调整")</ns0:f>
        <ns0:v>通过</ns0:v>
      </ns0:c>
      <ns0:c r="P46" s="145" t="str">
        <ns0:v>确认方案装量</ns0:v>
      </ns0:c>
      <ns0:c r="Q46" s="145" t="str">
        <ns0:v>层序JSON:{"reference":"2026-10-04 用户确认11—20关难度表；2026-10-05制作；层序自顶向下","slots":[{"group_id":"WAVE-012-01","layers":[8,2,6,3]},{"group_id":"WAVE-012-01","layers":[5,0,4,4]},{"group_id":"WAVE-012-01","layers":[8,5,3,2]},{"group_id":"WAVE-012-01","layers":[3,8,5,0]},{"group_id":"WAVE-012-01","layers":[2,6,2,4]},{"group_id":"WAVE-012-02","layers":[2,0]},{"group_id":"WAVE-012-01","layers":[8,0,4,6]},{"group_id":"WAVE-012-04","layers":[3,5,6,8]},{"group_id":"WAVE-012-01","layers":[4,5,6,4]},{"group_id":"WAVE-012-01","layers":[3,5,6,0]},{"group_id":"WAVE-012-01","layers":[0,6,0,5]},{"group_id":"WAVE-012-01","layers":[0,6,0,5]},{"group_id":"WAVE-012-01","layers":[3,8,2,3]},{"group_id":"WAVE-012-01","layers":[3,4,0,8]},{"group_id":"WAVE-012-01","layers":[8,0,4,2]},{"group_id":"WAVE-012-02","layers":[0,2]},{"group_id":"WAVE-012-03","layers":[]},{"group_id":"WAVE-012-03","layers":[]}],"stock":[],"demand_sequences":[[3,0,8,2,5,4,0,6],[4,5,0,2,8,3,6]]}</ns0:v>
      </ns0:c>
      <ns0:c r="R46" s="149" t="n">
        <ns0:f>E46*H46</ns0:f>
        <ns0:v>0</ns0:v>
      </ns0:c>
    </ns0:row>
    <ns0:row r="47" ht="21" customHeight="1">
      <ns0:c r="A47" s="150" t="n">
        <ns0:v>12</ns0:v>
      </ns0:c>
      <ns0:c r="B47" s="147" t="str">
        <ns0:v>开局</ns0:v>
      </ns0:c>
      <ns0:c r="C47" s="147" t="str">
        <ns0:v>WAVE-012-02</ns0:v>
      </ns0:c>
      <ns0:c r="D47" s="147" t="str">
        <ns0:v>普通盒</ns0:v>
      </ns0:c>
      <ns0:c r="E47" s="152" t="n">
        <ns0:v>2</ns0:v>
      </ns0:c>
      <ns0:c r="F47" s="152" t="n">
        <ns0:v>4</ns0:v>
      </ns0:c>
      <ns0:c r="G47" s="152" t="n">
        <ns0:v>2</ns0:v>
      </ns0:c>
      <ns0:c r="H47" s="152" t="n">
        <ns0:v>0</ns0:v>
      </ns0:c>
      <ns0:c r="I47" s="150" t="n">
        <ns0:f>E47*G47</ns0:f>
        <ns0:v>4</ns0:v>
      </ns0:c>
      <ns0:c r="J47" s="150" t="n">
        <ns0:f>E47*(F47-G47)</ns0:f>
        <ns0:v>4</ns0:v>
      </ns0:c>
      <ns0:c r="K47" s="150" t="n">
        <ns0:f>IF(AND(B47="开局",G47=0,OR(D47="普通盒",D47="单颗暂存盒")),J47,0)</ns0:f>
        <ns0:v>0</ns0:v>
      </ns0:c>
      <ns0:c r="L47" s="150" t="n">
        <ns0:f>IF(AND(B47="开局",G47&gt;0,OR(D47="普通盒",D47="底部置顶盒",D47="炸弹盒")),J47,0)</ns0:f>
        <ns0:v>4</ns0:v>
      </ns0:c>
      <ns0:c r="M47" s="150" t="n">
        <ns0:f>IF(AND(B47="开局",OR(D47="固定颜色盒",D47="单向收纳盒")),J47,0)</ns0:f>
        <ns0:v>0</ns0:v>
      </ns0:c>
      <ns0:c r="N47" s="150" t="n">
        <ns0:f>IF(AND(B47="开局",OR(D47="数字盖盒",D47="普通冰冻盒",D47="数字冰冻盒",D47="数字冰冻单颗暂存盒")),J47,0)</ns0:f>
        <ns0:v>0</ns0:v>
      </ns0:c>
      <ns0:c r="O47" s="147" t="str">
        <ns0:f>IF(AND(E47&gt;0,E47=INT(E47),G47&gt;=0,G47&lt;=F47,G47=INT(G47),OR(AND(F47=1,OR(D47="单颗暂存盒",D47="数字冰冻单颗暂存盒")),AND(F47=4,NOT(OR(D47="单颗暂存盒",D47="数字冰冻单颗暂存盒")))),IF(OR(D47="数字盖盒",D47="数字冰冻盒",D47="数字冰冻单颗暂存盒"),AND(H47&gt;=1,H47=INT(H47)),H47=0),IF(B47="开局",AND(IF(OR(D47="数字盖盒",D47="普通冰冻盒",D47="数字冰冻盒",D47="炸弹盒",D47="底部置顶盒"),OR(G47=3,G47=4),TRUE),IF(OR(D47="单向收纳盒",D47="单颗暂存盒",D47="数字冰冻单颗暂存盒"),OR(G47=0,G47=1),TRUE),IF(OR(D47="固定颜色盒",D47="广告锁定周转盒"),G47=0,TRUE)),TRUE)),"通过","需调整")</ns0:f>
        <ns0:v>通过</ns0:v>
      </ns0:c>
      <ns0:c r="P47" s="147" t="str">
        <ns0:v>确认方案装量</ns0:v>
      </ns0:c>
      <ns0:c r="Q47" s="147" t="str">
        <ns0:v>普通盒容量4；广告周转不计入免费空盒</ns0:v>
      </ns0:c>
      <ns0:c r="R47" s="150" t="n">
        <ns0:f>E47*H47</ns0:f>
        <ns0:v>0</ns0:v>
      </ns0:c>
    </ns0:row>
    <ns0:row r="48" ht="21" customHeight="1">
      <ns0:c r="A48" s="149" t="n">
        <ns0:v>12</ns0:v>
      </ns0:c>
      <ns0:c r="B48" s="145" t="str">
        <ns0:v>开局</ns0:v>
      </ns0:c>
      <ns0:c r="C48" s="145" t="str">
        <ns0:v>WAVE-012-03</ns0:v>
      </ns0:c>
      <ns0:c r="D48" s="145" t="str">
        <ns0:v>普通盒</ns0:v>
      </ns0:c>
      <ns0:c r="E48" s="152" t="n">
        <ns0:v>2</ns0:v>
      </ns0:c>
      <ns0:c r="F48" s="152" t="n">
        <ns0:v>4</ns0:v>
      </ns0:c>
      <ns0:c r="G48" s="152" t="n">
        <ns0:v>0</ns0:v>
      </ns0:c>
      <ns0:c r="H48" s="152" t="n">
        <ns0:v>0</ns0:v>
      </ns0:c>
      <ns0:c r="I48" s="149" t="n">
        <ns0:f>E48*G48</ns0:f>
        <ns0:v>0</ns0:v>
      </ns0:c>
      <ns0:c r="J48" s="149" t="n">
        <ns0:f>E48*(F48-G48)</ns0:f>
        <ns0:v>8</ns0:v>
      </ns0:c>
      <ns0:c r="K48" s="149" t="n">
        <ns0:f>IF(AND(B48="开局",G48=0,OR(D48="普通盒",D48="单颗暂存盒")),J48,0)</ns0:f>
        <ns0:v>8</ns0:v>
      </ns0:c>
      <ns0:c r="L48" s="149" t="n">
        <ns0:f>IF(AND(B48="开局",G48&gt;0,OR(D48="普通盒",D48="底部置顶盒",D48="炸弹盒")),J48,0)</ns0:f>
        <ns0:v>0</ns0:v>
      </ns0:c>
      <ns0:c r="M48" s="149" t="n">
        <ns0:f>IF(AND(B48="开局",OR(D48="固定颜色盒",D48="单向收纳盒")),J48,0)</ns0:f>
        <ns0:v>0</ns0:v>
      </ns0:c>
      <ns0:c r="N48" s="149" t="n">
        <ns0:f>IF(AND(B48="开局",OR(D48="数字盖盒",D48="普通冰冻盒",D48="数字冰冻盒",D48="数字冰冻单颗暂存盒")),J48,0)</ns0:f>
        <ns0:v>0</ns0:v>
      </ns0:c>
      <ns0:c r="O48" s="145" t="str">
        <ns0:f>IF(AND(E48&gt;0,E48=INT(E48),G48&gt;=0,G48&lt;=F48,G48=INT(G48),OR(AND(F48=1,OR(D48="单颗暂存盒",D48="数字冰冻单颗暂存盒")),AND(F48=4,NOT(OR(D48="单颗暂存盒",D48="数字冰冻单颗暂存盒")))),IF(OR(D48="数字盖盒",D48="数字冰冻盒",D48="数字冰冻单颗暂存盒"),AND(H48&gt;=1,H48=INT(H48)),H48=0),IF(B48="开局",AND(IF(OR(D48="数字盖盒",D48="普通冰冻盒",D48="数字冰冻盒",D48="炸弹盒",D48="底部置顶盒"),OR(G48=3,G48=4),TRUE),IF(OR(D48="单向收纳盒",D48="单颗暂存盒",D48="数字冰冻单颗暂存盒"),OR(G48=0,G48=1),TRUE),IF(OR(D48="固定颜色盒",D48="广告锁定周转盒"),G48=0,TRUE)),TRUE)),"通过","需调整")</ns0:f>
        <ns0:v>通过</ns0:v>
      </ns0:c>
      <ns0:c r="P48" s="145" t="str">
        <ns0:v>确认方案装量</ns0:v>
      </ns0:c>
      <ns0:c r="Q48" s="145" t="str">
        <ns0:v>普通盒容量4；广告周转不计入免费空盒</ns0:v>
      </ns0:c>
      <ns0:c r="R48" s="149" t="n">
        <ns0:f>E48*H48</ns0:f>
        <ns0:v>0</ns0:v>
      </ns0:c>
    </ns0:row>
    <ns0:row r="49" ht="21" customHeight="1">
      <ns0:c r="A49" s="150" t="n">
        <ns0:v>12</ns0:v>
      </ns0:c>
      <ns0:c r="B49" s="147" t="str">
        <ns0:v>开局</ns0:v>
      </ns0:c>
      <ns0:c r="C49" s="147" t="str">
        <ns0:v>WAVE-012-04</ns0:v>
      </ns0:c>
      <ns0:c r="D49" s="147" t="str">
        <ns0:v>数字盖盒</ns0:v>
      </ns0:c>
      <ns0:c r="E49" s="152" t="n">
        <ns0:v>1</ns0:v>
      </ns0:c>
      <ns0:c r="F49" s="152" t="n">
        <ns0:v>4</ns0:v>
      </ns0:c>
      <ns0:c r="G49" s="152" t="n">
        <ns0:v>4</ns0:v>
      </ns0:c>
      <ns0:c r="H49" s="152" t="n">
        <ns0:v>1</ns0:v>
      </ns0:c>
      <ns0:c r="I49" s="150" t="n">
        <ns0:f>E49*G49</ns0:f>
        <ns0:v>4</ns0:v>
      </ns0:c>
      <ns0:c r="J49" s="150" t="n">
        <ns0:f>E49*(F49-G49)</ns0:f>
        <ns0:v>0</ns0:v>
      </ns0:c>
      <ns0:c r="K49" s="150" t="n">
        <ns0:f>IF(AND(B49="开局",G49=0,OR(D49="普通盒",D49="单颗暂存盒")),J49,0)</ns0:f>
        <ns0:v>0</ns0:v>
      </ns0:c>
      <ns0:c r="L49" s="150" t="n">
        <ns0:f>IF(AND(B49="开局",G49&gt;0,OR(D49="普通盒",D49="底部置顶盒",D49="炸弹盒")),J49,0)</ns0:f>
        <ns0:v>0</ns0:v>
      </ns0:c>
      <ns0:c r="M49" s="150" t="n">
        <ns0:f>IF(AND(B49="开局",OR(D49="固定颜色盒",D49="单向收纳盒")),J49,0)</ns0:f>
        <ns0:v>0</ns0:v>
      </ns0:c>
      <ns0:c r="N49" s="150" t="n">
        <ns0:f>IF(AND(B49="开局",OR(D49="数字盖盒",D49="普通冰冻盒",D49="数字冰冻盒",D49="数字冰冻单颗暂存盒")),J49,0)</ns0:f>
        <ns0:v>0</ns0:v>
      </ns0:c>
      <ns0:c r="O49" s="147" t="str">
        <ns0:f>IF(AND(E49&gt;0,E49=INT(E49),G49&gt;=0,G49&lt;=F49,G49=INT(G49),OR(AND(F49=1,OR(D49="单颗暂存盒",D49="数字冰冻单颗暂存盒")),AND(F49=4,NOT(OR(D49="单颗暂存盒",D49="数字冰冻单颗暂存盒")))),IF(OR(D49="数字盖盒",D49="数字冰冻盒",D49="数字冰冻单颗暂存盒"),AND(H49&gt;=1,H49=INT(H49)),H49=0),IF(B49="开局",AND(IF(OR(D49="数字盖盒",D49="普通冰冻盒",D49="数字冰冻盒",D49="炸弹盒",D49="底部置顶盒"),OR(G49=3,G49=4),TRUE),IF(OR(D49="单向收纳盒",D49="单颗暂存盒",D49="数字冰冻单颗暂存盒"),OR(G49=0,G49=1),TRUE),IF(OR(D49="固定颜色盒",D49="广告锁定周转盒"),G49=0,TRUE)),TRUE)),"通过","需调整")</ns0:f>
        <ns0:v>通过</ns0:v>
      </ns0:c>
      <ns0:c r="P49" s="147" t="str">
        <ns0:v>确认方案装量</ns0:v>
      </ns0:c>
      <ns0:c r="Q49" s="147" t="str">
        <ns0:v>普通盒容量4；广告周转不计入免费空盒</ns0:v>
      </ns0:c>
      <ns0:c r="R49" s="150" t="n">
        <ns0:f>E49*H49</ns0:f>
        <ns0:v>1</ns0:v>
      </ns0:c>
    </ns0:row>
    <ns0:row r="50" ht="21" customHeight="1">
      <ns0:c r="A50" s="149" t="n">
        <ns0:v>12</ns0:v>
      </ns0:c>
      <ns0:c r="B50" s="145" t="str">
        <ns0:v>开局</ns0:v>
      </ns0:c>
      <ns0:c r="C50" s="145" t="str">
        <ns0:v>WAVE-012-05</ns0:v>
      </ns0:c>
      <ns0:c r="D50" s="145" t="str">
        <ns0:v>广告锁定周转盒</ns0:v>
      </ns0:c>
      <ns0:c r="E50" s="152" t="n">
        <ns0:v>2</ns0:v>
      </ns0:c>
      <ns0:c r="F50" s="152" t="n">
        <ns0:v>4</ns0:v>
      </ns0:c>
      <ns0:c r="G50" s="152" t="n">
        <ns0:v>0</ns0:v>
      </ns0:c>
      <ns0:c r="H50" s="152" t="n">
        <ns0:v>0</ns0:v>
      </ns0:c>
      <ns0:c r="I50" s="149" t="n">
        <ns0:f>E50*G50</ns0:f>
        <ns0:v>0</ns0:v>
      </ns0:c>
      <ns0:c r="J50" s="149" t="n">
        <ns0:f>E50*(F50-G50)</ns0:f>
        <ns0:v>8</ns0:v>
      </ns0:c>
      <ns0:c r="K50" s="149" t="n">
        <ns0:f>IF(AND(B50="开局",G50=0,OR(D50="普通盒",D50="单颗暂存盒")),J50,0)</ns0:f>
        <ns0:v>0</ns0:v>
      </ns0:c>
      <ns0:c r="L50" s="149" t="n">
        <ns0:f>IF(AND(B50="开局",G50&gt;0,OR(D50="普通盒",D50="底部置顶盒",D50="炸弹盒")),J50,0)</ns0:f>
        <ns0:v>0</ns0:v>
      </ns0:c>
      <ns0:c r="M50" s="149" t="n">
        <ns0:f>IF(AND(B50="开局",OR(D50="固定颜色盒",D50="单向收纳盒")),J50,0)</ns0:f>
        <ns0:v>0</ns0:v>
      </ns0:c>
      <ns0:c r="N50" s="149" t="n">
        <ns0:f>IF(AND(B50="开局",OR(D50="数字盖盒",D50="普通冰冻盒",D50="数字冰冻盒",D50="数字冰冻单颗暂存盒")),J50,0)</ns0:f>
        <ns0:v>0</ns0:v>
      </ns0:c>
      <ns0:c r="O50" s="145" t="str">
        <ns0:f>IF(AND(E50&gt;0,E50=INT(E50),G50&gt;=0,G50&lt;=F50,G50=INT(G50),OR(AND(F50=1,OR(D50="单颗暂存盒",D50="数字冰冻单颗暂存盒")),AND(F50=4,NOT(OR(D50="单颗暂存盒",D50="数字冰冻单颗暂存盒")))),IF(OR(D50="数字盖盒",D50="数字冰冻盒",D50="数字冰冻单颗暂存盒"),AND(H50&gt;=1,H50=INT(H50)),H50=0),IF(B50="开局",AND(IF(OR(D50="数字盖盒",D50="普通冰冻盒",D50="数字冰冻盒",D50="炸弹盒",D50="底部置顶盒"),OR(G50=3,G50=4),TRUE),IF(OR(D50="单向收纳盒",D50="单颗暂存盒",D50="数字冰冻单颗暂存盒"),OR(G50=0,G50=1),TRUE),IF(OR(D50="固定颜色盒",D50="广告锁定周转盒"),G50=0,TRUE)),TRUE)),"通过","需调整")</ns0:f>
        <ns0:v>通过</ns0:v>
      </ns0:c>
      <ns0:c r="P50" s="145" t="str">
        <ns0:v>确认方案装量</ns0:v>
      </ns0:c>
      <ns0:c r="Q50" s="145" t="str">
        <ns0:v>普通盒容量4；广告周转不计入免费空盒</ns0:v>
      </ns0:c>
      <ns0:c r="R50" s="149" t="n">
        <ns0:f>E50*H50</ns0:f>
        <ns0:v>0</ns0:v>
      </ns0:c>
    </ns0:row>
    <ns0:row r="51" ht="21" customHeight="1">
      <ns0:c r="A51" s="150" t="n">
        <ns0:v>13</ns0:v>
      </ns0:c>
      <ns0:c r="B51" s="147" t="str">
        <ns0:v>开局</ns0:v>
      </ns0:c>
      <ns0:c r="C51" s="147" t="str">
        <ns0:v>WAVE-013-01</ns0:v>
      </ns0:c>
      <ns0:c r="D51" s="147" t="str">
        <ns0:v>普通盒</ns0:v>
      </ns0:c>
      <ns0:c r="E51" s="152" t="n">
        <ns0:v>12</ns0:v>
      </ns0:c>
      <ns0:c r="F51" s="152" t="n">
        <ns0:v>4</ns0:v>
      </ns0:c>
      <ns0:c r="G51" s="152" t="n">
        <ns0:v>4</ns0:v>
      </ns0:c>
      <ns0:c r="H51" s="152" t="n">
        <ns0:v>0</ns0:v>
      </ns0:c>
      <ns0:c r="I51" s="150" t="n">
        <ns0:f>E51*G51</ns0:f>
        <ns0:v>48</ns0:v>
      </ns0:c>
      <ns0:c r="J51" s="150" t="n">
        <ns0:f>E51*(F51-G51)</ns0:f>
        <ns0:v>0</ns0:v>
      </ns0:c>
      <ns0:c r="K51" s="150" t="n">
        <ns0:f>IF(AND(B51="开局",G51=0,OR(D51="普通盒",D51="单颗暂存盒")),J51,0)</ns0:f>
        <ns0:v>0</ns0:v>
      </ns0:c>
      <ns0:c r="L51" s="150" t="n">
        <ns0:f>IF(AND(B51="开局",G51&gt;0,OR(D51="普通盒",D51="底部置顶盒",D51="炸弹盒")),J51,0)</ns0:f>
        <ns0:v>0</ns0:v>
      </ns0:c>
      <ns0:c r="M51" s="150" t="n">
        <ns0:f>IF(AND(B51="开局",OR(D51="固定颜色盒",D51="单向收纳盒")),J51,0)</ns0:f>
        <ns0:v>0</ns0:v>
      </ns0:c>
      <ns0:c r="N51" s="150" t="n">
        <ns0:f>IF(AND(B51="开局",OR(D51="数字盖盒",D51="普通冰冻盒",D51="数字冰冻盒",D51="数字冰冻单颗暂存盒")),J51,0)</ns0:f>
        <ns0:v>0</ns0:v>
      </ns0:c>
      <ns0:c r="O51" s="147" t="str">
        <ns0:f>IF(AND(E51&gt;0,E51=INT(E51),G51&gt;=0,G51&lt;=F51,G51=INT(G51),OR(AND(F51=1,OR(D51="单颗暂存盒",D51="数字冰冻单颗暂存盒")),AND(F51=4,NOT(OR(D51="单颗暂存盒",D51="数字冰冻单颗暂存盒")))),IF(OR(D51="数字盖盒",D51="数字冰冻盒",D51="数字冰冻单颗暂存盒"),AND(H51&gt;=1,H51=INT(H51)),H51=0),IF(B51="开局",AND(IF(OR(D51="数字盖盒",D51="普通冰冻盒",D51="数字冰冻盒",D51="炸弹盒",D51="底部置顶盒"),OR(G51=3,G51=4),TRUE),IF(OR(D51="单向收纳盒",D51="单颗暂存盒",D51="数字冰冻单颗暂存盒"),OR(G51=0,G51=1),TRUE),IF(OR(D51="固定颜色盒",D51="广告锁定周转盒"),G51=0,TRUE)),TRUE)),"通过","需调整")</ns0:f>
        <ns0:v>通过</ns0:v>
      </ns0:c>
      <ns0:c r="P51" s="147" t="str">
        <ns0:v>确认方案装量</ns0:v>
      </ns0:c>
      <ns0:c r="Q51" s="147" t="str">
        <ns0:v>层序JSON:{"reference":"2026-10-04 用户确认11—20关难度表；2026-10-05制作；层序自顶向下","slots":[{"group_id":"WAVE-013-01","layers":[2,0,4,8]},{"group_id":"WAVE-013-01","layers":[0,5,6,3]},{"group_id":"WAVE-013-01","layers":[6,12,12,0]},{"group_id":"WAVE-013-05","layers":[2,0,2,6]},{"group_id":"WAVE-013-01","layers":[2,12,3,3]},{"group_id":"WAVE-013-01","layers":[5,3,2,5]},{"group_id":"WAVE-013-01","layers":[8,12,4,8]},{"group_id":"WAVE-013-01","layers":[2,5,6,2]},{"group_id":"WAVE-013-01","layers":[3,2,2,5]},{"group_id":"WAVE-013-01","layers":[0,4,8,4]},{"group_id":"WAVE-013-02","layers":[0,5,12]},{"group_id":"WAVE-013-01","layers":[3,4,6,8]},{"group_id":"WAVE-013-02","layers":[12,2,12]},{"group_id":"WAVE-013-01","layers":[5,2,0,8]},{"group_id":"WAVE-013-04","layers":[5,4,4,6]},{"group_id":"WAVE-013-02","layers":[8,8,6]},{"group_id":"WAVE-013-02","layers":[6,12,3]},{"group_id":"WAVE-013-01","layers":[2,3,0,4]},{"group_id":"WAVE-013-03","layers":[]}],"stock":[],"demand_sequences":[[12,5,12,5,2,4,2,6,6],[8,3,4,0,2,8,3,0]]}</ns0:v>
      </ns0:c>
      <ns0:c r="R51" s="150" t="n">
        <ns0:f>E51*H51</ns0:f>
        <ns0:v>0</ns0:v>
      </ns0:c>
    </ns0:row>
    <ns0:row r="52" ht="21" customHeight="1">
      <ns0:c r="A52" s="149" t="n">
        <ns0:v>13</ns0:v>
      </ns0:c>
      <ns0:c r="B52" s="145" t="str">
        <ns0:v>开局</ns0:v>
      </ns0:c>
      <ns0:c r="C52" s="145" t="str">
        <ns0:v>WAVE-013-02</ns0:v>
      </ns0:c>
      <ns0:c r="D52" s="145" t="str">
        <ns0:v>普通盒</ns0:v>
      </ns0:c>
      <ns0:c r="E52" s="152" t="n">
        <ns0:v>4</ns0:v>
      </ns0:c>
      <ns0:c r="F52" s="152" t="n">
        <ns0:v>4</ns0:v>
      </ns0:c>
      <ns0:c r="G52" s="152" t="n">
        <ns0:v>3</ns0:v>
      </ns0:c>
      <ns0:c r="H52" s="152" t="n">
        <ns0:v>0</ns0:v>
      </ns0:c>
      <ns0:c r="I52" s="149" t="n">
        <ns0:f>E52*G52</ns0:f>
        <ns0:v>12</ns0:v>
      </ns0:c>
      <ns0:c r="J52" s="149" t="n">
        <ns0:f>E52*(F52-G52)</ns0:f>
        <ns0:v>4</ns0:v>
      </ns0:c>
      <ns0:c r="K52" s="149" t="n">
        <ns0:f>IF(AND(B52="开局",G52=0,OR(D52="普通盒",D52="单颗暂存盒")),J52,0)</ns0:f>
        <ns0:v>0</ns0:v>
      </ns0:c>
      <ns0:c r="L52" s="149" t="n">
        <ns0:f>IF(AND(B52="开局",G52&gt;0,OR(D52="普通盒",D52="底部置顶盒",D52="炸弹盒")),J52,0)</ns0:f>
        <ns0:v>4</ns0:v>
      </ns0:c>
      <ns0:c r="M52" s="149" t="n">
        <ns0:f>IF(AND(B52="开局",OR(D52="固定颜色盒",D52="单向收纳盒")),J52,0)</ns0:f>
        <ns0:v>0</ns0:v>
      </ns0:c>
      <ns0:c r="N52" s="149" t="n">
        <ns0:f>IF(AND(B52="开局",OR(D52="数字盖盒",D52="普通冰冻盒",D52="数字冰冻盒",D52="数字冰冻单颗暂存盒")),J52,0)</ns0:f>
        <ns0:v>0</ns0:v>
      </ns0:c>
      <ns0:c r="O52" s="145" t="str">
        <ns0:f>IF(AND(E52&gt;0,E52=INT(E52),G52&gt;=0,G52&lt;=F52,G52=INT(G52),OR(AND(F52=1,OR(D52="单颗暂存盒",D52="数字冰冻单颗暂存盒")),AND(F52=4,NOT(OR(D52="单颗暂存盒",D52="数字冰冻单颗暂存盒")))),IF(OR(D52="数字盖盒",D52="数字冰冻盒",D52="数字冰冻单颗暂存盒"),AND(H52&gt;=1,H52=INT(H52)),H52=0),IF(B52="开局",AND(IF(OR(D52="数字盖盒",D52="普通冰冻盒",D52="数字冰冻盒",D52="炸弹盒",D52="底部置顶盒"),OR(G52=3,G52=4),TRUE),IF(OR(D52="单向收纳盒",D52="单颗暂存盒",D52="数字冰冻单颗暂存盒"),OR(G52=0,G52=1),TRUE),IF(OR(D52="固定颜色盒",D52="广告锁定周转盒"),G52=0,TRUE)),TRUE)),"通过","需调整")</ns0:f>
        <ns0:v>通过</ns0:v>
      </ns0:c>
      <ns0:c r="P52" s="145" t="str">
        <ns0:v>确认方案装量</ns0:v>
      </ns0:c>
      <ns0:c r="Q52" s="145" t="str">
        <ns0:v>普通盒容量4；广告周转不计入免费空盒</ns0:v>
      </ns0:c>
      <ns0:c r="R52" s="149" t="n">
        <ns0:f>E52*H52</ns0:f>
        <ns0:v>0</ns0:v>
      </ns0:c>
    </ns0:row>
    <ns0:row r="53" ht="21" customHeight="1">
      <ns0:c r="A53" s="150" t="n">
        <ns0:v>13</ns0:v>
      </ns0:c>
      <ns0:c r="B53" s="147" t="str">
        <ns0:v>开局</ns0:v>
      </ns0:c>
      <ns0:c r="C53" s="147" t="str">
        <ns0:v>WAVE-013-03</ns0:v>
      </ns0:c>
      <ns0:c r="D53" s="147" t="str">
        <ns0:v>普通盒</ns0:v>
      </ns0:c>
      <ns0:c r="E53" s="152" t="n">
        <ns0:v>1</ns0:v>
      </ns0:c>
      <ns0:c r="F53" s="152" t="n">
        <ns0:v>4</ns0:v>
      </ns0:c>
      <ns0:c r="G53" s="152" t="n">
        <ns0:v>0</ns0:v>
      </ns0:c>
      <ns0:c r="H53" s="152" t="n">
        <ns0:v>0</ns0:v>
      </ns0:c>
      <ns0:c r="I53" s="150" t="n">
        <ns0:f>E53*G53</ns0:f>
        <ns0:v>0</ns0:v>
      </ns0:c>
      <ns0:c r="J53" s="150" t="n">
        <ns0:f>E53*(F53-G53)</ns0:f>
        <ns0:v>4</ns0:v>
      </ns0:c>
      <ns0:c r="K53" s="150" t="n">
        <ns0:f>IF(AND(B53="开局",G53=0,OR(D53="普通盒",D53="单颗暂存盒")),J53,0)</ns0:f>
        <ns0:v>4</ns0:v>
      </ns0:c>
      <ns0:c r="L53" s="150" t="n">
        <ns0:f>IF(AND(B53="开局",G53&gt;0,OR(D53="普通盒",D53="底部置顶盒",D53="炸弹盒")),J53,0)</ns0:f>
        <ns0:v>0</ns0:v>
      </ns0:c>
      <ns0:c r="M53" s="150" t="n">
        <ns0:f>IF(AND(B53="开局",OR(D53="固定颜色盒",D53="单向收纳盒")),J53,0)</ns0:f>
        <ns0:v>0</ns0:v>
      </ns0:c>
      <ns0:c r="N53" s="150" t="n">
        <ns0:f>IF(AND(B53="开局",OR(D53="数字盖盒",D53="普通冰冻盒",D53="数字冰冻盒",D53="数字冰冻单颗暂存盒")),J53,0)</ns0:f>
        <ns0:v>0</ns0:v>
      </ns0:c>
      <ns0:c r="O53" s="147" t="str">
        <ns0:f>IF(AND(E53&gt;0,E53=INT(E53),G53&gt;=0,G53&lt;=F53,G53=INT(G53),OR(AND(F53=1,OR(D53="单颗暂存盒",D53="数字冰冻单颗暂存盒")),AND(F53=4,NOT(OR(D53="单颗暂存盒",D53="数字冰冻单颗暂存盒")))),IF(OR(D53="数字盖盒",D53="数字冰冻盒",D53="数字冰冻单颗暂存盒"),AND(H53&gt;=1,H53=INT(H53)),H53=0),IF(B53="开局",AND(IF(OR(D53="数字盖盒",D53="普通冰冻盒",D53="数字冰冻盒",D53="炸弹盒",D53="底部置顶盒"),OR(G53=3,G53=4),TRUE),IF(OR(D53="单向收纳盒",D53="单颗暂存盒",D53="数字冰冻单颗暂存盒"),OR(G53=0,G53=1),TRUE),IF(OR(D53="固定颜色盒",D53="广告锁定周转盒"),G53=0,TRUE)),TRUE)),"通过","需调整")</ns0:f>
        <ns0:v>通过</ns0:v>
      </ns0:c>
      <ns0:c r="P53" s="147" t="str">
        <ns0:v>确认方案装量</ns0:v>
      </ns0:c>
      <ns0:c r="Q53" s="147" t="str">
        <ns0:v>普通盒容量4；广告周转不计入免费空盒</ns0:v>
      </ns0:c>
      <ns0:c r="R53" s="150" t="n">
        <ns0:f>E53*H53</ns0:f>
        <ns0:v>0</ns0:v>
      </ns0:c>
    </ns0:row>
    <ns0:row r="54" ht="21" customHeight="1">
      <ns0:c r="A54" s="149" t="n">
        <ns0:v>13</ns0:v>
      </ns0:c>
      <ns0:c r="B54" s="145" t="str">
        <ns0:v>开局</ns0:v>
      </ns0:c>
      <ns0:c r="C54" s="145" t="str">
        <ns0:v>WAVE-013-04</ns0:v>
      </ns0:c>
      <ns0:c r="D54" s="145" t="str">
        <ns0:v>数字盖盒</ns0:v>
      </ns0:c>
      <ns0:c r="E54" s="152" t="n">
        <ns0:v>1</ns0:v>
      </ns0:c>
      <ns0:c r="F54" s="152" t="n">
        <ns0:v>4</ns0:v>
      </ns0:c>
      <ns0:c r="G54" s="152" t="n">
        <ns0:v>4</ns0:v>
      </ns0:c>
      <ns0:c r="H54" s="152" t="n">
        <ns0:v>1</ns0:v>
      </ns0:c>
      <ns0:c r="I54" s="149" t="n">
        <ns0:f>E54*G54</ns0:f>
        <ns0:v>4</ns0:v>
      </ns0:c>
      <ns0:c r="J54" s="149" t="n">
        <ns0:f>E54*(F54-G54)</ns0:f>
        <ns0:v>0</ns0:v>
      </ns0:c>
      <ns0:c r="K54" s="149" t="n">
        <ns0:f>IF(AND(B54="开局",G54=0,OR(D54="普通盒",D54="单颗暂存盒")),J54,0)</ns0:f>
        <ns0:v>0</ns0:v>
      </ns0:c>
      <ns0:c r="L54" s="149" t="n">
        <ns0:f>IF(AND(B54="开局",G54&gt;0,OR(D54="普通盒",D54="底部置顶盒",D54="炸弹盒")),J54,0)</ns0:f>
        <ns0:v>0</ns0:v>
      </ns0:c>
      <ns0:c r="M54" s="149" t="n">
        <ns0:f>IF(AND(B54="开局",OR(D54="固定颜色盒",D54="单向收纳盒")),J54,0)</ns0:f>
        <ns0:v>0</ns0:v>
      </ns0:c>
      <ns0:c r="N54" s="149" t="n">
        <ns0:f>IF(AND(B54="开局",OR(D54="数字盖盒",D54="普通冰冻盒",D54="数字冰冻盒",D54="数字冰冻单颗暂存盒")),J54,0)</ns0:f>
        <ns0:v>0</ns0:v>
      </ns0:c>
      <ns0:c r="O54" s="145" t="str">
        <ns0:f>IF(AND(E54&gt;0,E54=INT(E54),G54&gt;=0,G54&lt;=F54,G54=INT(G54),OR(AND(F54=1,OR(D54="单颗暂存盒",D54="数字冰冻单颗暂存盒")),AND(F54=4,NOT(OR(D54="单颗暂存盒",D54="数字冰冻单颗暂存盒")))),IF(OR(D54="数字盖盒",D54="数字冰冻盒",D54="数字冰冻单颗暂存盒"),AND(H54&gt;=1,H54=INT(H54)),H54=0),IF(B54="开局",AND(IF(OR(D54="数字盖盒",D54="普通冰冻盒",D54="数字冰冻盒",D54="炸弹盒",D54="底部置顶盒"),OR(G54=3,G54=4),TRUE),IF(OR(D54="单向收纳盒",D54="单颗暂存盒",D54="数字冰冻单颗暂存盒"),OR(G54=0,G54=1),TRUE),IF(OR(D54="固定颜色盒",D54="广告锁定周转盒"),G54=0,TRUE)),TRUE)),"通过","需调整")</ns0:f>
        <ns0:v>通过</ns0:v>
      </ns0:c>
      <ns0:c r="P54" s="145" t="str">
        <ns0:v>确认方案装量</ns0:v>
      </ns0:c>
      <ns0:c r="Q54" s="145" t="str">
        <ns0:v>普通盒容量4；广告周转不计入免费空盒</ns0:v>
      </ns0:c>
      <ns0:c r="R54" s="149" t="n">
        <ns0:f>E54*H54</ns0:f>
        <ns0:v>1</ns0:v>
      </ns0:c>
    </ns0:row>
    <ns0:row r="55" ht="21" customHeight="1">
      <ns0:c r="A55" s="150" t="n">
        <ns0:v>13</ns0:v>
      </ns0:c>
      <ns0:c r="B55" s="147" t="str">
        <ns0:v>开局</ns0:v>
      </ns0:c>
      <ns0:c r="C55" s="147" t="str">
        <ns0:v>WAVE-013-05</ns0:v>
      </ns0:c>
      <ns0:c r="D55" s="147" t="str">
        <ns0:v>数字盖盒</ns0:v>
      </ns0:c>
      <ns0:c r="E55" s="152" t="n">
        <ns0:v>1</ns0:v>
      </ns0:c>
      <ns0:c r="F55" s="152" t="n">
        <ns0:v>4</ns0:v>
      </ns0:c>
      <ns0:c r="G55" s="152" t="n">
        <ns0:v>4</ns0:v>
      </ns0:c>
      <ns0:c r="H55" s="152" t="n">
        <ns0:v>1</ns0:v>
      </ns0:c>
      <ns0:c r="I55" s="150" t="n">
        <ns0:f>E55*G55</ns0:f>
        <ns0:v>4</ns0:v>
      </ns0:c>
      <ns0:c r="J55" s="150" t="n">
        <ns0:f>E55*(F55-G55)</ns0:f>
        <ns0:v>0</ns0:v>
      </ns0:c>
      <ns0:c r="K55" s="150" t="n">
        <ns0:f>IF(AND(B55="开局",G55=0,OR(D55="普通盒",D55="单颗暂存盒")),J55,0)</ns0:f>
        <ns0:v>0</ns0:v>
      </ns0:c>
      <ns0:c r="L55" s="150" t="n">
        <ns0:f>IF(AND(B55="开局",G55&gt;0,OR(D55="普通盒",D55="底部置顶盒",D55="炸弹盒")),J55,0)</ns0:f>
        <ns0:v>0</ns0:v>
      </ns0:c>
      <ns0:c r="M55" s="150" t="n">
        <ns0:f>IF(AND(B55="开局",OR(D55="固定颜色盒",D55="单向收纳盒")),J55,0)</ns0:f>
        <ns0:v>0</ns0:v>
      </ns0:c>
      <ns0:c r="N55" s="150" t="n">
        <ns0:f>IF(AND(B55="开局",OR(D55="数字盖盒",D55="普通冰冻盒",D55="数字冰冻盒",D55="数字冰冻单颗暂存盒")),J55,0)</ns0:f>
        <ns0:v>0</ns0:v>
      </ns0:c>
      <ns0:c r="O55" s="147" t="str">
        <ns0:f>IF(AND(E55&gt;0,E55=INT(E55),G55&gt;=0,G55&lt;=F55,G55=INT(G55),OR(AND(F55=1,OR(D55="单颗暂存盒",D55="数字冰冻单颗暂存盒")),AND(F55=4,NOT(OR(D55="单颗暂存盒",D55="数字冰冻单颗暂存盒")))),IF(OR(D55="数字盖盒",D55="数字冰冻盒",D55="数字冰冻单颗暂存盒"),AND(H55&gt;=1,H55=INT(H55)),H55=0),IF(B55="开局",AND(IF(OR(D55="数字盖盒",D55="普通冰冻盒",D55="数字冰冻盒",D55="炸弹盒",D55="底部置顶盒"),OR(G55=3,G55=4),TRUE),IF(OR(D55="单向收纳盒",D55="单颗暂存盒",D55="数字冰冻单颗暂存盒"),OR(G55=0,G55=1),TRUE),IF(OR(D55="固定颜色盒",D55="广告锁定周转盒"),G55=0,TRUE)),TRUE)),"通过","需调整")</ns0:f>
        <ns0:v>通过</ns0:v>
      </ns0:c>
      <ns0:c r="P55" s="147" t="str">
        <ns0:v>确认方案装量</ns0:v>
      </ns0:c>
      <ns0:c r="Q55" s="147" t="str">
        <ns0:v>普通盒容量4；广告周转不计入免费空盒</ns0:v>
      </ns0:c>
      <ns0:c r="R55" s="150" t="n">
        <ns0:f>E55*H55</ns0:f>
        <ns0:v>1</ns0:v>
      </ns0:c>
    </ns0:row>
    <ns0:row r="56" ht="21" customHeight="1">
      <ns0:c r="A56" s="149" t="n">
        <ns0:v>13</ns0:v>
      </ns0:c>
      <ns0:c r="B56" s="145" t="str">
        <ns0:v>开局</ns0:v>
      </ns0:c>
      <ns0:c r="C56" s="145" t="str">
        <ns0:v>WAVE-013-06</ns0:v>
      </ns0:c>
      <ns0:c r="D56" s="145" t="str">
        <ns0:v>广告锁定周转盒</ns0:v>
      </ns0:c>
      <ns0:c r="E56" s="152" t="n">
        <ns0:v>2</ns0:v>
      </ns0:c>
      <ns0:c r="F56" s="152" t="n">
        <ns0:v>4</ns0:v>
      </ns0:c>
      <ns0:c r="G56" s="152" t="n">
        <ns0:v>0</ns0:v>
      </ns0:c>
      <ns0:c r="H56" s="152" t="n">
        <ns0:v>0</ns0:v>
      </ns0:c>
      <ns0:c r="I56" s="149" t="n">
        <ns0:f>E56*G56</ns0:f>
        <ns0:v>0</ns0:v>
      </ns0:c>
      <ns0:c r="J56" s="149" t="n">
        <ns0:f>E56*(F56-G56)</ns0:f>
        <ns0:v>8</ns0:v>
      </ns0:c>
      <ns0:c r="K56" s="149" t="n">
        <ns0:f>IF(AND(B56="开局",G56=0,OR(D56="普通盒",D56="单颗暂存盒")),J56,0)</ns0:f>
        <ns0:v>0</ns0:v>
      </ns0:c>
      <ns0:c r="L56" s="149" t="n">
        <ns0:f>IF(AND(B56="开局",G56&gt;0,OR(D56="普通盒",D56="底部置顶盒",D56="炸弹盒")),J56,0)</ns0:f>
        <ns0:v>0</ns0:v>
      </ns0:c>
      <ns0:c r="M56" s="149" t="n">
        <ns0:f>IF(AND(B56="开局",OR(D56="固定颜色盒",D56="单向收纳盒")),J56,0)</ns0:f>
        <ns0:v>0</ns0:v>
      </ns0:c>
      <ns0:c r="N56" s="149" t="n">
        <ns0:f>IF(AND(B56="开局",OR(D56="数字盖盒",D56="普通冰冻盒",D56="数字冰冻盒",D56="数字冰冻单颗暂存盒")),J56,0)</ns0:f>
        <ns0:v>0</ns0:v>
      </ns0:c>
      <ns0:c r="O56" s="145" t="str">
        <ns0:f>IF(AND(E56&gt;0,E56=INT(E56),G56&gt;=0,G56&lt;=F56,G56=INT(G56),OR(AND(F56=1,OR(D56="单颗暂存盒",D56="数字冰冻单颗暂存盒")),AND(F56=4,NOT(OR(D56="单颗暂存盒",D56="数字冰冻单颗暂存盒")))),IF(OR(D56="数字盖盒",D56="数字冰冻盒",D56="数字冰冻单颗暂存盒"),AND(H56&gt;=1,H56=INT(H56)),H56=0),IF(B56="开局",AND(IF(OR(D56="数字盖盒",D56="普通冰冻盒",D56="数字冰冻盒",D56="炸弹盒",D56="底部置顶盒"),OR(G56=3,G56=4),TRUE),IF(OR(D56="单向收纳盒",D56="单颗暂存盒",D56="数字冰冻单颗暂存盒"),OR(G56=0,G56=1),TRUE),IF(OR(D56="固定颜色盒",D56="广告锁定周转盒"),G56=0,TRUE)),TRUE)),"通过","需调整")</ns0:f>
        <ns0:v>通过</ns0:v>
      </ns0:c>
      <ns0:c r="P56" s="145" t="str">
        <ns0:v>确认方案装量</ns0:v>
      </ns0:c>
      <ns0:c r="Q56" s="145" t="str">
        <ns0:v>普通盒容量4；广告周转不计入免费空盒</ns0:v>
      </ns0:c>
      <ns0:c r="R56" s="149" t="n">
        <ns0:f>E56*H56</ns0:f>
        <ns0:v>0</ns0:v>
      </ns0:c>
    </ns0:row>
    <ns0:row r="57" ht="21" customHeight="1">
      <ns0:c r="A57" s="150" t="n">
        <ns0:v>14</ns0:v>
      </ns0:c>
      <ns0:c r="B57" s="147" t="str">
        <ns0:v>开局</ns0:v>
      </ns0:c>
      <ns0:c r="C57" s="147" t="str">
        <ns0:v>WAVE-014-01</ns0:v>
      </ns0:c>
      <ns0:c r="D57" s="147" t="str">
        <ns0:v>普通盒</ns0:v>
      </ns0:c>
      <ns0:c r="E57" s="152" t="n">
        <ns0:v>13</ns0:v>
      </ns0:c>
      <ns0:c r="F57" s="152" t="n">
        <ns0:v>4</ns0:v>
      </ns0:c>
      <ns0:c r="G57" s="152" t="n">
        <ns0:v>4</ns0:v>
      </ns0:c>
      <ns0:c r="H57" s="152" t="n">
        <ns0:v>0</ns0:v>
      </ns0:c>
      <ns0:c r="I57" s="150" t="n">
        <ns0:f>E57*G57</ns0:f>
        <ns0:v>52</ns0:v>
      </ns0:c>
      <ns0:c r="J57" s="150" t="n">
        <ns0:f>E57*(F57-G57)</ns0:f>
        <ns0:v>0</ns0:v>
      </ns0:c>
      <ns0:c r="K57" s="150" t="n">
        <ns0:f>IF(AND(B57="开局",G57=0,OR(D57="普通盒",D57="单颗暂存盒")),J57,0)</ns0:f>
        <ns0:v>0</ns0:v>
      </ns0:c>
      <ns0:c r="L57" s="150" t="n">
        <ns0:f>IF(AND(B57="开局",G57&gt;0,OR(D57="普通盒",D57="底部置顶盒",D57="炸弹盒")),J57,0)</ns0:f>
        <ns0:v>0</ns0:v>
      </ns0:c>
      <ns0:c r="M57" s="150" t="n">
        <ns0:f>IF(AND(B57="开局",OR(D57="固定颜色盒",D57="单向收纳盒")),J57,0)</ns0:f>
        <ns0:v>0</ns0:v>
      </ns0:c>
      <ns0:c r="N57" s="150" t="n">
        <ns0:f>IF(AND(B57="开局",OR(D57="数字盖盒",D57="普通冰冻盒",D57="数字冰冻盒",D57="数字冰冻单颗暂存盒")),J57,0)</ns0:f>
        <ns0:v>0</ns0:v>
      </ns0:c>
      <ns0:c r="O57" s="147" t="str">
        <ns0:f>IF(AND(E57&gt;0,E57=INT(E57),G57&gt;=0,G57&lt;=F57,G57=INT(G57),OR(AND(F57=1,OR(D57="单颗暂存盒",D57="数字冰冻单颗暂存盒")),AND(F57=4,NOT(OR(D57="单颗暂存盒",D57="数字冰冻单颗暂存盒")))),IF(OR(D57="数字盖盒",D57="数字冰冻盒",D57="数字冰冻单颗暂存盒"),AND(H57&gt;=1,H57=INT(H57)),H57=0),IF(B57="开局",AND(IF(OR(D57="数字盖盒",D57="普通冰冻盒",D57="数字冰冻盒",D57="炸弹盒",D57="底部置顶盒"),OR(G57=3,G57=4),TRUE),IF(OR(D57="单向收纳盒",D57="单颗暂存盒",D57="数字冰冻单颗暂存盒"),OR(G57=0,G57=1),TRUE),IF(OR(D57="固定颜色盒",D57="广告锁定周转盒"),G57=0,TRUE)),TRUE)),"通过","需调整")</ns0:f>
        <ns0:v>通过</ns0:v>
      </ns0:c>
      <ns0:c r="P57" s="147" t="str">
        <ns0:v>确认方案装量</ns0:v>
      </ns0:c>
      <ns0:c r="Q57" s="147" t="str">
        <ns0:v>层序JSON:{"reference":"2026-10-04 用户确认11—20关难度表；2026-10-05制作；层序自顶向下","slots":[{"group_id":"WAVE-014-03","layers":[5,3]},{"group_id":"WAVE-014-01","layers":[2,6,8,2]},{"group_id":"WAVE-014-01","layers":[5,6,2,4]},{"group_id":"WAVE-014-01","layers":[12,4,8,5]},{"group_id":"WAVE-014-01","layers":[6,4,6,2]},{"group_id":"WAVE-014-02","layers":[6,0,3]},{"group_id":"WAVE-014-01","layers":[5,3,4,4]},{"group_id":"WAVE-014-01","layers":[5,0,12,6]},{"group_id":"WAVE-014-02","layers":[0,8,3]},{"group_id":"WAVE-014-01","layers":[3,2,0,4]},{"group_id":"WAVE-014-01","layers":[12,12,6,4]},{"group_id":"WAVE-014-01","layers":[2,0,3,0]},{"group_id":"WAVE-014-03","layers":[12,8]},{"group_id":"WAVE-014-01","layers":[12,12,4,8]},{"group_id":"WAVE-014-01","layers":[4,8,0,4]},{"group_id":"WAVE-014-04","layers":[2,5,6,3]},{"group_id":"WAVE-014-03","layers":[12,8]},{"group_id":"WAVE-014-01","layers":[4,3,0,5]},{"group_id":"WAVE-014-01","layers":[4,8,6,2]}],"stock":[{"group_id":"WAVE-014-06","layers":[6,6,6,5]}],"demand_sequences":[[4,4,3,5,12,6,6,4,2],[8,3,8,0,12,2,6,0,5]]}</ns0:v>
      </ns0:c>
      <ns0:c r="R57" s="150" t="n">
        <ns0:f>E57*H57</ns0:f>
        <ns0:v>0</ns0:v>
      </ns0:c>
    </ns0:row>
    <ns0:row r="58" ht="21" customHeight="1">
      <ns0:c r="A58" s="149" t="n">
        <ns0:v>14</ns0:v>
      </ns0:c>
      <ns0:c r="B58" s="145" t="str">
        <ns0:v>开局</ns0:v>
      </ns0:c>
      <ns0:c r="C58" s="145" t="str">
        <ns0:v>WAVE-014-02</ns0:v>
      </ns0:c>
      <ns0:c r="D58" s="145" t="str">
        <ns0:v>普通盒</ns0:v>
      </ns0:c>
      <ns0:c r="E58" s="152" t="n">
        <ns0:v>2</ns0:v>
      </ns0:c>
      <ns0:c r="F58" s="152" t="n">
        <ns0:v>4</ns0:v>
      </ns0:c>
      <ns0:c r="G58" s="152" t="n">
        <ns0:v>3</ns0:v>
      </ns0:c>
      <ns0:c r="H58" s="152" t="n">
        <ns0:v>0</ns0:v>
      </ns0:c>
      <ns0:c r="I58" s="149" t="n">
        <ns0:f>E58*G58</ns0:f>
        <ns0:v>6</ns0:v>
      </ns0:c>
      <ns0:c r="J58" s="149" t="n">
        <ns0:f>E58*(F58-G58)</ns0:f>
        <ns0:v>2</ns0:v>
      </ns0:c>
      <ns0:c r="K58" s="149" t="n">
        <ns0:f>IF(AND(B58="开局",G58=0,OR(D58="普通盒",D58="单颗暂存盒")),J58,0)</ns0:f>
        <ns0:v>0</ns0:v>
      </ns0:c>
      <ns0:c r="L58" s="149" t="n">
        <ns0:f>IF(AND(B58="开局",G58&gt;0,OR(D58="普通盒",D58="底部置顶盒",D58="炸弹盒")),J58,0)</ns0:f>
        <ns0:v>2</ns0:v>
      </ns0:c>
      <ns0:c r="M58" s="149" t="n">
        <ns0:f>IF(AND(B58="开局",OR(D58="固定颜色盒",D58="单向收纳盒")),J58,0)</ns0:f>
        <ns0:v>0</ns0:v>
      </ns0:c>
      <ns0:c r="N58" s="149" t="n">
        <ns0:f>IF(AND(B58="开局",OR(D58="数字盖盒",D58="普通冰冻盒",D58="数字冰冻盒",D58="数字冰冻单颗暂存盒")),J58,0)</ns0:f>
        <ns0:v>0</ns0:v>
      </ns0:c>
      <ns0:c r="O58" s="145" t="str">
        <ns0:f>IF(AND(E58&gt;0,E58=INT(E58),G58&gt;=0,G58&lt;=F58,G58=INT(G58),OR(AND(F58=1,OR(D58="单颗暂存盒",D58="数字冰冻单颗暂存盒")),AND(F58=4,NOT(OR(D58="单颗暂存盒",D58="数字冰冻单颗暂存盒")))),IF(OR(D58="数字盖盒",D58="数字冰冻盒",D58="数字冰冻单颗暂存盒"),AND(H58&gt;=1,H58=INT(H58)),H58=0),IF(B58="开局",AND(IF(OR(D58="数字盖盒",D58="普通冰冻盒",D58="数字冰冻盒",D58="炸弹盒",D58="底部置顶盒"),OR(G58=3,G58=4),TRUE),IF(OR(D58="单向收纳盒",D58="单颗暂存盒",D58="数字冰冻单颗暂存盒"),OR(G58=0,G58=1),TRUE),IF(OR(D58="固定颜色盒",D58="广告锁定周转盒"),G58=0,TRUE)),TRUE)),"通过","需调整")</ns0:f>
        <ns0:v>通过</ns0:v>
      </ns0:c>
      <ns0:c r="P58" s="145" t="str">
        <ns0:v>确认方案装量</ns0:v>
      </ns0:c>
      <ns0:c r="Q58" s="145" t="str">
        <ns0:v>普通盒容量4；广告周转不计入免费空盒</ns0:v>
      </ns0:c>
      <ns0:c r="R58" s="149" t="n">
        <ns0:f>E58*H58</ns0:f>
        <ns0:v>0</ns0:v>
      </ns0:c>
    </ns0:row>
    <ns0:row r="59" ht="21" customHeight="1">
      <ns0:c r="A59" s="150" t="n">
        <ns0:v>14</ns0:v>
      </ns0:c>
      <ns0:c r="B59" s="147" t="str">
        <ns0:v>开局</ns0:v>
      </ns0:c>
      <ns0:c r="C59" s="147" t="str">
        <ns0:v>WAVE-014-03</ns0:v>
      </ns0:c>
      <ns0:c r="D59" s="147" t="str">
        <ns0:v>普通盒</ns0:v>
      </ns0:c>
      <ns0:c r="E59" s="152" t="n">
        <ns0:v>3</ns0:v>
      </ns0:c>
      <ns0:c r="F59" s="152" t="n">
        <ns0:v>4</ns0:v>
      </ns0:c>
      <ns0:c r="G59" s="152" t="n">
        <ns0:v>2</ns0:v>
      </ns0:c>
      <ns0:c r="H59" s="152" t="n">
        <ns0:v>0</ns0:v>
      </ns0:c>
      <ns0:c r="I59" s="150" t="n">
        <ns0:f>E59*G59</ns0:f>
        <ns0:v>6</ns0:v>
      </ns0:c>
      <ns0:c r="J59" s="150" t="n">
        <ns0:f>E59*(F59-G59)</ns0:f>
        <ns0:v>6</ns0:v>
      </ns0:c>
      <ns0:c r="K59" s="150" t="n">
        <ns0:f>IF(AND(B59="开局",G59=0,OR(D59="普通盒",D59="单颗暂存盒")),J59,0)</ns0:f>
        <ns0:v>0</ns0:v>
      </ns0:c>
      <ns0:c r="L59" s="150" t="n">
        <ns0:f>IF(AND(B59="开局",G59&gt;0,OR(D59="普通盒",D59="底部置顶盒",D59="炸弹盒")),J59,0)</ns0:f>
        <ns0:v>6</ns0:v>
      </ns0:c>
      <ns0:c r="M59" s="150" t="n">
        <ns0:f>IF(AND(B59="开局",OR(D59="固定颜色盒",D59="单向收纳盒")),J59,0)</ns0:f>
        <ns0:v>0</ns0:v>
      </ns0:c>
      <ns0:c r="N59" s="150" t="n">
        <ns0:f>IF(AND(B59="开局",OR(D59="数字盖盒",D59="普通冰冻盒",D59="数字冰冻盒",D59="数字冰冻单颗暂存盒")),J59,0)</ns0:f>
        <ns0:v>0</ns0:v>
      </ns0:c>
      <ns0:c r="O59" s="147" t="str">
        <ns0:f>IF(AND(E59&gt;0,E59=INT(E59),G59&gt;=0,G59&lt;=F59,G59=INT(G59),OR(AND(F59=1,OR(D59="单颗暂存盒",D59="数字冰冻单颗暂存盒")),AND(F59=4,NOT(OR(D59="单颗暂存盒",D59="数字冰冻单颗暂存盒")))),IF(OR(D59="数字盖盒",D59="数字冰冻盒",D59="数字冰冻单颗暂存盒"),AND(H59&gt;=1,H59=INT(H59)),H59=0),IF(B59="开局",AND(IF(OR(D59="数字盖盒",D59="普通冰冻盒",D59="数字冰冻盒",D59="炸弹盒",D59="底部置顶盒"),OR(G59=3,G59=4),TRUE),IF(OR(D59="单向收纳盒",D59="单颗暂存盒",D59="数字冰冻单颗暂存盒"),OR(G59=0,G59=1),TRUE),IF(OR(D59="固定颜色盒",D59="广告锁定周转盒"),G59=0,TRUE)),TRUE)),"通过","需调整")</ns0:f>
        <ns0:v>通过</ns0:v>
      </ns0:c>
      <ns0:c r="P59" s="147" t="str">
        <ns0:v>确认方案装量</ns0:v>
      </ns0:c>
      <ns0:c r="Q59" s="147" t="str">
        <ns0:v>普通盒容量4；广告周转不计入免费空盒</ns0:v>
      </ns0:c>
      <ns0:c r="R59" s="150" t="n">
        <ns0:f>E59*H59</ns0:f>
        <ns0:v>0</ns0:v>
      </ns0:c>
    </ns0:row>
    <ns0:row r="60" ht="21" customHeight="1">
      <ns0:c r="A60" s="149" t="n">
        <ns0:v>14</ns0:v>
      </ns0:c>
      <ns0:c r="B60" s="145" t="str">
        <ns0:v>开局</ns0:v>
      </ns0:c>
      <ns0:c r="C60" s="145" t="str">
        <ns0:v>WAVE-014-04</ns0:v>
      </ns0:c>
      <ns0:c r="D60" s="145" t="str">
        <ns0:v>数字盖盒</ns0:v>
      </ns0:c>
      <ns0:c r="E60" s="152" t="n">
        <ns0:v>1</ns0:v>
      </ns0:c>
      <ns0:c r="F60" s="152" t="n">
        <ns0:v>4</ns0:v>
      </ns0:c>
      <ns0:c r="G60" s="152" t="n">
        <ns0:v>4</ns0:v>
      </ns0:c>
      <ns0:c r="H60" s="152" t="n">
        <ns0:v>1</ns0:v>
      </ns0:c>
      <ns0:c r="I60" s="149" t="n">
        <ns0:f>E60*G60</ns0:f>
        <ns0:v>4</ns0:v>
      </ns0:c>
      <ns0:c r="J60" s="149" t="n">
        <ns0:f>E60*(F60-G60)</ns0:f>
        <ns0:v>0</ns0:v>
      </ns0:c>
      <ns0:c r="K60" s="149" t="n">
        <ns0:f>IF(AND(B60="开局",G60=0,OR(D60="普通盒",D60="单颗暂存盒")),J60,0)</ns0:f>
        <ns0:v>0</ns0:v>
      </ns0:c>
      <ns0:c r="L60" s="149" t="n">
        <ns0:f>IF(AND(B60="开局",G60&gt;0,OR(D60="普通盒",D60="底部置顶盒",D60="炸弹盒")),J60,0)</ns0:f>
        <ns0:v>0</ns0:v>
      </ns0:c>
      <ns0:c r="M60" s="149" t="n">
        <ns0:f>IF(AND(B60="开局",OR(D60="固定颜色盒",D60="单向收纳盒")),J60,0)</ns0:f>
        <ns0:v>0</ns0:v>
      </ns0:c>
      <ns0:c r="N60" s="149" t="n">
        <ns0:f>IF(AND(B60="开局",OR(D60="数字盖盒",D60="普通冰冻盒",D60="数字冰冻盒",D60="数字冰冻单颗暂存盒")),J60,0)</ns0:f>
        <ns0:v>0</ns0:v>
      </ns0:c>
      <ns0:c r="O60" s="145" t="str">
        <ns0:f>IF(AND(E60&gt;0,E60=INT(E60),G60&gt;=0,G60&lt;=F60,G60=INT(G60),OR(AND(F60=1,OR(D60="单颗暂存盒",D60="数字冰冻单颗暂存盒")),AND(F60=4,NOT(OR(D60="单颗暂存盒",D60="数字冰冻单颗暂存盒")))),IF(OR(D60="数字盖盒",D60="数字冰冻盒",D60="数字冰冻单颗暂存盒"),AND(H60&gt;=1,H60=INT(H60)),H60=0),IF(B60="开局",AND(IF(OR(D60="数字盖盒",D60="普通冰冻盒",D60="数字冰冻盒",D60="炸弹盒",D60="底部置顶盒"),OR(G60=3,G60=4),TRUE),IF(OR(D60="单向收纳盒",D60="单颗暂存盒",D60="数字冰冻单颗暂存盒"),OR(G60=0,G60=1),TRUE),IF(OR(D60="固定颜色盒",D60="广告锁定周转盒"),G60=0,TRUE)),TRUE)),"通过","需调整")</ns0:f>
        <ns0:v>通过</ns0:v>
      </ns0:c>
      <ns0:c r="P60" s="145" t="str">
        <ns0:v>确认方案装量</ns0:v>
      </ns0:c>
      <ns0:c r="Q60" s="145" t="str">
        <ns0:v>普通盒容量4；广告周转不计入免费空盒</ns0:v>
      </ns0:c>
      <ns0:c r="R60" s="149" t="n">
        <ns0:f>E60*H60</ns0:f>
        <ns0:v>1</ns0:v>
      </ns0:c>
    </ns0:row>
    <ns0:row r="61" ht="21" customHeight="1">
      <ns0:c r="A61" s="150" t="n">
        <ns0:v>14</ns0:v>
      </ns0:c>
      <ns0:c r="B61" s="147" t="str">
        <ns0:v>开局</ns0:v>
      </ns0:c>
      <ns0:c r="C61" s="147" t="str">
        <ns0:v>WAVE-014-05</ns0:v>
      </ns0:c>
      <ns0:c r="D61" s="147" t="str">
        <ns0:v>广告锁定周转盒</ns0:v>
      </ns0:c>
      <ns0:c r="E61" s="152" t="n">
        <ns0:v>2</ns0:v>
      </ns0:c>
      <ns0:c r="F61" s="152" t="n">
        <ns0:v>4</ns0:v>
      </ns0:c>
      <ns0:c r="G61" s="152" t="n">
        <ns0:v>0</ns0:v>
      </ns0:c>
      <ns0:c r="H61" s="152" t="n">
        <ns0:v>0</ns0:v>
      </ns0:c>
      <ns0:c r="I61" s="150" t="n">
        <ns0:f>E61*G61</ns0:f>
        <ns0:v>0</ns0:v>
      </ns0:c>
      <ns0:c r="J61" s="150" t="n">
        <ns0:f>E61*(F61-G61)</ns0:f>
        <ns0:v>8</ns0:v>
      </ns0:c>
      <ns0:c r="K61" s="150" t="n">
        <ns0:f>IF(AND(B61="开局",G61=0,OR(D61="普通盒",D61="单颗暂存盒")),J61,0)</ns0:f>
        <ns0:v>0</ns0:v>
      </ns0:c>
      <ns0:c r="L61" s="150" t="n">
        <ns0:f>IF(AND(B61="开局",G61&gt;0,OR(D61="普通盒",D61="底部置顶盒",D61="炸弹盒")),J61,0)</ns0:f>
        <ns0:v>0</ns0:v>
      </ns0:c>
      <ns0:c r="M61" s="150" t="n">
        <ns0:f>IF(AND(B61="开局",OR(D61="固定颜色盒",D61="单向收纳盒")),J61,0)</ns0:f>
        <ns0:v>0</ns0:v>
      </ns0:c>
      <ns0:c r="N61" s="150" t="n">
        <ns0:f>IF(AND(B61="开局",OR(D61="数字盖盒",D61="普通冰冻盒",D61="数字冰冻盒",D61="数字冰冻单颗暂存盒")),J61,0)</ns0:f>
        <ns0:v>0</ns0:v>
      </ns0:c>
      <ns0:c r="O61" s="147" t="str">
        <ns0:f>IF(AND(E61&gt;0,E61=INT(E61),G61&gt;=0,G61&lt;=F61,G61=INT(G61),OR(AND(F61=1,OR(D61="单颗暂存盒",D61="数字冰冻单颗暂存盒")),AND(F61=4,NOT(OR(D61="单颗暂存盒",D61="数字冰冻单颗暂存盒")))),IF(OR(D61="数字盖盒",D61="数字冰冻盒",D61="数字冰冻单颗暂存盒"),AND(H61&gt;=1,H61=INT(H61)),H61=0),IF(B61="开局",AND(IF(OR(D61="数字盖盒",D61="普通冰冻盒",D61="数字冰冻盒",D61="炸弹盒",D61="底部置顶盒"),OR(G61=3,G61=4),TRUE),IF(OR(D61="单向收纳盒",D61="单颗暂存盒",D61="数字冰冻单颗暂存盒"),OR(G61=0,G61=1),TRUE),IF(OR(D61="固定颜色盒",D61="广告锁定周转盒"),G61=0,TRUE)),TRUE)),"通过","需调整")</ns0:f>
        <ns0:v>通过</ns0:v>
      </ns0:c>
      <ns0:c r="P61" s="147" t="str">
        <ns0:v>确认方案装量</ns0:v>
      </ns0:c>
      <ns0:c r="Q61" s="147" t="str">
        <ns0:v>普通盒容量4；广告周转不计入免费空盒</ns0:v>
      </ns0:c>
      <ns0:c r="R61" s="150" t="n">
        <ns0:f>E61*H61</ns0:f>
        <ns0:v>0</ns0:v>
      </ns0:c>
    </ns0:row>
    <ns0:row r="62" ht="21" customHeight="1">
      <ns0:c r="A62" s="149" t="n">
        <ns0:v>14</ns0:v>
      </ns0:c>
      <ns0:c r="B62" s="145" t="str">
        <ns0:v>备货</ns0:v>
      </ns0:c>
      <ns0:c r="C62" s="145" t="str">
        <ns0:v>WAVE-014-06</ns0:v>
      </ns0:c>
      <ns0:c r="D62" s="145" t="str">
        <ns0:v>普通盒</ns0:v>
      </ns0:c>
      <ns0:c r="E62" s="152" t="n">
        <ns0:v>1</ns0:v>
      </ns0:c>
      <ns0:c r="F62" s="152" t="n">
        <ns0:v>4</ns0:v>
      </ns0:c>
      <ns0:c r="G62" s="152" t="n">
        <ns0:v>4</ns0:v>
      </ns0:c>
      <ns0:c r="H62" s="152" t="n">
        <ns0:v>0</ns0:v>
      </ns0:c>
      <ns0:c r="I62" s="149" t="n">
        <ns0:f>E62*G62</ns0:f>
        <ns0:v>4</ns0:v>
      </ns0:c>
      <ns0:c r="J62" s="149" t="n">
        <ns0:f>E62*(F62-G62)</ns0:f>
        <ns0:v>0</ns0:v>
      </ns0:c>
      <ns0:c r="K62" s="149" t="n">
        <ns0:f>IF(AND(B62="开局",G62=0,OR(D62="普通盒",D62="单颗暂存盒")),J62,0)</ns0:f>
        <ns0:v>0</ns0:v>
      </ns0:c>
      <ns0:c r="L62" s="149" t="n">
        <ns0:f>IF(AND(B62="开局",G62&gt;0,OR(D62="普通盒",D62="底部置顶盒",D62="炸弹盒")),J62,0)</ns0:f>
        <ns0:v>0</ns0:v>
      </ns0:c>
      <ns0:c r="M62" s="149" t="n">
        <ns0:f>IF(AND(B62="开局",OR(D62="固定颜色盒",D62="单向收纳盒")),J62,0)</ns0:f>
        <ns0:v>0</ns0:v>
      </ns0:c>
      <ns0:c r="N62" s="149" t="n">
        <ns0:f>IF(AND(B62="开局",OR(D62="数字盖盒",D62="普通冰冻盒",D62="数字冰冻盒",D62="数字冰冻单颗暂存盒")),J62,0)</ns0:f>
        <ns0:v>0</ns0:v>
      </ns0:c>
      <ns0:c r="O62" s="145" t="str">
        <ns0:f>IF(AND(E62&gt;0,E62=INT(E62),G62&gt;=0,G62&lt;=F62,G62=INT(G62),OR(AND(F62=1,OR(D62="单颗暂存盒",D62="数字冰冻单颗暂存盒")),AND(F62=4,NOT(OR(D62="单颗暂存盒",D62="数字冰冻单颗暂存盒")))),IF(OR(D62="数字盖盒",D62="数字冰冻盒",D62="数字冰冻单颗暂存盒"),AND(H62&gt;=1,H62=INT(H62)),H62=0),IF(B62="开局",AND(IF(OR(D62="数字盖盒",D62="普通冰冻盒",D62="数字冰冻盒",D62="炸弹盒",D62="底部置顶盒"),OR(G62=3,G62=4),TRUE),IF(OR(D62="单向收纳盒",D62="单颗暂存盒",D62="数字冰冻单颗暂存盒"),OR(G62=0,G62=1),TRUE),IF(OR(D62="固定颜色盒",D62="广告锁定周转盒"),G62=0,TRUE)),TRUE)),"通过","需调整")</ns0:f>
        <ns0:v>通过</ns0:v>
      </ns0:c>
      <ns0:c r="P62" s="145" t="str">
        <ns0:v>确认方案装量</ns0:v>
      </ns0:c>
      <ns0:c r="Q62" s="145" t="str">
        <ns0:v>普通盒容量4；广告周转不计入免费空盒</ns0:v>
      </ns0:c>
      <ns0:c r="R62" s="149" t="n">
        <ns0:f>E62*H62</ns0:f>
        <ns0:v>0</ns0:v>
      </ns0:c>
    </ns0:row>
    <ns0:row r="63" ht="21" customHeight="1">
      <ns0:c r="A63" s="150" t="n">
        <ns0:v>15</ns0:v>
      </ns0:c>
      <ns0:c r="B63" s="147" t="str">
        <ns0:v>开局</ns0:v>
      </ns0:c>
      <ns0:c r="C63" s="147" t="str">
        <ns0:v>WAVE-015-01</ns0:v>
      </ns0:c>
      <ns0:c r="D63" s="147" t="str">
        <ns0:v>普通盒</ns0:v>
      </ns0:c>
      <ns0:c r="E63" s="152" t="n">
        <ns0:v>14</ns0:v>
      </ns0:c>
      <ns0:c r="F63" s="152" t="n">
        <ns0:v>4</ns0:v>
      </ns0:c>
      <ns0:c r="G63" s="152" t="n">
        <ns0:v>4</ns0:v>
      </ns0:c>
      <ns0:c r="H63" s="152" t="n">
        <ns0:v>0</ns0:v>
      </ns0:c>
      <ns0:c r="I63" s="150" t="n">
        <ns0:f>E63*G63</ns0:f>
        <ns0:v>56</ns0:v>
      </ns0:c>
      <ns0:c r="J63" s="150" t="n">
        <ns0:f>E63*(F63-G63)</ns0:f>
        <ns0:v>0</ns0:v>
      </ns0:c>
      <ns0:c r="K63" s="150" t="n">
        <ns0:f>IF(AND(B63="开局",G63=0,OR(D63="普通盒",D63="单颗暂存盒")),J63,0)</ns0:f>
        <ns0:v>0</ns0:v>
      </ns0:c>
      <ns0:c r="L63" s="150" t="n">
        <ns0:f>IF(AND(B63="开局",G63&gt;0,OR(D63="普通盒",D63="底部置顶盒",D63="炸弹盒")),J63,0)</ns0:f>
        <ns0:v>0</ns0:v>
      </ns0:c>
      <ns0:c r="M63" s="150" t="n">
        <ns0:f>IF(AND(B63="开局",OR(D63="固定颜色盒",D63="单向收纳盒")),J63,0)</ns0:f>
        <ns0:v>0</ns0:v>
      </ns0:c>
      <ns0:c r="N63" s="150" t="n">
        <ns0:f>IF(AND(B63="开局",OR(D63="数字盖盒",D63="普通冰冻盒",D63="数字冰冻盒",D63="数字冰冻单颗暂存盒")),J63,0)</ns0:f>
        <ns0:v>0</ns0:v>
      </ns0:c>
      <ns0:c r="O63" s="147" t="str">
        <ns0:f>IF(AND(E63&gt;0,E63=INT(E63),G63&gt;=0,G63&lt;=F63,G63=INT(G63),OR(AND(F63=1,OR(D63="单颗暂存盒",D63="数字冰冻单颗暂存盒")),AND(F63=4,NOT(OR(D63="单颗暂存盒",D63="数字冰冻单颗暂存盒")))),IF(OR(D63="数字盖盒",D63="数字冰冻盒",D63="数字冰冻单颗暂存盒"),AND(H63&gt;=1,H63=INT(H63)),H63=0),IF(B63="开局",AND(IF(OR(D63="数字盖盒",D63="普通冰冻盒",D63="数字冰冻盒",D63="炸弹盒",D63="底部置顶盒"),OR(G63=3,G63=4),TRUE),IF(OR(D63="单向收纳盒",D63="单颗暂存盒",D63="数字冰冻单颗暂存盒"),OR(G63=0,G63=1),TRUE),IF(OR(D63="固定颜色盒",D63="广告锁定周转盒"),G63=0,TRUE)),TRUE)),"通过","需调整")</ns0:f>
        <ns0:v>通过</ns0:v>
      </ns0:c>
      <ns0:c r="P63" s="147" t="str">
        <ns0:v>确认方案装量</ns0:v>
      </ns0:c>
      <ns0:c r="Q63" s="147" t="str">
        <ns0:v>层序JSON:{"reference":"2026-10-04 用户确认11—20关难度表；2026-10-05制作；层序自顶向下","slots":[{"group_id":"WAVE-015-01","layers":[4,3,3,6]},{"group_id":"WAVE-015-01","layers":[5,2,3,8]},{"group_id":"WAVE-015-01","layers":[6,5,0,0]},{"group_id":"WAVE-015-01","layers":[5,0,0,8]},{"group_id":"WAVE-015-01","layers":[4,5,2,0]},{"group_id":"WAVE-015-01","layers":[0,8,12,12]},{"group_id":"WAVE-015-05","layers":[8,0,6,6]},{"group_id":"WAVE-015-01","layers":[4,6,2,4]},{"group_id":"WAVE-015-03","layers":[8]},{"group_id":"WAVE-015-01","layers":[3,3,5,12]},{"group_id":"WAVE-015-01","layers":[2,4,8,6]},{"group_id":"WAVE-015-01","layers":[2,4,0,12]},{"group_id":"WAVE-015-01","layers":[3,5,12,2]},{"group_id":"WAVE-015-02","layers":[6,0,5]},{"group_id":"WAVE-015-01","layers":[2,6,8,4]},{"group_id":"WAVE-015-01","layers":[0,12,12,4]},{"group_id":"WAVE-015-01","layers":[8,3,2,12]},{"group_id":"WAVE-015-04","layers":[]}],"stock":[{"group_id":"WAVE-015-07","layers":[0,5,3,0]}],"demand_sequences":[[0,4,2,8,6,0,3,5,12],[5,12,8,2,0,4,6,3]]}</ns0:v>
      </ns0:c>
      <ns0:c r="R63" s="150" t="n">
        <ns0:f>E63*H63</ns0:f>
        <ns0:v>0</ns0:v>
      </ns0:c>
    </ns0:row>
    <ns0:row r="64" ht="21" customHeight="1">
      <ns0:c r="A64" s="149" t="n">
        <ns0:v>15</ns0:v>
      </ns0:c>
      <ns0:c r="B64" s="145" t="str">
        <ns0:v>开局</ns0:v>
      </ns0:c>
      <ns0:c r="C64" s="145" t="str">
        <ns0:v>WAVE-015-02</ns0:v>
      </ns0:c>
      <ns0:c r="D64" s="145" t="str">
        <ns0:v>普通盒</ns0:v>
      </ns0:c>
      <ns0:c r="E64" s="152" t="n">
        <ns0:v>1</ns0:v>
      </ns0:c>
      <ns0:c r="F64" s="152" t="n">
        <ns0:v>4</ns0:v>
      </ns0:c>
      <ns0:c r="G64" s="152" t="n">
        <ns0:v>3</ns0:v>
      </ns0:c>
      <ns0:c r="H64" s="152" t="n">
        <ns0:v>0</ns0:v>
      </ns0:c>
      <ns0:c r="I64" s="149" t="n">
        <ns0:f>E64*G64</ns0:f>
        <ns0:v>3</ns0:v>
      </ns0:c>
      <ns0:c r="J64" s="149" t="n">
        <ns0:f>E64*(F64-G64)</ns0:f>
        <ns0:v>1</ns0:v>
      </ns0:c>
      <ns0:c r="K64" s="149" t="n">
        <ns0:f>IF(AND(B64="开局",G64=0,OR(D64="普通盒",D64="单颗暂存盒")),J64,0)</ns0:f>
        <ns0:v>0</ns0:v>
      </ns0:c>
      <ns0:c r="L64" s="149" t="n">
        <ns0:f>IF(AND(B64="开局",G64&gt;0,OR(D64="普通盒",D64="底部置顶盒",D64="炸弹盒")),J64,0)</ns0:f>
        <ns0:v>1</ns0:v>
      </ns0:c>
      <ns0:c r="M64" s="149" t="n">
        <ns0:f>IF(AND(B64="开局",OR(D64="固定颜色盒",D64="单向收纳盒")),J64,0)</ns0:f>
        <ns0:v>0</ns0:v>
      </ns0:c>
      <ns0:c r="N64" s="149" t="n">
        <ns0:f>IF(AND(B64="开局",OR(D64="数字盖盒",D64="普通冰冻盒",D64="数字冰冻盒",D64="数字冰冻单颗暂存盒")),J64,0)</ns0:f>
        <ns0:v>0</ns0:v>
      </ns0:c>
      <ns0:c r="O64" s="145" t="str">
        <ns0:f>IF(AND(E64&gt;0,E64=INT(E64),G64&gt;=0,G64&lt;=F64,G64=INT(G64),OR(AND(F64=1,OR(D64="单颗暂存盒",D64="数字冰冻单颗暂存盒")),AND(F64=4,NOT(OR(D64="单颗暂存盒",D64="数字冰冻单颗暂存盒")))),IF(OR(D64="数字盖盒",D64="数字冰冻盒",D64="数字冰冻单颗暂存盒"),AND(H64&gt;=1,H64=INT(H64)),H64=0),IF(B64="开局",AND(IF(OR(D64="数字盖盒",D64="普通冰冻盒",D64="数字冰冻盒",D64="炸弹盒",D64="底部置顶盒"),OR(G64=3,G64=4),TRUE),IF(OR(D64="单向收纳盒",D64="单颗暂存盒",D64="数字冰冻单颗暂存盒"),OR(G64=0,G64=1),TRUE),IF(OR(D64="固定颜色盒",D64="广告锁定周转盒"),G64=0,TRUE)),TRUE)),"通过","需调整")</ns0:f>
        <ns0:v>通过</ns0:v>
      </ns0:c>
      <ns0:c r="P64" s="145" t="str">
        <ns0:v>确认方案装量</ns0:v>
      </ns0:c>
      <ns0:c r="Q64" s="145" t="str">
        <ns0:v>普通盒容量4；广告周转不计入免费空盒</ns0:v>
      </ns0:c>
      <ns0:c r="R64" s="149" t="n">
        <ns0:f>E64*H64</ns0:f>
        <ns0:v>0</ns0:v>
      </ns0:c>
    </ns0:row>
    <ns0:row r="65" ht="21" customHeight="1">
      <ns0:c r="A65" s="150" t="n">
        <ns0:v>15</ns0:v>
      </ns0:c>
      <ns0:c r="B65" s="147" t="str">
        <ns0:v>开局</ns0:v>
      </ns0:c>
      <ns0:c r="C65" s="147" t="str">
        <ns0:v>WAVE-015-03</ns0:v>
      </ns0:c>
      <ns0:c r="D65" s="147" t="str">
        <ns0:v>普通盒</ns0:v>
      </ns0:c>
      <ns0:c r="E65" s="152" t="n">
        <ns0:v>1</ns0:v>
      </ns0:c>
      <ns0:c r="F65" s="152" t="n">
        <ns0:v>4</ns0:v>
      </ns0:c>
      <ns0:c r="G65" s="152" t="n">
        <ns0:v>1</ns0:v>
      </ns0:c>
      <ns0:c r="H65" s="152" t="n">
        <ns0:v>0</ns0:v>
      </ns0:c>
      <ns0:c r="I65" s="150" t="n">
        <ns0:f>E65*G65</ns0:f>
        <ns0:v>1</ns0:v>
      </ns0:c>
      <ns0:c r="J65" s="150" t="n">
        <ns0:f>E65*(F65-G65)</ns0:f>
        <ns0:v>3</ns0:v>
      </ns0:c>
      <ns0:c r="K65" s="150" t="n">
        <ns0:f>IF(AND(B65="开局",G65=0,OR(D65="普通盒",D65="单颗暂存盒")),J65,0)</ns0:f>
        <ns0:v>0</ns0:v>
      </ns0:c>
      <ns0:c r="L65" s="150" t="n">
        <ns0:f>IF(AND(B65="开局",G65&gt;0,OR(D65="普通盒",D65="底部置顶盒",D65="炸弹盒")),J65,0)</ns0:f>
        <ns0:v>3</ns0:v>
      </ns0:c>
      <ns0:c r="M65" s="150" t="n">
        <ns0:f>IF(AND(B65="开局",OR(D65="固定颜色盒",D65="单向收纳盒")),J65,0)</ns0:f>
        <ns0:v>0</ns0:v>
      </ns0:c>
      <ns0:c r="N65" s="150" t="n">
        <ns0:f>IF(AND(B65="开局",OR(D65="数字盖盒",D65="普通冰冻盒",D65="数字冰冻盒",D65="数字冰冻单颗暂存盒")),J65,0)</ns0:f>
        <ns0:v>0</ns0:v>
      </ns0:c>
      <ns0:c r="O65" s="147" t="str">
        <ns0:f>IF(AND(E65&gt;0,E65=INT(E65),G65&gt;=0,G65&lt;=F65,G65=INT(G65),OR(AND(F65=1,OR(D65="单颗暂存盒",D65="数字冰冻单颗暂存盒")),AND(F65=4,NOT(OR(D65="单颗暂存盒",D65="数字冰冻单颗暂存盒")))),IF(OR(D65="数字盖盒",D65="数字冰冻盒",D65="数字冰冻单颗暂存盒"),AND(H65&gt;=1,H65=INT(H65)),H65=0),IF(B65="开局",AND(IF(OR(D65="数字盖盒",D65="普通冰冻盒",D65="数字冰冻盒",D65="炸弹盒",D65="底部置顶盒"),OR(G65=3,G65=4),TRUE),IF(OR(D65="单向收纳盒",D65="单颗暂存盒",D65="数字冰冻单颗暂存盒"),OR(G65=0,G65=1),TRUE),IF(OR(D65="固定颜色盒",D65="广告锁定周转盒"),G65=0,TRUE)),TRUE)),"通过","需调整")</ns0:f>
        <ns0:v>通过</ns0:v>
      </ns0:c>
      <ns0:c r="P65" s="147" t="str">
        <ns0:v>确认方案装量</ns0:v>
      </ns0:c>
      <ns0:c r="Q65" s="147" t="str">
        <ns0:v>普通盒容量4；广告周转不计入免费空盒</ns0:v>
      </ns0:c>
      <ns0:c r="R65" s="150" t="n">
        <ns0:f>E65*H65</ns0:f>
        <ns0:v>0</ns0:v>
      </ns0:c>
    </ns0:row>
    <ns0:row r="66" ht="21" customHeight="1">
      <ns0:c r="A66" s="149" t="n">
        <ns0:v>15</ns0:v>
      </ns0:c>
      <ns0:c r="B66" s="145" t="str">
        <ns0:v>开局</ns0:v>
      </ns0:c>
      <ns0:c r="C66" s="145" t="str">
        <ns0:v>WAVE-015-04</ns0:v>
      </ns0:c>
      <ns0:c r="D66" s="145" t="str">
        <ns0:v>普通盒</ns0:v>
      </ns0:c>
      <ns0:c r="E66" s="152" t="n">
        <ns0:v>1</ns0:v>
      </ns0:c>
      <ns0:c r="F66" s="152" t="n">
        <ns0:v>4</ns0:v>
      </ns0:c>
      <ns0:c r="G66" s="152" t="n">
        <ns0:v>0</ns0:v>
      </ns0:c>
      <ns0:c r="H66" s="152" t="n">
        <ns0:v>0</ns0:v>
      </ns0:c>
      <ns0:c r="I66" s="149" t="n">
        <ns0:f>E66*G66</ns0:f>
        <ns0:v>0</ns0:v>
      </ns0:c>
      <ns0:c r="J66" s="149" t="n">
        <ns0:f>E66*(F66-G66)</ns0:f>
        <ns0:v>4</ns0:v>
      </ns0:c>
      <ns0:c r="K66" s="149" t="n">
        <ns0:f>IF(AND(B66="开局",G66=0,OR(D66="普通盒",D66="单颗暂存盒")),J66,0)</ns0:f>
        <ns0:v>4</ns0:v>
      </ns0:c>
      <ns0:c r="L66" s="149" t="n">
        <ns0:f>IF(AND(B66="开局",G66&gt;0,OR(D66="普通盒",D66="底部置顶盒",D66="炸弹盒")),J66,0)</ns0:f>
        <ns0:v>0</ns0:v>
      </ns0:c>
      <ns0:c r="M66" s="149" t="n">
        <ns0:f>IF(AND(B66="开局",OR(D66="固定颜色盒",D66="单向收纳盒")),J66,0)</ns0:f>
        <ns0:v>0</ns0:v>
      </ns0:c>
      <ns0:c r="N66" s="149" t="n">
        <ns0:f>IF(AND(B66="开局",OR(D66="数字盖盒",D66="普通冰冻盒",D66="数字冰冻盒",D66="数字冰冻单颗暂存盒")),J66,0)</ns0:f>
        <ns0:v>0</ns0:v>
      </ns0:c>
      <ns0:c r="O66" s="145" t="str">
        <ns0:f>IF(AND(E66&gt;0,E66=INT(E66),G66&gt;=0,G66&lt;=F66,G66=INT(G66),OR(AND(F66=1,OR(D66="单颗暂存盒",D66="数字冰冻单颗暂存盒")),AND(F66=4,NOT(OR(D66="单颗暂存盒",D66="数字冰冻单颗暂存盒")))),IF(OR(D66="数字盖盒",D66="数字冰冻盒",D66="数字冰冻单颗暂存盒"),AND(H66&gt;=1,H66=INT(H66)),H66=0),IF(B66="开局",AND(IF(OR(D66="数字盖盒",D66="普通冰冻盒",D66="数字冰冻盒",D66="炸弹盒",D66="底部置顶盒"),OR(G66=3,G66=4),TRUE),IF(OR(D66="单向收纳盒",D66="单颗暂存盒",D66="数字冰冻单颗暂存盒"),OR(G66=0,G66=1),TRUE),IF(OR(D66="固定颜色盒",D66="广告锁定周转盒"),G66=0,TRUE)),TRUE)),"通过","需调整")</ns0:f>
        <ns0:v>通过</ns0:v>
      </ns0:c>
      <ns0:c r="P66" s="145" t="str">
        <ns0:v>确认方案装量</ns0:v>
      </ns0:c>
      <ns0:c r="Q66" s="145" t="str">
        <ns0:v>普通盒容量4；广告周转不计入免费空盒</ns0:v>
      </ns0:c>
      <ns0:c r="R66" s="149" t="n">
        <ns0:f>E66*H66</ns0:f>
        <ns0:v>0</ns0:v>
      </ns0:c>
    </ns0:row>
    <ns0:row r="67" ht="21" customHeight="1">
      <ns0:c r="A67" s="150" t="n">
        <ns0:v>15</ns0:v>
      </ns0:c>
      <ns0:c r="B67" s="147" t="str">
        <ns0:v>开局</ns0:v>
      </ns0:c>
      <ns0:c r="C67" s="147" t="str">
        <ns0:v>WAVE-015-05</ns0:v>
      </ns0:c>
      <ns0:c r="D67" s="147" t="str">
        <ns0:v>数字冰冻盒</ns0:v>
      </ns0:c>
      <ns0:c r="E67" s="152" t="n">
        <ns0:v>1</ns0:v>
      </ns0:c>
      <ns0:c r="F67" s="152" t="n">
        <ns0:v>4</ns0:v>
      </ns0:c>
      <ns0:c r="G67" s="152" t="n">
        <ns0:v>4</ns0:v>
      </ns0:c>
      <ns0:c r="H67" s="152" t="n">
        <ns0:v>1</ns0:v>
      </ns0:c>
      <ns0:c r="I67" s="150" t="n">
        <ns0:f>E67*G67</ns0:f>
        <ns0:v>4</ns0:v>
      </ns0:c>
      <ns0:c r="J67" s="150" t="n">
        <ns0:f>E67*(F67-G67)</ns0:f>
        <ns0:v>0</ns0:v>
      </ns0:c>
      <ns0:c r="K67" s="150" t="n">
        <ns0:f>IF(AND(B67="开局",G67=0,OR(D67="普通盒",D67="单颗暂存盒")),J67,0)</ns0:f>
        <ns0:v>0</ns0:v>
      </ns0:c>
      <ns0:c r="L67" s="150" t="n">
        <ns0:f>IF(AND(B67="开局",G67&gt;0,OR(D67="普通盒",D67="底部置顶盒",D67="炸弹盒")),J67,0)</ns0:f>
        <ns0:v>0</ns0:v>
      </ns0:c>
      <ns0:c r="M67" s="150" t="n">
        <ns0:f>IF(AND(B67="开局",OR(D67="固定颜色盒",D67="单向收纳盒")),J67,0)</ns0:f>
        <ns0:v>0</ns0:v>
      </ns0:c>
      <ns0:c r="N67" s="150" t="n">
        <ns0:f>IF(AND(B67="开局",OR(D67="数字盖盒",D67="普通冰冻盒",D67="数字冰冻盒",D67="数字冰冻单颗暂存盒")),J67,0)</ns0:f>
        <ns0:v>0</ns0:v>
      </ns0:c>
      <ns0:c r="O67" s="147" t="str">
        <ns0:f>IF(AND(E67&gt;0,E67=INT(E67),G67&gt;=0,G67&lt;=F67,G67=INT(G67),OR(AND(F67=1,OR(D67="单颗暂存盒",D67="数字冰冻单颗暂存盒")),AND(F67=4,NOT(OR(D67="单颗暂存盒",D67="数字冰冻单颗暂存盒")))),IF(OR(D67="数字盖盒",D67="数字冰冻盒",D67="数字冰冻单颗暂存盒"),AND(H67&gt;=1,H67=INT(H67)),H67=0),IF(B67="开局",AND(IF(OR(D67="数字盖盒",D67="普通冰冻盒",D67="数字冰冻盒",D67="炸弹盒",D67="底部置顶盒"),OR(G67=3,G67=4),TRUE),IF(OR(D67="单向收纳盒",D67="单颗暂存盒",D67="数字冰冻单颗暂存盒"),OR(G67=0,G67=1),TRUE),IF(OR(D67="固定颜色盒",D67="广告锁定周转盒"),G67=0,TRUE)),TRUE)),"通过","需调整")</ns0:f>
        <ns0:v>通过</ns0:v>
      </ns0:c>
      <ns0:c r="P67" s="147" t="str">
        <ns0:v>确认方案装量</ns0:v>
      </ns0:c>
      <ns0:c r="Q67" s="147" t="str">
        <ns0:v>普通盒容量4；广告周转不计入免费空盒</ns0:v>
      </ns0:c>
      <ns0:c r="R67" s="150" t="n">
        <ns0:f>E67*H67</ns0:f>
        <ns0:v>1</ns0:v>
      </ns0:c>
    </ns0:row>
    <ns0:row r="68" ht="21" customHeight="1">
      <ns0:c r="A68" s="149" t="n">
        <ns0:v>15</ns0:v>
      </ns0:c>
      <ns0:c r="B68" s="145" t="str">
        <ns0:v>开局</ns0:v>
      </ns0:c>
      <ns0:c r="C68" s="145" t="str">
        <ns0:v>WAVE-015-06</ns0:v>
      </ns0:c>
      <ns0:c r="D68" s="145" t="str">
        <ns0:v>广告锁定周转盒</ns0:v>
      </ns0:c>
      <ns0:c r="E68" s="152" t="n">
        <ns0:v>2</ns0:v>
      </ns0:c>
      <ns0:c r="F68" s="152" t="n">
        <ns0:v>4</ns0:v>
      </ns0:c>
      <ns0:c r="G68" s="152" t="n">
        <ns0:v>0</ns0:v>
      </ns0:c>
      <ns0:c r="H68" s="152" t="n">
        <ns0:v>0</ns0:v>
      </ns0:c>
      <ns0:c r="I68" s="149" t="n">
        <ns0:f>E68*G68</ns0:f>
        <ns0:v>0</ns0:v>
      </ns0:c>
      <ns0:c r="J68" s="149" t="n">
        <ns0:f>E68*(F68-G68)</ns0:f>
        <ns0:v>8</ns0:v>
      </ns0:c>
      <ns0:c r="K68" s="149" t="n">
        <ns0:f>IF(AND(B68="开局",G68=0,OR(D68="普通盒",D68="单颗暂存盒")),J68,0)</ns0:f>
        <ns0:v>0</ns0:v>
      </ns0:c>
      <ns0:c r="L68" s="149" t="n">
        <ns0:f>IF(AND(B68="开局",G68&gt;0,OR(D68="普通盒",D68="底部置顶盒",D68="炸弹盒")),J68,0)</ns0:f>
        <ns0:v>0</ns0:v>
      </ns0:c>
      <ns0:c r="M68" s="149" t="n">
        <ns0:f>IF(AND(B68="开局",OR(D68="固定颜色盒",D68="单向收纳盒")),J68,0)</ns0:f>
        <ns0:v>0</ns0:v>
      </ns0:c>
      <ns0:c r="N68" s="149" t="n">
        <ns0:f>IF(AND(B68="开局",OR(D68="数字盖盒",D68="普通冰冻盒",D68="数字冰冻盒",D68="数字冰冻单颗暂存盒")),J68,0)</ns0:f>
        <ns0:v>0</ns0:v>
      </ns0:c>
      <ns0:c r="O68" s="145" t="str">
        <ns0:f>IF(AND(E68&gt;0,E68=INT(E68),G68&gt;=0,G68&lt;=F68,G68=INT(G68),OR(AND(F68=1,OR(D68="单颗暂存盒",D68="数字冰冻单颗暂存盒")),AND(F68=4,NOT(OR(D68="单颗暂存盒",D68="数字冰冻单颗暂存盒")))),IF(OR(D68="数字盖盒",D68="数字冰冻盒",D68="数字冰冻单颗暂存盒"),AND(H68&gt;=1,H68=INT(H68)),H68=0),IF(B68="开局",AND(IF(OR(D68="数字盖盒",D68="普通冰冻盒",D68="数字冰冻盒",D68="炸弹盒",D68="底部置顶盒"),OR(G68=3,G68=4),TRUE),IF(OR(D68="单向收纳盒",D68="单颗暂存盒",D68="数字冰冻单颗暂存盒"),OR(G68=0,G68=1),TRUE),IF(OR(D68="固定颜色盒",D68="广告锁定周转盒"),G68=0,TRUE)),TRUE)),"通过","需调整")</ns0:f>
        <ns0:v>通过</ns0:v>
      </ns0:c>
      <ns0:c r="P68" s="145" t="str">
        <ns0:v>确认方案装量</ns0:v>
      </ns0:c>
      <ns0:c r="Q68" s="145" t="str">
        <ns0:v>普通盒容量4；广告周转不计入免费空盒</ns0:v>
      </ns0:c>
      <ns0:c r="R68" s="149" t="n">
        <ns0:f>E68*H68</ns0:f>
        <ns0:v>0</ns0:v>
      </ns0:c>
    </ns0:row>
    <ns0:row r="69" ht="21" customHeight="1">
      <ns0:c r="A69" s="150" t="n">
        <ns0:v>15</ns0:v>
      </ns0:c>
      <ns0:c r="B69" s="147" t="str">
        <ns0:v>备货</ns0:v>
      </ns0:c>
      <ns0:c r="C69" s="147" t="str">
        <ns0:v>WAVE-015-07</ns0:v>
      </ns0:c>
      <ns0:c r="D69" s="147" t="str">
        <ns0:v>普通盒</ns0:v>
      </ns0:c>
      <ns0:c r="E69" s="152" t="n">
        <ns0:v>1</ns0:v>
      </ns0:c>
      <ns0:c r="F69" s="152" t="n">
        <ns0:v>4</ns0:v>
      </ns0:c>
      <ns0:c r="G69" s="152" t="n">
        <ns0:v>4</ns0:v>
      </ns0:c>
      <ns0:c r="H69" s="152" t="n">
        <ns0:v>0</ns0:v>
      </ns0:c>
      <ns0:c r="I69" s="150" t="n">
        <ns0:f>E69*G69</ns0:f>
        <ns0:v>4</ns0:v>
      </ns0:c>
      <ns0:c r="J69" s="150" t="n">
        <ns0:f>E69*(F69-G69)</ns0:f>
        <ns0:v>0</ns0:v>
      </ns0:c>
      <ns0:c r="K69" s="150" t="n">
        <ns0:f>IF(AND(B69="开局",G69=0,OR(D69="普通盒",D69="单颗暂存盒")),J69,0)</ns0:f>
        <ns0:v>0</ns0:v>
      </ns0:c>
      <ns0:c r="L69" s="150" t="n">
        <ns0:f>IF(AND(B69="开局",G69&gt;0,OR(D69="普通盒",D69="底部置顶盒",D69="炸弹盒")),J69,0)</ns0:f>
        <ns0:v>0</ns0:v>
      </ns0:c>
      <ns0:c r="M69" s="150" t="n">
        <ns0:f>IF(AND(B69="开局",OR(D69="固定颜色盒",D69="单向收纳盒")),J69,0)</ns0:f>
        <ns0:v>0</ns0:v>
      </ns0:c>
      <ns0:c r="N69" s="150" t="n">
        <ns0:f>IF(AND(B69="开局",OR(D69="数字盖盒",D69="普通冰冻盒",D69="数字冰冻盒",D69="数字冰冻单颗暂存盒")),J69,0)</ns0:f>
        <ns0:v>0</ns0:v>
      </ns0:c>
      <ns0:c r="O69" s="147" t="str">
        <ns0:f>IF(AND(E69&gt;0,E69=INT(E69),G69&gt;=0,G69&lt;=F69,G69=INT(G69),OR(AND(F69=1,OR(D69="单颗暂存盒",D69="数字冰冻单颗暂存盒")),AND(F69=4,NOT(OR(D69="单颗暂存盒",D69="数字冰冻单颗暂存盒")))),IF(OR(D69="数字盖盒",D69="数字冰冻盒",D69="数字冰冻单颗暂存盒"),AND(H69&gt;=1,H69=INT(H69)),H69=0),IF(B69="开局",AND(IF(OR(D69="数字盖盒",D69="普通冰冻盒",D69="数字冰冻盒",D69="炸弹盒",D69="底部置顶盒"),OR(G69=3,G69=4),TRUE),IF(OR(D69="单向收纳盒",D69="单颗暂存盒",D69="数字冰冻单颗暂存盒"),OR(G69=0,G69=1),TRUE),IF(OR(D69="固定颜色盒",D69="广告锁定周转盒"),G69=0,TRUE)),TRUE)),"通过","需调整")</ns0:f>
        <ns0:v>通过</ns0:v>
      </ns0:c>
      <ns0:c r="P69" s="147" t="str">
        <ns0:v>确认方案装量</ns0:v>
      </ns0:c>
      <ns0:c r="Q69" s="147" t="str">
        <ns0:v>普通盒容量4；广告周转不计入免费空盒</ns0:v>
      </ns0:c>
      <ns0:c r="R69" s="150" t="n">
        <ns0:f>E69*H69</ns0:f>
        <ns0:v>0</ns0:v>
      </ns0:c>
    </ns0:row>
    <ns0:row r="70" ht="21" customHeight="1">
      <ns0:c r="A70" s="149" t="n">
        <ns0:v>16</ns0:v>
      </ns0:c>
      <ns0:c r="B70" s="145" t="str">
        <ns0:v>开局</ns0:v>
      </ns0:c>
      <ns0:c r="C70" s="145" t="str">
        <ns0:v>WAVE-016-01</ns0:v>
      </ns0:c>
      <ns0:c r="D70" s="145" t="str">
        <ns0:v>普通盒</ns0:v>
      </ns0:c>
      <ns0:c r="E70" s="152" t="n">
        <ns0:v>12</ns0:v>
      </ns0:c>
      <ns0:c r="F70" s="152" t="n">
        <ns0:v>4</ns0:v>
      </ns0:c>
      <ns0:c r="G70" s="152" t="n">
        <ns0:v>4</ns0:v>
      </ns0:c>
      <ns0:c r="H70" s="152" t="n">
        <ns0:v>0</ns0:v>
      </ns0:c>
      <ns0:c r="I70" s="149" t="n">
        <ns0:f>E70*G70</ns0:f>
        <ns0:v>48</ns0:v>
      </ns0:c>
      <ns0:c r="J70" s="149" t="n">
        <ns0:f>E70*(F70-G70)</ns0:f>
        <ns0:v>0</ns0:v>
      </ns0:c>
      <ns0:c r="K70" s="149" t="n">
        <ns0:f>IF(AND(B70="开局",G70=0,OR(D70="普通盒",D70="单颗暂存盒")),J70,0)</ns0:f>
        <ns0:v>0</ns0:v>
      </ns0:c>
      <ns0:c r="L70" s="149" t="n">
        <ns0:f>IF(AND(B70="开局",G70&gt;0,OR(D70="普通盒",D70="底部置顶盒",D70="炸弹盒")),J70,0)</ns0:f>
        <ns0:v>0</ns0:v>
      </ns0:c>
      <ns0:c r="M70" s="149" t="n">
        <ns0:f>IF(AND(B70="开局",OR(D70="固定颜色盒",D70="单向收纳盒")),J70,0)</ns0:f>
        <ns0:v>0</ns0:v>
      </ns0:c>
      <ns0:c r="N70" s="149" t="n">
        <ns0:f>IF(AND(B70="开局",OR(D70="数字盖盒",D70="普通冰冻盒",D70="数字冰冻盒",D70="数字冰冻单颗暂存盒")),J70,0)</ns0:f>
        <ns0:v>0</ns0:v>
      </ns0:c>
      <ns0:c r="O70" s="145" t="str">
        <ns0:f>IF(AND(E70&gt;0,E70=INT(E70),G70&gt;=0,G70&lt;=F70,G70=INT(G70),OR(AND(F70=1,OR(D70="单颗暂存盒",D70="数字冰冻单颗暂存盒")),AND(F70=4,NOT(OR(D70="单颗暂存盒",D70="数字冰冻单颗暂存盒")))),IF(OR(D70="数字盖盒",D70="数字冰冻盒",D70="数字冰冻单颗暂存盒"),AND(H70&gt;=1,H70=INT(H70)),H70=0),IF(B70="开局",AND(IF(OR(D70="数字盖盒",D70="普通冰冻盒",D70="数字冰冻盒",D70="炸弹盒",D70="底部置顶盒"),OR(G70=3,G70=4),TRUE),IF(OR(D70="单向收纳盒",D70="单颗暂存盒",D70="数字冰冻单颗暂存盒"),OR(G70=0,G70=1),TRUE),IF(OR(D70="固定颜色盒",D70="广告锁定周转盒"),G70=0,TRUE)),TRUE)),"通过","需调整")</ns0:f>
        <ns0:v>通过</ns0:v>
      </ns0:c>
      <ns0:c r="P70" s="145" t="str">
        <ns0:v>确认方案装量</ns0:v>
      </ns0:c>
      <ns0:c r="Q70" s="145" t="str">
        <ns0:v>层序JSON:{"reference":"2026-10-04 用户确认11—20关难度表；2026-10-05制作；层序自顶向下","slots":[{"group_id":"WAVE-016-01","layers":[5,3,0,5]},{"group_id":"WAVE-016-01","layers":[3,6,2,5]},{"group_id":"WAVE-016-05","layers":[8,5,4,3]},{"group_id":"WAVE-016-01","layers":[8,12,4,5]},{"group_id":"WAVE-016-01","layers":[6,8,3,8]},{"group_id":"WAVE-016-01","layers":[12,6,12,8]},{"group_id":"WAVE-016-06","layers":[5,5,4,12]},{"group_id":"WAVE-016-01","layers":[2,6,0,12]},{"group_id":"WAVE-016-01","layers":[12,4,4,8]},{"group_id":"WAVE-016-02","layers":[4,6,0]},{"group_id":"WAVE-016-01","layers":[2,6,12,5]},{"group_id":"WAVE-016-03","layers":[0,3]},{"group_id":"WAVE-016-02","layers":[2,5,6]},{"group_id":"WAVE-016-01","layers":[12,2,6,12]},{"group_id":"WAVE-016-01","layers":[0,12,5,5]},{"group_id":"WAVE-016-01","layers":[4,2,12,8]},{"group_id":"WAVE-016-01","layers":[0,4,0,3]},{"group_id":"WAVE-016-04","layers":[]}],"stock":[{"group_id":"WAVE-016-08","layers":[12,8,3,2]},{"group_id":"WAVE-016-08","layers":[3,0,5,2]}],"demand_sequences":[[5,5,4,3,2,12,0,6,8],[6,0,8,12,5,3,12,2,4]]}</ns0:v>
      </ns0:c>
      <ns0:c r="R70" s="149" t="n">
        <ns0:f>E70*H70</ns0:f>
        <ns0:v>0</ns0:v>
      </ns0:c>
    </ns0:row>
    <ns0:row r="71" ht="21" customHeight="1">
      <ns0:c r="A71" s="150" t="n">
        <ns0:v>16</ns0:v>
      </ns0:c>
      <ns0:c r="B71" s="147" t="str">
        <ns0:v>开局</ns0:v>
      </ns0:c>
      <ns0:c r="C71" s="147" t="str">
        <ns0:v>WAVE-016-02</ns0:v>
      </ns0:c>
      <ns0:c r="D71" s="147" t="str">
        <ns0:v>普通盒</ns0:v>
      </ns0:c>
      <ns0:c r="E71" s="152" t="n">
        <ns0:v>2</ns0:v>
      </ns0:c>
      <ns0:c r="F71" s="152" t="n">
        <ns0:v>4</ns0:v>
      </ns0:c>
      <ns0:c r="G71" s="152" t="n">
        <ns0:v>3</ns0:v>
      </ns0:c>
      <ns0:c r="H71" s="152" t="n">
        <ns0:v>0</ns0:v>
      </ns0:c>
      <ns0:c r="I71" s="150" t="n">
        <ns0:f>E71*G71</ns0:f>
        <ns0:v>6</ns0:v>
      </ns0:c>
      <ns0:c r="J71" s="150" t="n">
        <ns0:f>E71*(F71-G71)</ns0:f>
        <ns0:v>2</ns0:v>
      </ns0:c>
      <ns0:c r="K71" s="150" t="n">
        <ns0:f>IF(AND(B71="开局",G71=0,OR(D71="普通盒",D71="单颗暂存盒")),J71,0)</ns0:f>
        <ns0:v>0</ns0:v>
      </ns0:c>
      <ns0:c r="L71" s="150" t="n">
        <ns0:f>IF(AND(B71="开局",G71&gt;0,OR(D71="普通盒",D71="底部置顶盒",D71="炸弹盒")),J71,0)</ns0:f>
        <ns0:v>2</ns0:v>
      </ns0:c>
      <ns0:c r="M71" s="150" t="n">
        <ns0:f>IF(AND(B71="开局",OR(D71="固定颜色盒",D71="单向收纳盒")),J71,0)</ns0:f>
        <ns0:v>0</ns0:v>
      </ns0:c>
      <ns0:c r="N71" s="150" t="n">
        <ns0:f>IF(AND(B71="开局",OR(D71="数字盖盒",D71="普通冰冻盒",D71="数字冰冻盒",D71="数字冰冻单颗暂存盒")),J71,0)</ns0:f>
        <ns0:v>0</ns0:v>
      </ns0:c>
      <ns0:c r="O71" s="147" t="str">
        <ns0:f>IF(AND(E71&gt;0,E71=INT(E71),G71&gt;=0,G71&lt;=F71,G71=INT(G71),OR(AND(F71=1,OR(D71="单颗暂存盒",D71="数字冰冻单颗暂存盒")),AND(F71=4,NOT(OR(D71="单颗暂存盒",D71="数字冰冻单颗暂存盒")))),IF(OR(D71="数字盖盒",D71="数字冰冻盒",D71="数字冰冻单颗暂存盒"),AND(H71&gt;=1,H71=INT(H71)),H71=0),IF(B71="开局",AND(IF(OR(D71="数字盖盒",D71="普通冰冻盒",D71="数字冰冻盒",D71="炸弹盒",D71="底部置顶盒"),OR(G71=3,G71=4),TRUE),IF(OR(D71="单向收纳盒",D71="单颗暂存盒",D71="数字冰冻单颗暂存盒"),OR(G71=0,G71=1),TRUE),IF(OR(D71="固定颜色盒",D71="广告锁定周转盒"),G71=0,TRUE)),TRUE)),"通过","需调整")</ns0:f>
        <ns0:v>通过</ns0:v>
      </ns0:c>
      <ns0:c r="P71" s="147" t="str">
        <ns0:v>确认方案装量</ns0:v>
      </ns0:c>
      <ns0:c r="Q71" s="147" t="str">
        <ns0:v>普通盒容量4；广告周转不计入免费空盒</ns0:v>
      </ns0:c>
      <ns0:c r="R71" s="150" t="n">
        <ns0:f>E71*H71</ns0:f>
        <ns0:v>0</ns0:v>
      </ns0:c>
    </ns0:row>
    <ns0:row r="72" ht="21" customHeight="1">
      <ns0:c r="A72" s="149" t="n">
        <ns0:v>16</ns0:v>
      </ns0:c>
      <ns0:c r="B72" s="145" t="str">
        <ns0:v>开局</ns0:v>
      </ns0:c>
      <ns0:c r="C72" s="145" t="str">
        <ns0:v>WAVE-016-03</ns0:v>
      </ns0:c>
      <ns0:c r="D72" s="145" t="str">
        <ns0:v>普通盒</ns0:v>
      </ns0:c>
      <ns0:c r="E72" s="152" t="n">
        <ns0:v>1</ns0:v>
      </ns0:c>
      <ns0:c r="F72" s="152" t="n">
        <ns0:v>4</ns0:v>
      </ns0:c>
      <ns0:c r="G72" s="152" t="n">
        <ns0:v>2</ns0:v>
      </ns0:c>
      <ns0:c r="H72" s="152" t="n">
        <ns0:v>0</ns0:v>
      </ns0:c>
      <ns0:c r="I72" s="149" t="n">
        <ns0:f>E72*G72</ns0:f>
        <ns0:v>2</ns0:v>
      </ns0:c>
      <ns0:c r="J72" s="149" t="n">
        <ns0:f>E72*(F72-G72)</ns0:f>
        <ns0:v>2</ns0:v>
      </ns0:c>
      <ns0:c r="K72" s="149" t="n">
        <ns0:f>IF(AND(B72="开局",G72=0,OR(D72="普通盒",D72="单颗暂存盒")),J72,0)</ns0:f>
        <ns0:v>0</ns0:v>
      </ns0:c>
      <ns0:c r="L72" s="149" t="n">
        <ns0:f>IF(AND(B72="开局",G72&gt;0,OR(D72="普通盒",D72="底部置顶盒",D72="炸弹盒")),J72,0)</ns0:f>
        <ns0:v>2</ns0:v>
      </ns0:c>
      <ns0:c r="M72" s="149" t="n">
        <ns0:f>IF(AND(B72="开局",OR(D72="固定颜色盒",D72="单向收纳盒")),J72,0)</ns0:f>
        <ns0:v>0</ns0:v>
      </ns0:c>
      <ns0:c r="N72" s="149" t="n">
        <ns0:f>IF(AND(B72="开局",OR(D72="数字盖盒",D72="普通冰冻盒",D72="数字冰冻盒",D72="数字冰冻单颗暂存盒")),J72,0)</ns0:f>
        <ns0:v>0</ns0:v>
      </ns0:c>
      <ns0:c r="O72" s="145" t="str">
        <ns0:f>IF(AND(E72&gt;0,E72=INT(E72),G72&gt;=0,G72&lt;=F72,G72=INT(G72),OR(AND(F72=1,OR(D72="单颗暂存盒",D72="数字冰冻单颗暂存盒")),AND(F72=4,NOT(OR(D72="单颗暂存盒",D72="数字冰冻单颗暂存盒")))),IF(OR(D72="数字盖盒",D72="数字冰冻盒",D72="数字冰冻单颗暂存盒"),AND(H72&gt;=1,H72=INT(H72)),H72=0),IF(B72="开局",AND(IF(OR(D72="数字盖盒",D72="普通冰冻盒",D72="数字冰冻盒",D72="炸弹盒",D72="底部置顶盒"),OR(G72=3,G72=4),TRUE),IF(OR(D72="单向收纳盒",D72="单颗暂存盒",D72="数字冰冻单颗暂存盒"),OR(G72=0,G72=1),TRUE),IF(OR(D72="固定颜色盒",D72="广告锁定周转盒"),G72=0,TRUE)),TRUE)),"通过","需调整")</ns0:f>
        <ns0:v>通过</ns0:v>
      </ns0:c>
      <ns0:c r="P72" s="145" t="str">
        <ns0:v>确认方案装量</ns0:v>
      </ns0:c>
      <ns0:c r="Q72" s="145" t="str">
        <ns0:v>普通盒容量4；广告周转不计入免费空盒</ns0:v>
      </ns0:c>
      <ns0:c r="R72" s="149" t="n">
        <ns0:f>E72*H72</ns0:f>
        <ns0:v>0</ns0:v>
      </ns0:c>
    </ns0:row>
    <ns0:row r="73" ht="21" customHeight="1">
      <ns0:c r="A73" s="150" t="n">
        <ns0:v>16</ns0:v>
      </ns0:c>
      <ns0:c r="B73" s="147" t="str">
        <ns0:v>开局</ns0:v>
      </ns0:c>
      <ns0:c r="C73" s="147" t="str">
        <ns0:v>WAVE-016-04</ns0:v>
      </ns0:c>
      <ns0:c r="D73" s="147" t="str">
        <ns0:v>普通盒</ns0:v>
      </ns0:c>
      <ns0:c r="E73" s="152" t="n">
        <ns0:v>1</ns0:v>
      </ns0:c>
      <ns0:c r="F73" s="152" t="n">
        <ns0:v>4</ns0:v>
      </ns0:c>
      <ns0:c r="G73" s="152" t="n">
        <ns0:v>0</ns0:v>
      </ns0:c>
      <ns0:c r="H73" s="152" t="n">
        <ns0:v>0</ns0:v>
      </ns0:c>
      <ns0:c r="I73" s="150" t="n">
        <ns0:f>E73*G73</ns0:f>
        <ns0:v>0</ns0:v>
      </ns0:c>
      <ns0:c r="J73" s="150" t="n">
        <ns0:f>E73*(F73-G73)</ns0:f>
        <ns0:v>4</ns0:v>
      </ns0:c>
      <ns0:c r="K73" s="150" t="n">
        <ns0:f>IF(AND(B73="开局",G73=0,OR(D73="普通盒",D73="单颗暂存盒")),J73,0)</ns0:f>
        <ns0:v>4</ns0:v>
      </ns0:c>
      <ns0:c r="L73" s="150" t="n">
        <ns0:f>IF(AND(B73="开局",G73&gt;0,OR(D73="普通盒",D73="底部置顶盒",D73="炸弹盒")),J73,0)</ns0:f>
        <ns0:v>0</ns0:v>
      </ns0:c>
      <ns0:c r="M73" s="150" t="n">
        <ns0:f>IF(AND(B73="开局",OR(D73="固定颜色盒",D73="单向收纳盒")),J73,0)</ns0:f>
        <ns0:v>0</ns0:v>
      </ns0:c>
      <ns0:c r="N73" s="150" t="n">
        <ns0:f>IF(AND(B73="开局",OR(D73="数字盖盒",D73="普通冰冻盒",D73="数字冰冻盒",D73="数字冰冻单颗暂存盒")),J73,0)</ns0:f>
        <ns0:v>0</ns0:v>
      </ns0:c>
      <ns0:c r="O73" s="147" t="str">
        <ns0:f>IF(AND(E73&gt;0,E73=INT(E73),G73&gt;=0,G73&lt;=F73,G73=INT(G73),OR(AND(F73=1,OR(D73="单颗暂存盒",D73="数字冰冻单颗暂存盒")),AND(F73=4,NOT(OR(D73="单颗暂存盒",D73="数字冰冻单颗暂存盒")))),IF(OR(D73="数字盖盒",D73="数字冰冻盒",D73="数字冰冻单颗暂存盒"),AND(H73&gt;=1,H73=INT(H73)),H73=0),IF(B73="开局",AND(IF(OR(D73="数字盖盒",D73="普通冰冻盒",D73="数字冰冻盒",D73="炸弹盒",D73="底部置顶盒"),OR(G73=3,G73=4),TRUE),IF(OR(D73="单向收纳盒",D73="单颗暂存盒",D73="数字冰冻单颗暂存盒"),OR(G73=0,G73=1),TRUE),IF(OR(D73="固定颜色盒",D73="广告锁定周转盒"),G73=0,TRUE)),TRUE)),"通过","需调整")</ns0:f>
        <ns0:v>通过</ns0:v>
      </ns0:c>
      <ns0:c r="P73" s="147" t="str">
        <ns0:v>确认方案装量</ns0:v>
      </ns0:c>
      <ns0:c r="Q73" s="147" t="str">
        <ns0:v>普通盒容量4；广告周转不计入免费空盒</ns0:v>
      </ns0:c>
      <ns0:c r="R73" s="150" t="n">
        <ns0:f>E73*H73</ns0:f>
        <ns0:v>0</ns0:v>
      </ns0:c>
    </ns0:row>
    <ns0:row r="74" ht="21" customHeight="1">
      <ns0:c r="A74" s="149" t="n">
        <ns0:v>16</ns0:v>
      </ns0:c>
      <ns0:c r="B74" s="145" t="str">
        <ns0:v>开局</ns0:v>
      </ns0:c>
      <ns0:c r="C74" s="145" t="str">
        <ns0:v>WAVE-016-05</ns0:v>
      </ns0:c>
      <ns0:c r="D74" s="145" t="str">
        <ns0:v>数字盖盒</ns0:v>
      </ns0:c>
      <ns0:c r="E74" s="152" t="n">
        <ns0:v>1</ns0:v>
      </ns0:c>
      <ns0:c r="F74" s="152" t="n">
        <ns0:v>4</ns0:v>
      </ns0:c>
      <ns0:c r="G74" s="152" t="n">
        <ns0:v>4</ns0:v>
      </ns0:c>
      <ns0:c r="H74" s="152" t="n">
        <ns0:v>1</ns0:v>
      </ns0:c>
      <ns0:c r="I74" s="149" t="n">
        <ns0:f>E74*G74</ns0:f>
        <ns0:v>4</ns0:v>
      </ns0:c>
      <ns0:c r="J74" s="149" t="n">
        <ns0:f>E74*(F74-G74)</ns0:f>
        <ns0:v>0</ns0:v>
      </ns0:c>
      <ns0:c r="K74" s="149" t="n">
        <ns0:f>IF(AND(B74="开局",G74=0,OR(D74="普通盒",D74="单颗暂存盒")),J74,0)</ns0:f>
        <ns0:v>0</ns0:v>
      </ns0:c>
      <ns0:c r="L74" s="149" t="n">
        <ns0:f>IF(AND(B74="开局",G74&gt;0,OR(D74="普通盒",D74="底部置顶盒",D74="炸弹盒")),J74,0)</ns0:f>
        <ns0:v>0</ns0:v>
      </ns0:c>
      <ns0:c r="M74" s="149" t="n">
        <ns0:f>IF(AND(B74="开局",OR(D74="固定颜色盒",D74="单向收纳盒")),J74,0)</ns0:f>
        <ns0:v>0</ns0:v>
      </ns0:c>
      <ns0:c r="N74" s="149" t="n">
        <ns0:f>IF(AND(B74="开局",OR(D74="数字盖盒",D74="普通冰冻盒",D74="数字冰冻盒",D74="数字冰冻单颗暂存盒")),J74,0)</ns0:f>
        <ns0:v>0</ns0:v>
      </ns0:c>
      <ns0:c r="O74" s="145" t="str">
        <ns0:f>IF(AND(E74&gt;0,E74=INT(E74),G74&gt;=0,G74&lt;=F74,G74=INT(G74),OR(AND(F74=1,OR(D74="单颗暂存盒",D74="数字冰冻单颗暂存盒")),AND(F74=4,NOT(OR(D74="单颗暂存盒",D74="数字冰冻单颗暂存盒")))),IF(OR(D74="数字盖盒",D74="数字冰冻盒",D74="数字冰冻单颗暂存盒"),AND(H74&gt;=1,H74=INT(H74)),H74=0),IF(B74="开局",AND(IF(OR(D74="数字盖盒",D74="普通冰冻盒",D74="数字冰冻盒",D74="炸弹盒",D74="底部置顶盒"),OR(G74=3,G74=4),TRUE),IF(OR(D74="单向收纳盒",D74="单颗暂存盒",D74="数字冰冻单颗暂存盒"),OR(G74=0,G74=1),TRUE),IF(OR(D74="固定颜色盒",D74="广告锁定周转盒"),G74=0,TRUE)),TRUE)),"通过","需调整")</ns0:f>
        <ns0:v>通过</ns0:v>
      </ns0:c>
      <ns0:c r="P74" s="145" t="str">
        <ns0:v>确认方案装量</ns0:v>
      </ns0:c>
      <ns0:c r="Q74" s="145" t="str">
        <ns0:v>普通盒容量4；广告周转不计入免费空盒</ns0:v>
      </ns0:c>
      <ns0:c r="R74" s="149" t="n">
        <ns0:f>E74*H74</ns0:f>
        <ns0:v>1</ns0:v>
      </ns0:c>
    </ns0:row>
    <ns0:row r="75" ht="21" customHeight="1">
      <ns0:c r="A75" s="150" t="n">
        <ns0:v>16</ns0:v>
      </ns0:c>
      <ns0:c r="B75" s="147" t="str">
        <ns0:v>开局</ns0:v>
      </ns0:c>
      <ns0:c r="C75" s="147" t="str">
        <ns0:v>WAVE-016-06</ns0:v>
      </ns0:c>
      <ns0:c r="D75" s="147" t="str">
        <ns0:v>数字盖盒</ns0:v>
      </ns0:c>
      <ns0:c r="E75" s="152" t="n">
        <ns0:v>1</ns0:v>
      </ns0:c>
      <ns0:c r="F75" s="152" t="n">
        <ns0:v>4</ns0:v>
      </ns0:c>
      <ns0:c r="G75" s="152" t="n">
        <ns0:v>4</ns0:v>
      </ns0:c>
      <ns0:c r="H75" s="152" t="n">
        <ns0:v>1</ns0:v>
      </ns0:c>
      <ns0:c r="I75" s="150" t="n">
        <ns0:f>E75*G75</ns0:f>
        <ns0:v>4</ns0:v>
      </ns0:c>
      <ns0:c r="J75" s="150" t="n">
        <ns0:f>E75*(F75-G75)</ns0:f>
        <ns0:v>0</ns0:v>
      </ns0:c>
      <ns0:c r="K75" s="150" t="n">
        <ns0:f>IF(AND(B75="开局",G75=0,OR(D75="普通盒",D75="单颗暂存盒")),J75,0)</ns0:f>
        <ns0:v>0</ns0:v>
      </ns0:c>
      <ns0:c r="L75" s="150" t="n">
        <ns0:f>IF(AND(B75="开局",G75&gt;0,OR(D75="普通盒",D75="底部置顶盒",D75="炸弹盒")),J75,0)</ns0:f>
        <ns0:v>0</ns0:v>
      </ns0:c>
      <ns0:c r="M75" s="150" t="n">
        <ns0:f>IF(AND(B75="开局",OR(D75="固定颜色盒",D75="单向收纳盒")),J75,0)</ns0:f>
        <ns0:v>0</ns0:v>
      </ns0:c>
      <ns0:c r="N75" s="150" t="n">
        <ns0:f>IF(AND(B75="开局",OR(D75="数字盖盒",D75="普通冰冻盒",D75="数字冰冻盒",D75="数字冰冻单颗暂存盒")),J75,0)</ns0:f>
        <ns0:v>0</ns0:v>
      </ns0:c>
      <ns0:c r="O75" s="147" t="str">
        <ns0:f>IF(AND(E75&gt;0,E75=INT(E75),G75&gt;=0,G75&lt;=F75,G75=INT(G75),OR(AND(F75=1,OR(D75="单颗暂存盒",D75="数字冰冻单颗暂存盒")),AND(F75=4,NOT(OR(D75="单颗暂存盒",D75="数字冰冻单颗暂存盒")))),IF(OR(D75="数字盖盒",D75="数字冰冻盒",D75="数字冰冻单颗暂存盒"),AND(H75&gt;=1,H75=INT(H75)),H75=0),IF(B75="开局",AND(IF(OR(D75="数字盖盒",D75="普通冰冻盒",D75="数字冰冻盒",D75="炸弹盒",D75="底部置顶盒"),OR(G75=3,G75=4),TRUE),IF(OR(D75="单向收纳盒",D75="单颗暂存盒",D75="数字冰冻单颗暂存盒"),OR(G75=0,G75=1),TRUE),IF(OR(D75="固定颜色盒",D75="广告锁定周转盒"),G75=0,TRUE)),TRUE)),"通过","需调整")</ns0:f>
        <ns0:v>通过</ns0:v>
      </ns0:c>
      <ns0:c r="P75" s="147" t="str">
        <ns0:v>确认方案装量</ns0:v>
      </ns0:c>
      <ns0:c r="Q75" s="147" t="str">
        <ns0:v>普通盒容量4；广告周转不计入免费空盒</ns0:v>
      </ns0:c>
      <ns0:c r="R75" s="150" t="n">
        <ns0:f>E75*H75</ns0:f>
        <ns0:v>1</ns0:v>
      </ns0:c>
    </ns0:row>
    <ns0:row r="76" ht="21" customHeight="1">
      <ns0:c r="A76" s="149" t="n">
        <ns0:v>16</ns0:v>
      </ns0:c>
      <ns0:c r="B76" s="145" t="str">
        <ns0:v>开局</ns0:v>
      </ns0:c>
      <ns0:c r="C76" s="145" t="str">
        <ns0:v>WAVE-016-07</ns0:v>
      </ns0:c>
      <ns0:c r="D76" s="145" t="str">
        <ns0:v>广告锁定周转盒</ns0:v>
      </ns0:c>
      <ns0:c r="E76" s="152" t="n">
        <ns0:v>2</ns0:v>
      </ns0:c>
      <ns0:c r="F76" s="152" t="n">
        <ns0:v>4</ns0:v>
      </ns0:c>
      <ns0:c r="G76" s="152" t="n">
        <ns0:v>0</ns0:v>
      </ns0:c>
      <ns0:c r="H76" s="152" t="n">
        <ns0:v>0</ns0:v>
      </ns0:c>
      <ns0:c r="I76" s="149" t="n">
        <ns0:f>E76*G76</ns0:f>
        <ns0:v>0</ns0:v>
      </ns0:c>
      <ns0:c r="J76" s="149" t="n">
        <ns0:f>E76*(F76-G76)</ns0:f>
        <ns0:v>8</ns0:v>
      </ns0:c>
      <ns0:c r="K76" s="149" t="n">
        <ns0:f>IF(AND(B76="开局",G76=0,OR(D76="普通盒",D76="单颗暂存盒")),J76,0)</ns0:f>
        <ns0:v>0</ns0:v>
      </ns0:c>
      <ns0:c r="L76" s="149" t="n">
        <ns0:f>IF(AND(B76="开局",G76&gt;0,OR(D76="普通盒",D76="底部置顶盒",D76="炸弹盒")),J76,0)</ns0:f>
        <ns0:v>0</ns0:v>
      </ns0:c>
      <ns0:c r="M76" s="149" t="n">
        <ns0:f>IF(AND(B76="开局",OR(D76="固定颜色盒",D76="单向收纳盒")),J76,0)</ns0:f>
        <ns0:v>0</ns0:v>
      </ns0:c>
      <ns0:c r="N76" s="149" t="n">
        <ns0:f>IF(AND(B76="开局",OR(D76="数字盖盒",D76="普通冰冻盒",D76="数字冰冻盒",D76="数字冰冻单颗暂存盒")),J76,0)</ns0:f>
        <ns0:v>0</ns0:v>
      </ns0:c>
      <ns0:c r="O76" s="145" t="str">
        <ns0:f>IF(AND(E76&gt;0,E76=INT(E76),G76&gt;=0,G76&lt;=F76,G76=INT(G76),OR(AND(F76=1,OR(D76="单颗暂存盒",D76="数字冰冻单颗暂存盒")),AND(F76=4,NOT(OR(D76="单颗暂存盒",D76="数字冰冻单颗暂存盒")))),IF(OR(D76="数字盖盒",D76="数字冰冻盒",D76="数字冰冻单颗暂存盒"),AND(H76&gt;=1,H76=INT(H76)),H76=0),IF(B76="开局",AND(IF(OR(D76="数字盖盒",D76="普通冰冻盒",D76="数字冰冻盒",D76="炸弹盒",D76="底部置顶盒"),OR(G76=3,G76=4),TRUE),IF(OR(D76="单向收纳盒",D76="单颗暂存盒",D76="数字冰冻单颗暂存盒"),OR(G76=0,G76=1),TRUE),IF(OR(D76="固定颜色盒",D76="广告锁定周转盒"),G76=0,TRUE)),TRUE)),"通过","需调整")</ns0:f>
        <ns0:v>通过</ns0:v>
      </ns0:c>
      <ns0:c r="P76" s="145" t="str">
        <ns0:v>确认方案装量</ns0:v>
      </ns0:c>
      <ns0:c r="Q76" s="145" t="str">
        <ns0:v>普通盒容量4；广告周转不计入免费空盒</ns0:v>
      </ns0:c>
      <ns0:c r="R76" s="149" t="n">
        <ns0:f>E76*H76</ns0:f>
        <ns0:v>0</ns0:v>
      </ns0:c>
    </ns0:row>
    <ns0:row r="77" ht="21" customHeight="1">
      <ns0:c r="A77" s="150" t="n">
        <ns0:v>16</ns0:v>
      </ns0:c>
      <ns0:c r="B77" s="147" t="str">
        <ns0:v>备货</ns0:v>
      </ns0:c>
      <ns0:c r="C77" s="147" t="str">
        <ns0:v>WAVE-016-08</ns0:v>
      </ns0:c>
      <ns0:c r="D77" s="147" t="str">
        <ns0:v>普通盒</ns0:v>
      </ns0:c>
      <ns0:c r="E77" s="152" t="n">
        <ns0:v>2</ns0:v>
      </ns0:c>
      <ns0:c r="F77" s="152" t="n">
        <ns0:v>4</ns0:v>
      </ns0:c>
      <ns0:c r="G77" s="152" t="n">
        <ns0:v>4</ns0:v>
      </ns0:c>
      <ns0:c r="H77" s="152" t="n">
        <ns0:v>0</ns0:v>
      </ns0:c>
      <ns0:c r="I77" s="150" t="n">
        <ns0:f>E77*G77</ns0:f>
        <ns0:v>8</ns0:v>
      </ns0:c>
      <ns0:c r="J77" s="150" t="n">
        <ns0:f>E77*(F77-G77)</ns0:f>
        <ns0:v>0</ns0:v>
      </ns0:c>
      <ns0:c r="K77" s="150" t="n">
        <ns0:f>IF(AND(B77="开局",G77=0,OR(D77="普通盒",D77="单颗暂存盒")),J77,0)</ns0:f>
        <ns0:v>0</ns0:v>
      </ns0:c>
      <ns0:c r="L77" s="150" t="n">
        <ns0:f>IF(AND(B77="开局",G77&gt;0,OR(D77="普通盒",D77="底部置顶盒",D77="炸弹盒")),J77,0)</ns0:f>
        <ns0:v>0</ns0:v>
      </ns0:c>
      <ns0:c r="M77" s="150" t="n">
        <ns0:f>IF(AND(B77="开局",OR(D77="固定颜色盒",D77="单向收纳盒")),J77,0)</ns0:f>
        <ns0:v>0</ns0:v>
      </ns0:c>
      <ns0:c r="N77" s="150" t="n">
        <ns0:f>IF(AND(B77="开局",OR(D77="数字盖盒",D77="普通冰冻盒",D77="数字冰冻盒",D77="数字冰冻单颗暂存盒")),J77,0)</ns0:f>
        <ns0:v>0</ns0:v>
      </ns0:c>
      <ns0:c r="O77" s="147" t="str">
        <ns0:f>IF(AND(E77&gt;0,E77=INT(E77),G77&gt;=0,G77&lt;=F77,G77=INT(G77),OR(AND(F77=1,OR(D77="单颗暂存盒",D77="数字冰冻单颗暂存盒")),AND(F77=4,NOT(OR(D77="单颗暂存盒",D77="数字冰冻单颗暂存盒")))),IF(OR(D77="数字盖盒",D77="数字冰冻盒",D77="数字冰冻单颗暂存盒"),AND(H77&gt;=1,H77=INT(H77)),H77=0),IF(B77="开局",AND(IF(OR(D77="数字盖盒",D77="普通冰冻盒",D77="数字冰冻盒",D77="炸弹盒",D77="底部置顶盒"),OR(G77=3,G77=4),TRUE),IF(OR(D77="单向收纳盒",D77="单颗暂存盒",D77="数字冰冻单颗暂存盒"),OR(G77=0,G77=1),TRUE),IF(OR(D77="固定颜色盒",D77="广告锁定周转盒"),G77=0,TRUE)),TRUE)),"通过","需调整")</ns0:f>
        <ns0:v>通过</ns0:v>
      </ns0:c>
      <ns0:c r="P77" s="147" t="str">
        <ns0:v>确认方案装量</ns0:v>
      </ns0:c>
      <ns0:c r="Q77" s="147" t="str">
        <ns0:v>普通盒容量4；广告周转不计入免费空盒</ns0:v>
      </ns0:c>
      <ns0:c r="R77" s="150" t="n">
        <ns0:f>E77*H77</ns0:f>
        <ns0:v>0</ns0:v>
      </ns0:c>
    </ns0:row>
    <ns0:row r="78" ht="21" customHeight="1">
      <ns0:c r="A78" s="149" t="n">
        <ns0:v>17</ns0:v>
      </ns0:c>
      <ns0:c r="B78" s="145" t="str">
        <ns0:v>开局</ns0:v>
      </ns0:c>
      <ns0:c r="C78" s="145" t="str">
        <ns0:v>WAVE-017-01</ns0:v>
      </ns0:c>
      <ns0:c r="D78" s="145" t="str">
        <ns0:v>普通盒</ns0:v>
      </ns0:c>
      <ns0:c r="E78" s="152" t="n">
        <ns0:v>10</ns0:v>
      </ns0:c>
      <ns0:c r="F78" s="152" t="n">
        <ns0:v>4</ns0:v>
      </ns0:c>
      <ns0:c r="G78" s="152" t="n">
        <ns0:v>4</ns0:v>
      </ns0:c>
      <ns0:c r="H78" s="152" t="n">
        <ns0:v>0</ns0:v>
      </ns0:c>
      <ns0:c r="I78" s="149" t="n">
        <ns0:f>E78*G78</ns0:f>
        <ns0:v>40</ns0:v>
      </ns0:c>
      <ns0:c r="J78" s="149" t="n">
        <ns0:f>E78*(F78-G78)</ns0:f>
        <ns0:v>0</ns0:v>
      </ns0:c>
      <ns0:c r="K78" s="149" t="n">
        <ns0:f>IF(AND(B78="开局",G78=0,OR(D78="普通盒",D78="单颗暂存盒")),J78,0)</ns0:f>
        <ns0:v>0</ns0:v>
      </ns0:c>
      <ns0:c r="L78" s="149" t="n">
        <ns0:f>IF(AND(B78="开局",G78&gt;0,OR(D78="普通盒",D78="底部置顶盒",D78="炸弹盒")),J78,0)</ns0:f>
        <ns0:v>0</ns0:v>
      </ns0:c>
      <ns0:c r="M78" s="149" t="n">
        <ns0:f>IF(AND(B78="开局",OR(D78="固定颜色盒",D78="单向收纳盒")),J78,0)</ns0:f>
        <ns0:v>0</ns0:v>
      </ns0:c>
      <ns0:c r="N78" s="149" t="n">
        <ns0:f>IF(AND(B78="开局",OR(D78="数字盖盒",D78="普通冰冻盒",D78="数字冰冻盒",D78="数字冰冻单颗暂存盒")),J78,0)</ns0:f>
        <ns0:v>0</ns0:v>
      </ns0:c>
      <ns0:c r="O78" s="145" t="str">
        <ns0:f>IF(AND(E78&gt;0,E78=INT(E78),G78&gt;=0,G78&lt;=F78,G78=INT(G78),OR(AND(F78=1,OR(D78="单颗暂存盒",D78="数字冰冻单颗暂存盒")),AND(F78=4,NOT(OR(D78="单颗暂存盒",D78="数字冰冻单颗暂存盒")))),IF(OR(D78="数字盖盒",D78="数字冰冻盒",D78="数字冰冻单颗暂存盒"),AND(H78&gt;=1,H78=INT(H78)),H78=0),IF(B78="开局",AND(IF(OR(D78="数字盖盒",D78="普通冰冻盒",D78="数字冰冻盒",D78="炸弹盒",D78="底部置顶盒"),OR(G78=3,G78=4),TRUE),IF(OR(D78="单向收纳盒",D78="单颗暂存盒",D78="数字冰冻单颗暂存盒"),OR(G78=0,G78=1),TRUE),IF(OR(D78="固定颜色盒",D78="广告锁定周转盒"),G78=0,TRUE)),TRUE)),"通过","需调整")</ns0:f>
        <ns0:v>通过</ns0:v>
      </ns0:c>
      <ns0:c r="P78" s="145" t="str">
        <ns0:v>确认方案装量</ns0:v>
      </ns0:c>
      <ns0:c r="Q78" s="145" t="str">
        <ns0:v>层序JSON:{"reference":"2026-10-04 用户确认11—20关难度表；2026-10-05制作；层序自顶向下","slots":[{"group_id":"WAVE-017-04","layers":[8,3,2,2]},{"group_id":"WAVE-017-01","layers":[8,4,2,4]},{"group_id":"WAVE-017-03","layers":[3,8]},{"group_id":"WAVE-017-01","layers":[0,5,12,4]},{"group_id":"WAVE-017-01","layers":[6,5,4,4]},{"group_id":"WAVE-017-01","layers":[6,3,2,12]},{"group_id":"WAVE-017-01","layers":[6,2,6,12]},{"group_id":"WAVE-017-02","layers":[6,0,5]},{"group_id":"WAVE-017-05","layers":[6,2,0,0]},{"group_id":"WAVE-017-03","layers":[0,2]},{"group_id":"WAVE-017-01","layers":[3,12,8,4]},{"group_id":"WAVE-017-02","layers":[2,3,2]},{"group_id":"WAVE-017-01","layers":[0,5,12,12]},{"group_id":"WAVE-017-02","layers":[8,0,2]},{"group_id":"WAVE-017-02","layers":[6,8,0]},{"group_id":"WAVE-017-01","layers":[3,8,0,12]},{"group_id":"WAVE-017-01","layers":[2,4,5,5]},{"group_id":"WAVE-017-01","layers":[5,4,2,6]}],"stock":[{"group_id":"WAVE-017-07","layers":[0,0,8,3]},{"group_id":"WAVE-017-07","layers":[3,5,12,0]}],"demand_sequences":[[0,12,3,5,8,12,4,5,3],[2,8,2,0,4,6,2,0,6]]}</ns0:v>
      </ns0:c>
      <ns0:c r="R78" s="149" t="n">
        <ns0:f>E78*H78</ns0:f>
        <ns0:v>0</ns0:v>
      </ns0:c>
    </ns0:row>
    <ns0:row r="79" ht="21" customHeight="1">
      <ns0:c r="A79" s="150" t="n">
        <ns0:v>17</ns0:v>
      </ns0:c>
      <ns0:c r="B79" s="147" t="str">
        <ns0:v>开局</ns0:v>
      </ns0:c>
      <ns0:c r="C79" s="147" t="str">
        <ns0:v>WAVE-017-02</ns0:v>
      </ns0:c>
      <ns0:c r="D79" s="147" t="str">
        <ns0:v>普通盒</ns0:v>
      </ns0:c>
      <ns0:c r="E79" s="152" t="n">
        <ns0:v>4</ns0:v>
      </ns0:c>
      <ns0:c r="F79" s="152" t="n">
        <ns0:v>4</ns0:v>
      </ns0:c>
      <ns0:c r="G79" s="152" t="n">
        <ns0:v>3</ns0:v>
      </ns0:c>
      <ns0:c r="H79" s="152" t="n">
        <ns0:v>0</ns0:v>
      </ns0:c>
      <ns0:c r="I79" s="150" t="n">
        <ns0:f>E79*G79</ns0:f>
        <ns0:v>12</ns0:v>
      </ns0:c>
      <ns0:c r="J79" s="150" t="n">
        <ns0:f>E79*(F79-G79)</ns0:f>
        <ns0:v>4</ns0:v>
      </ns0:c>
      <ns0:c r="K79" s="150" t="n">
        <ns0:f>IF(AND(B79="开局",G79=0,OR(D79="普通盒",D79="单颗暂存盒")),J79,0)</ns0:f>
        <ns0:v>0</ns0:v>
      </ns0:c>
      <ns0:c r="L79" s="150" t="n">
        <ns0:f>IF(AND(B79="开局",G79&gt;0,OR(D79="普通盒",D79="底部置顶盒",D79="炸弹盒")),J79,0)</ns0:f>
        <ns0:v>4</ns0:v>
      </ns0:c>
      <ns0:c r="M79" s="150" t="n">
        <ns0:f>IF(AND(B79="开局",OR(D79="固定颜色盒",D79="单向收纳盒")),J79,0)</ns0:f>
        <ns0:v>0</ns0:v>
      </ns0:c>
      <ns0:c r="N79" s="150" t="n">
        <ns0:f>IF(AND(B79="开局",OR(D79="数字盖盒",D79="普通冰冻盒",D79="数字冰冻盒",D79="数字冰冻单颗暂存盒")),J79,0)</ns0:f>
        <ns0:v>0</ns0:v>
      </ns0:c>
      <ns0:c r="O79" s="147" t="str">
        <ns0:f>IF(AND(E79&gt;0,E79=INT(E79),G79&gt;=0,G79&lt;=F79,G79=INT(G79),OR(AND(F79=1,OR(D79="单颗暂存盒",D79="数字冰冻单颗暂存盒")),AND(F79=4,NOT(OR(D79="单颗暂存盒",D79="数字冰冻单颗暂存盒")))),IF(OR(D79="数字盖盒",D79="数字冰冻盒",D79="数字冰冻单颗暂存盒"),AND(H79&gt;=1,H79=INT(H79)),H79=0),IF(B79="开局",AND(IF(OR(D79="数字盖盒",D79="普通冰冻盒",D79="数字冰冻盒",D79="炸弹盒",D79="底部置顶盒"),OR(G79=3,G79=4),TRUE),IF(OR(D79="单向收纳盒",D79="单颗暂存盒",D79="数字冰冻单颗暂存盒"),OR(G79=0,G79=1),TRUE),IF(OR(D79="固定颜色盒",D79="广告锁定周转盒"),G79=0,TRUE)),TRUE)),"通过","需调整")</ns0:f>
        <ns0:v>通过</ns0:v>
      </ns0:c>
      <ns0:c r="P79" s="147" t="str">
        <ns0:v>确认方案装量</ns0:v>
      </ns0:c>
      <ns0:c r="Q79" s="147" t="str">
        <ns0:v>普通盒容量4；广告周转不计入免费空盒</ns0:v>
      </ns0:c>
      <ns0:c r="R79" s="150" t="n">
        <ns0:f>E79*H79</ns0:f>
        <ns0:v>0</ns0:v>
      </ns0:c>
    </ns0:row>
    <ns0:row r="80" ht="21" customHeight="1">
      <ns0:c r="A80" s="149" t="n">
        <ns0:v>17</ns0:v>
      </ns0:c>
      <ns0:c r="B80" s="145" t="str">
        <ns0:v>开局</ns0:v>
      </ns0:c>
      <ns0:c r="C80" s="145" t="str">
        <ns0:v>WAVE-017-03</ns0:v>
      </ns0:c>
      <ns0:c r="D80" s="145" t="str">
        <ns0:v>普通盒</ns0:v>
      </ns0:c>
      <ns0:c r="E80" s="152" t="n">
        <ns0:v>2</ns0:v>
      </ns0:c>
      <ns0:c r="F80" s="152" t="n">
        <ns0:v>4</ns0:v>
      </ns0:c>
      <ns0:c r="G80" s="152" t="n">
        <ns0:v>2</ns0:v>
      </ns0:c>
      <ns0:c r="H80" s="152" t="n">
        <ns0:v>0</ns0:v>
      </ns0:c>
      <ns0:c r="I80" s="149" t="n">
        <ns0:f>E80*G80</ns0:f>
        <ns0:v>4</ns0:v>
      </ns0:c>
      <ns0:c r="J80" s="149" t="n">
        <ns0:f>E80*(F80-G80)</ns0:f>
        <ns0:v>4</ns0:v>
      </ns0:c>
      <ns0:c r="K80" s="149" t="n">
        <ns0:f>IF(AND(B80="开局",G80=0,OR(D80="普通盒",D80="单颗暂存盒")),J80,0)</ns0:f>
        <ns0:v>0</ns0:v>
      </ns0:c>
      <ns0:c r="L80" s="149" t="n">
        <ns0:f>IF(AND(B80="开局",G80&gt;0,OR(D80="普通盒",D80="底部置顶盒",D80="炸弹盒")),J80,0)</ns0:f>
        <ns0:v>4</ns0:v>
      </ns0:c>
      <ns0:c r="M80" s="149" t="n">
        <ns0:f>IF(AND(B80="开局",OR(D80="固定颜色盒",D80="单向收纳盒")),J80,0)</ns0:f>
        <ns0:v>0</ns0:v>
      </ns0:c>
      <ns0:c r="N80" s="149" t="n">
        <ns0:f>IF(AND(B80="开局",OR(D80="数字盖盒",D80="普通冰冻盒",D80="数字冰冻盒",D80="数字冰冻单颗暂存盒")),J80,0)</ns0:f>
        <ns0:v>0</ns0:v>
      </ns0:c>
      <ns0:c r="O80" s="145" t="str">
        <ns0:f>IF(AND(E80&gt;0,E80=INT(E80),G80&gt;=0,G80&lt;=F80,G80=INT(G80),OR(AND(F80=1,OR(D80="单颗暂存盒",D80="数字冰冻单颗暂存盒")),AND(F80=4,NOT(OR(D80="单颗暂存盒",D80="数字冰冻单颗暂存盒")))),IF(OR(D80="数字盖盒",D80="数字冰冻盒",D80="数字冰冻单颗暂存盒"),AND(H80&gt;=1,H80=INT(H80)),H80=0),IF(B80="开局",AND(IF(OR(D80="数字盖盒",D80="普通冰冻盒",D80="数字冰冻盒",D80="炸弹盒",D80="底部置顶盒"),OR(G80=3,G80=4),TRUE),IF(OR(D80="单向收纳盒",D80="单颗暂存盒",D80="数字冰冻单颗暂存盒"),OR(G80=0,G80=1),TRUE),IF(OR(D80="固定颜色盒",D80="广告锁定周转盒"),G80=0,TRUE)),TRUE)),"通过","需调整")</ns0:f>
        <ns0:v>通过</ns0:v>
      </ns0:c>
      <ns0:c r="P80" s="145" t="str">
        <ns0:v>确认方案装量</ns0:v>
      </ns0:c>
      <ns0:c r="Q80" s="145" t="str">
        <ns0:v>普通盒容量4；广告周转不计入免费空盒</ns0:v>
      </ns0:c>
      <ns0:c r="R80" s="149" t="n">
        <ns0:f>E80*H80</ns0:f>
        <ns0:v>0</ns0:v>
      </ns0:c>
    </ns0:row>
    <ns0:row r="81" ht="21" customHeight="1">
      <ns0:c r="A81" s="150" t="n">
        <ns0:v>17</ns0:v>
      </ns0:c>
      <ns0:c r="B81" s="147" t="str">
        <ns0:v>开局</ns0:v>
      </ns0:c>
      <ns0:c r="C81" s="147" t="str">
        <ns0:v>WAVE-017-04</ns0:v>
      </ns0:c>
      <ns0:c r="D81" s="147" t="str">
        <ns0:v>数字盖盒</ns0:v>
      </ns0:c>
      <ns0:c r="E81" s="152" t="n">
        <ns0:v>1</ns0:v>
      </ns0:c>
      <ns0:c r="F81" s="152" t="n">
        <ns0:v>4</ns0:v>
      </ns0:c>
      <ns0:c r="G81" s="152" t="n">
        <ns0:v>4</ns0:v>
      </ns0:c>
      <ns0:c r="H81" s="152" t="n">
        <ns0:v>1</ns0:v>
      </ns0:c>
      <ns0:c r="I81" s="150" t="n">
        <ns0:f>E81*G81</ns0:f>
        <ns0:v>4</ns0:v>
      </ns0:c>
      <ns0:c r="J81" s="150" t="n">
        <ns0:f>E81*(F81-G81)</ns0:f>
        <ns0:v>0</ns0:v>
      </ns0:c>
      <ns0:c r="K81" s="150" t="n">
        <ns0:f>IF(AND(B81="开局",G81=0,OR(D81="普通盒",D81="单颗暂存盒")),J81,0)</ns0:f>
        <ns0:v>0</ns0:v>
      </ns0:c>
      <ns0:c r="L81" s="150" t="n">
        <ns0:f>IF(AND(B81="开局",G81&gt;0,OR(D81="普通盒",D81="底部置顶盒",D81="炸弹盒")),J81,0)</ns0:f>
        <ns0:v>0</ns0:v>
      </ns0:c>
      <ns0:c r="M81" s="150" t="n">
        <ns0:f>IF(AND(B81="开局",OR(D81="固定颜色盒",D81="单向收纳盒")),J81,0)</ns0:f>
        <ns0:v>0</ns0:v>
      </ns0:c>
      <ns0:c r="N81" s="150" t="n">
        <ns0:f>IF(AND(B81="开局",OR(D81="数字盖盒",D81="普通冰冻盒",D81="数字冰冻盒",D81="数字冰冻单颗暂存盒")),J81,0)</ns0:f>
        <ns0:v>0</ns0:v>
      </ns0:c>
      <ns0:c r="O81" s="147" t="str">
        <ns0:f>IF(AND(E81&gt;0,E81=INT(E81),G81&gt;=0,G81&lt;=F81,G81=INT(G81),OR(AND(F81=1,OR(D81="单颗暂存盒",D81="数字冰冻单颗暂存盒")),AND(F81=4,NOT(OR(D81="单颗暂存盒",D81="数字冰冻单颗暂存盒")))),IF(OR(D81="数字盖盒",D81="数字冰冻盒",D81="数字冰冻单颗暂存盒"),AND(H81&gt;=1,H81=INT(H81)),H81=0),IF(B81="开局",AND(IF(OR(D81="数字盖盒",D81="普通冰冻盒",D81="数字冰冻盒",D81="炸弹盒",D81="底部置顶盒"),OR(G81=3,G81=4),TRUE),IF(OR(D81="单向收纳盒",D81="单颗暂存盒",D81="数字冰冻单颗暂存盒"),OR(G81=0,G81=1),TRUE),IF(OR(D81="固定颜色盒",D81="广告锁定周转盒"),G81=0,TRUE)),TRUE)),"通过","需调整")</ns0:f>
        <ns0:v>通过</ns0:v>
      </ns0:c>
      <ns0:c r="P81" s="147" t="str">
        <ns0:v>确认方案装量</ns0:v>
      </ns0:c>
      <ns0:c r="Q81" s="147" t="str">
        <ns0:v>普通盒容量4；广告周转不计入免费空盒</ns0:v>
      </ns0:c>
      <ns0:c r="R81" s="150" t="n">
        <ns0:f>E81*H81</ns0:f>
        <ns0:v>1</ns0:v>
      </ns0:c>
    </ns0:row>
    <ns0:row r="82" ht="21" customHeight="1">
      <ns0:c r="A82" s="149" t="n">
        <ns0:v>17</ns0:v>
      </ns0:c>
      <ns0:c r="B82" s="145" t="str">
        <ns0:v>开局</ns0:v>
      </ns0:c>
      <ns0:c r="C82" s="145" t="str">
        <ns0:v>WAVE-017-05</ns0:v>
      </ns0:c>
      <ns0:c r="D82" s="145" t="str">
        <ns0:v>数字盖盒</ns0:v>
      </ns0:c>
      <ns0:c r="E82" s="152" t="n">
        <ns0:v>1</ns0:v>
      </ns0:c>
      <ns0:c r="F82" s="152" t="n">
        <ns0:v>4</ns0:v>
      </ns0:c>
      <ns0:c r="G82" s="152" t="n">
        <ns0:v>4</ns0:v>
      </ns0:c>
      <ns0:c r="H82" s="152" t="n">
        <ns0:v>2</ns0:v>
      </ns0:c>
      <ns0:c r="I82" s="149" t="n">
        <ns0:f>E82*G82</ns0:f>
        <ns0:v>4</ns0:v>
      </ns0:c>
      <ns0:c r="J82" s="149" t="n">
        <ns0:f>E82*(F82-G82)</ns0:f>
        <ns0:v>0</ns0:v>
      </ns0:c>
      <ns0:c r="K82" s="149" t="n">
        <ns0:f>IF(AND(B82="开局",G82=0,OR(D82="普通盒",D82="单颗暂存盒")),J82,0)</ns0:f>
        <ns0:v>0</ns0:v>
      </ns0:c>
      <ns0:c r="L82" s="149" t="n">
        <ns0:f>IF(AND(B82="开局",G82&gt;0,OR(D82="普通盒",D82="底部置顶盒",D82="炸弹盒")),J82,0)</ns0:f>
        <ns0:v>0</ns0:v>
      </ns0:c>
      <ns0:c r="M82" s="149" t="n">
        <ns0:f>IF(AND(B82="开局",OR(D82="固定颜色盒",D82="单向收纳盒")),J82,0)</ns0:f>
        <ns0:v>0</ns0:v>
      </ns0:c>
      <ns0:c r="N82" s="149" t="n">
        <ns0:f>IF(AND(B82="开局",OR(D82="数字盖盒",D82="普通冰冻盒",D82="数字冰冻盒",D82="数字冰冻单颗暂存盒")),J82,0)</ns0:f>
        <ns0:v>0</ns0:v>
      </ns0:c>
      <ns0:c r="O82" s="145" t="str">
        <ns0:f>IF(AND(E82&gt;0,E82=INT(E82),G82&gt;=0,G82&lt;=F82,G82=INT(G82),OR(AND(F82=1,OR(D82="单颗暂存盒",D82="数字冰冻单颗暂存盒")),AND(F82=4,NOT(OR(D82="单颗暂存盒",D82="数字冰冻单颗暂存盒")))),IF(OR(D82="数字盖盒",D82="数字冰冻盒",D82="数字冰冻单颗暂存盒"),AND(H82&gt;=1,H82=INT(H82)),H82=0),IF(B82="开局",AND(IF(OR(D82="数字盖盒",D82="普通冰冻盒",D82="数字冰冻盒",D82="炸弹盒",D82="底部置顶盒"),OR(G82=3,G82=4),TRUE),IF(OR(D82="单向收纳盒",D82="单颗暂存盒",D82="数字冰冻单颗暂存盒"),OR(G82=0,G82=1),TRUE),IF(OR(D82="固定颜色盒",D82="广告锁定周转盒"),G82=0,TRUE)),TRUE)),"通过","需调整")</ns0:f>
        <ns0:v>通过</ns0:v>
      </ns0:c>
      <ns0:c r="P82" s="145" t="str">
        <ns0:v>确认方案装量</ns0:v>
      </ns0:c>
      <ns0:c r="Q82" s="145" t="str">
        <ns0:v>普通盒容量4；广告周转不计入免费空盒</ns0:v>
      </ns0:c>
      <ns0:c r="R82" s="149" t="n">
        <ns0:f>E82*H82</ns0:f>
        <ns0:v>2</ns0:v>
      </ns0:c>
    </ns0:row>
    <ns0:row r="83" ht="21" customHeight="1">
      <ns0:c r="A83" s="150" t="n">
        <ns0:v>17</ns0:v>
      </ns0:c>
      <ns0:c r="B83" s="147" t="str">
        <ns0:v>开局</ns0:v>
      </ns0:c>
      <ns0:c r="C83" s="147" t="str">
        <ns0:v>WAVE-017-06</ns0:v>
      </ns0:c>
      <ns0:c r="D83" s="147" t="str">
        <ns0:v>广告锁定周转盒</ns0:v>
      </ns0:c>
      <ns0:c r="E83" s="152" t="n">
        <ns0:v>2</ns0:v>
      </ns0:c>
      <ns0:c r="F83" s="152" t="n">
        <ns0:v>4</ns0:v>
      </ns0:c>
      <ns0:c r="G83" s="152" t="n">
        <ns0:v>0</ns0:v>
      </ns0:c>
      <ns0:c r="H83" s="152" t="n">
        <ns0:v>0</ns0:v>
      </ns0:c>
      <ns0:c r="I83" s="150" t="n">
        <ns0:f>E83*G83</ns0:f>
        <ns0:v>0</ns0:v>
      </ns0:c>
      <ns0:c r="J83" s="150" t="n">
        <ns0:f>E83*(F83-G83)</ns0:f>
        <ns0:v>8</ns0:v>
      </ns0:c>
      <ns0:c r="K83" s="150" t="n">
        <ns0:f>IF(AND(B83="开局",G83=0,OR(D83="普通盒",D83="单颗暂存盒")),J83,0)</ns0:f>
        <ns0:v>0</ns0:v>
      </ns0:c>
      <ns0:c r="L83" s="150" t="n">
        <ns0:f>IF(AND(B83="开局",G83&gt;0,OR(D83="普通盒",D83="底部置顶盒",D83="炸弹盒")),J83,0)</ns0:f>
        <ns0:v>0</ns0:v>
      </ns0:c>
      <ns0:c r="M83" s="150" t="n">
        <ns0:f>IF(AND(B83="开局",OR(D83="固定颜色盒",D83="单向收纳盒")),J83,0)</ns0:f>
        <ns0:v>0</ns0:v>
      </ns0:c>
      <ns0:c r="N83" s="150" t="n">
        <ns0:f>IF(AND(B83="开局",OR(D83="数字盖盒",D83="普通冰冻盒",D83="数字冰冻盒",D83="数字冰冻单颗暂存盒")),J83,0)</ns0:f>
        <ns0:v>0</ns0:v>
      </ns0:c>
      <ns0:c r="O83" s="147" t="str">
        <ns0:f>IF(AND(E83&gt;0,E83=INT(E83),G83&gt;=0,G83&lt;=F83,G83=INT(G83),OR(AND(F83=1,OR(D83="单颗暂存盒",D83="数字冰冻单颗暂存盒")),AND(F83=4,NOT(OR(D83="单颗暂存盒",D83="数字冰冻单颗暂存盒")))),IF(OR(D83="数字盖盒",D83="数字冰冻盒",D83="数字冰冻单颗暂存盒"),AND(H83&gt;=1,H83=INT(H83)),H83=0),IF(B83="开局",AND(IF(OR(D83="数字盖盒",D83="普通冰冻盒",D83="数字冰冻盒",D83="炸弹盒",D83="底部置顶盒"),OR(G83=3,G83=4),TRUE),IF(OR(D83="单向收纳盒",D83="单颗暂存盒",D83="数字冰冻单颗暂存盒"),OR(G83=0,G83=1),TRUE),IF(OR(D83="固定颜色盒",D83="广告锁定周转盒"),G83=0,TRUE)),TRUE)),"通过","需调整")</ns0:f>
        <ns0:v>通过</ns0:v>
      </ns0:c>
      <ns0:c r="P83" s="147" t="str">
        <ns0:v>确认方案装量</ns0:v>
      </ns0:c>
      <ns0:c r="Q83" s="147" t="str">
        <ns0:v>普通盒容量4；广告周转不计入免费空盒</ns0:v>
      </ns0:c>
      <ns0:c r="R83" s="150" t="n">
        <ns0:f>E83*H83</ns0:f>
        <ns0:v>0</ns0:v>
      </ns0:c>
    </ns0:row>
    <ns0:row r="84" ht="21" customHeight="1">
      <ns0:c r="A84" s="149" t="n">
        <ns0:v>17</ns0:v>
      </ns0:c>
      <ns0:c r="B84" s="145" t="str">
        <ns0:v>备货</ns0:v>
      </ns0:c>
      <ns0:c r="C84" s="145" t="str">
        <ns0:v>WAVE-017-07</ns0:v>
      </ns0:c>
      <ns0:c r="D84" s="145" t="str">
        <ns0:v>普通盒</ns0:v>
      </ns0:c>
      <ns0:c r="E84" s="152" t="n">
        <ns0:v>2</ns0:v>
      </ns0:c>
      <ns0:c r="F84" s="152" t="n">
        <ns0:v>4</ns0:v>
      </ns0:c>
      <ns0:c r="G84" s="152" t="n">
        <ns0:v>4</ns0:v>
      </ns0:c>
      <ns0:c r="H84" s="152" t="n">
        <ns0:v>0</ns0:v>
      </ns0:c>
      <ns0:c r="I84" s="149" t="n">
        <ns0:f>E84*G84</ns0:f>
        <ns0:v>8</ns0:v>
      </ns0:c>
      <ns0:c r="J84" s="149" t="n">
        <ns0:f>E84*(F84-G84)</ns0:f>
        <ns0:v>0</ns0:v>
      </ns0:c>
      <ns0:c r="K84" s="149" t="n">
        <ns0:f>IF(AND(B84="开局",G84=0,OR(D84="普通盒",D84="单颗暂存盒")),J84,0)</ns0:f>
        <ns0:v>0</ns0:v>
      </ns0:c>
      <ns0:c r="L84" s="149" t="n">
        <ns0:f>IF(AND(B84="开局",G84&gt;0,OR(D84="普通盒",D84="底部置顶盒",D84="炸弹盒")),J84,0)</ns0:f>
        <ns0:v>0</ns0:v>
      </ns0:c>
      <ns0:c r="M84" s="149" t="n">
        <ns0:f>IF(AND(B84="开局",OR(D84="固定颜色盒",D84="单向收纳盒")),J84,0)</ns0:f>
        <ns0:v>0</ns0:v>
      </ns0:c>
      <ns0:c r="N84" s="149" t="n">
        <ns0:f>IF(AND(B84="开局",OR(D84="数字盖盒",D84="普通冰冻盒",D84="数字冰冻盒",D84="数字冰冻单颗暂存盒")),J84,0)</ns0:f>
        <ns0:v>0</ns0:v>
      </ns0:c>
      <ns0:c r="O84" s="145" t="str">
        <ns0:f>IF(AND(E84&gt;0,E84=INT(E84),G84&gt;=0,G84&lt;=F84,G84=INT(G84),OR(AND(F84=1,OR(D84="单颗暂存盒",D84="数字冰冻单颗暂存盒")),AND(F84=4,NOT(OR(D84="单颗暂存盒",D84="数字冰冻单颗暂存盒")))),IF(OR(D84="数字盖盒",D84="数字冰冻盒",D84="数字冰冻单颗暂存盒"),AND(H84&gt;=1,H84=INT(H84)),H84=0),IF(B84="开局",AND(IF(OR(D84="数字盖盒",D84="普通冰冻盒",D84="数字冰冻盒",D84="炸弹盒",D84="底部置顶盒"),OR(G84=3,G84=4),TRUE),IF(OR(D84="单向收纳盒",D84="单颗暂存盒",D84="数字冰冻单颗暂存盒"),OR(G84=0,G84=1),TRUE),IF(OR(D84="固定颜色盒",D84="广告锁定周转盒"),G84=0,TRUE)),TRUE)),"通过","需调整")</ns0:f>
        <ns0:v>通过</ns0:v>
      </ns0:c>
      <ns0:c r="P84" s="145" t="str">
        <ns0:v>确认方案装量</ns0:v>
      </ns0:c>
      <ns0:c r="Q84" s="145" t="str">
        <ns0:v>普通盒容量4；广告周转不计入免费空盒</ns0:v>
      </ns0:c>
      <ns0:c r="R84" s="149" t="n">
        <ns0:f>E84*H84</ns0:f>
        <ns0:v>0</ns0:v>
      </ns0:c>
    </ns0:row>
    <ns0:row r="85" ht="21" customHeight="1">
      <ns0:c r="A85" s="150" t="n">
        <ns0:v>18</ns0:v>
      </ns0:c>
      <ns0:c r="B85" s="147" t="str">
        <ns0:v>开局</ns0:v>
      </ns0:c>
      <ns0:c r="C85" s="147" t="str">
        <ns0:v>WAVE-018-01</ns0:v>
      </ns0:c>
      <ns0:c r="D85" s="147" t="str">
        <ns0:v>普通盒</ns0:v>
      </ns0:c>
      <ns0:c r="E85" s="152" t="n">
        <ns0:v>14</ns0:v>
      </ns0:c>
      <ns0:c r="F85" s="152" t="n">
        <ns0:v>4</ns0:v>
      </ns0:c>
      <ns0:c r="G85" s="152" t="n">
        <ns0:v>4</ns0:v>
      </ns0:c>
      <ns0:c r="H85" s="152" t="n">
        <ns0:v>0</ns0:v>
      </ns0:c>
      <ns0:c r="I85" s="150" t="n">
        <ns0:f>E85*G85</ns0:f>
        <ns0:v>56</ns0:v>
      </ns0:c>
      <ns0:c r="J85" s="150" t="n">
        <ns0:f>E85*(F85-G85)</ns0:f>
        <ns0:v>0</ns0:v>
      </ns0:c>
      <ns0:c r="K85" s="150" t="n">
        <ns0:f>IF(AND(B85="开局",G85=0,OR(D85="普通盒",D85="单颗暂存盒")),J85,0)</ns0:f>
        <ns0:v>0</ns0:v>
      </ns0:c>
      <ns0:c r="L85" s="150" t="n">
        <ns0:f>IF(AND(B85="开局",G85&gt;0,OR(D85="普通盒",D85="底部置顶盒",D85="炸弹盒")),J85,0)</ns0:f>
        <ns0:v>0</ns0:v>
      </ns0:c>
      <ns0:c r="M85" s="150" t="n">
        <ns0:f>IF(AND(B85="开局",OR(D85="固定颜色盒",D85="单向收纳盒")),J85,0)</ns0:f>
        <ns0:v>0</ns0:v>
      </ns0:c>
      <ns0:c r="N85" s="150" t="n">
        <ns0:f>IF(AND(B85="开局",OR(D85="数字盖盒",D85="普通冰冻盒",D85="数字冰冻盒",D85="数字冰冻单颗暂存盒")),J85,0)</ns0:f>
        <ns0:v>0</ns0:v>
      </ns0:c>
      <ns0:c r="O85" s="147" t="str">
        <ns0:f>IF(AND(E85&gt;0,E85=INT(E85),G85&gt;=0,G85&lt;=F85,G85=INT(G85),OR(AND(F85=1,OR(D85="单颗暂存盒",D85="数字冰冻单颗暂存盒")),AND(F85=4,NOT(OR(D85="单颗暂存盒",D85="数字冰冻单颗暂存盒")))),IF(OR(D85="数字盖盒",D85="数字冰冻盒",D85="数字冰冻单颗暂存盒"),AND(H85&gt;=1,H85=INT(H85)),H85=0),IF(B85="开局",AND(IF(OR(D85="数字盖盒",D85="普通冰冻盒",D85="数字冰冻盒",D85="炸弹盒",D85="底部置顶盒"),OR(G85=3,G85=4),TRUE),IF(OR(D85="单向收纳盒",D85="单颗暂存盒",D85="数字冰冻单颗暂存盒"),OR(G85=0,G85=1),TRUE),IF(OR(D85="固定颜色盒",D85="广告锁定周转盒"),G85=0,TRUE)),TRUE)),"通过","需调整")</ns0:f>
        <ns0:v>通过</ns0:v>
      </ns0:c>
      <ns0:c r="P85" s="147" t="str">
        <ns0:v>确认方案装量</ns0:v>
      </ns0:c>
      <ns0:c r="Q85" s="147" t="str">
        <ns0:v>层序JSON:{"reference":"2026-10-04 用户确认11—20关难度表；2026-10-05制作；层序自顶向下","slots":[{"group_id":"WAVE-018-01","layers":[3,2,5,6]},{"group_id":"WAVE-018-01","layers":[6,0,3,4]},{"group_id":"WAVE-018-01","layers":[6,2,8,2]},{"group_id":"WAVE-018-02","layers":[4,5,8]},{"group_id":"WAVE-018-01","layers":[3,6,3,3]},{"group_id":"WAVE-018-01","layers":[0,8,5,3]},{"group_id":"WAVE-018-02","layers":[4,0,0]},{"group_id":"WAVE-018-01","layers":[6,2,3,4]},{"group_id":"WAVE-018-01","layers":[3,0,5,0]},{"group_id":"WAVE-018-05","layers":[2,8,6,2]},{"group_id":"WAVE-018-01","layers":[2,8,5,2]},{"group_id":"WAVE-018-01","layers":[3,5,0,4]},{"group_id":"WAVE-018-01","layers":[8,3,2,8]},{"group_id":"WAVE-018-01","layers":[4,2,4,5]},{"group_id":"WAVE-018-01","layers":[5,4,4,2]},{"group_id":"WAVE-018-03","layers":[6,8]},{"group_id":"WAVE-018-01","layers":[4,3,0,3]},{"group_id":"WAVE-018-01","layers":[4,4,6,2]},{"group_id":"WAVE-018-04","layers":[]}],"stock":[],"demand_sequences":[[2,6,3,8,4,0,2,4,8],[4,5,6,5,3,2,0,3]]}</ns0:v>
      </ns0:c>
      <ns0:c r="R85" s="150" t="n">
        <ns0:f>E85*H85</ns0:f>
        <ns0:v>0</ns0:v>
      </ns0:c>
    </ns0:row>
    <ns0:row r="86" ht="21" customHeight="1">
      <ns0:c r="A86" s="149" t="n">
        <ns0:v>18</ns0:v>
      </ns0:c>
      <ns0:c r="B86" s="145" t="str">
        <ns0:v>开局</ns0:v>
      </ns0:c>
      <ns0:c r="C86" s="145" t="str">
        <ns0:v>WAVE-018-02</ns0:v>
      </ns0:c>
      <ns0:c r="D86" s="145" t="str">
        <ns0:v>普通盒</ns0:v>
      </ns0:c>
      <ns0:c r="E86" s="152" t="n">
        <ns0:v>2</ns0:v>
      </ns0:c>
      <ns0:c r="F86" s="152" t="n">
        <ns0:v>4</ns0:v>
      </ns0:c>
      <ns0:c r="G86" s="152" t="n">
        <ns0:v>3</ns0:v>
      </ns0:c>
      <ns0:c r="H86" s="152" t="n">
        <ns0:v>0</ns0:v>
      </ns0:c>
      <ns0:c r="I86" s="149" t="n">
        <ns0:f>E86*G86</ns0:f>
        <ns0:v>6</ns0:v>
      </ns0:c>
      <ns0:c r="J86" s="149" t="n">
        <ns0:f>E86*(F86-G86)</ns0:f>
        <ns0:v>2</ns0:v>
      </ns0:c>
      <ns0:c r="K86" s="149" t="n">
        <ns0:f>IF(AND(B86="开局",G86=0,OR(D86="普通盒",D86="单颗暂存盒")),J86,0)</ns0:f>
        <ns0:v>0</ns0:v>
      </ns0:c>
      <ns0:c r="L86" s="149" t="n">
        <ns0:f>IF(AND(B86="开局",G86&gt;0,OR(D86="普通盒",D86="底部置顶盒",D86="炸弹盒")),J86,0)</ns0:f>
        <ns0:v>2</ns0:v>
      </ns0:c>
      <ns0:c r="M86" s="149" t="n">
        <ns0:f>IF(AND(B86="开局",OR(D86="固定颜色盒",D86="单向收纳盒")),J86,0)</ns0:f>
        <ns0:v>0</ns0:v>
      </ns0:c>
      <ns0:c r="N86" s="149" t="n">
        <ns0:f>IF(AND(B86="开局",OR(D86="数字盖盒",D86="普通冰冻盒",D86="数字冰冻盒",D86="数字冰冻单颗暂存盒")),J86,0)</ns0:f>
        <ns0:v>0</ns0:v>
      </ns0:c>
      <ns0:c r="O86" s="145" t="str">
        <ns0:f>IF(AND(E86&gt;0,E86=INT(E86),G86&gt;=0,G86&lt;=F86,G86=INT(G86),OR(AND(F86=1,OR(D86="单颗暂存盒",D86="数字冰冻单颗暂存盒")),AND(F86=4,NOT(OR(D86="单颗暂存盒",D86="数字冰冻单颗暂存盒")))),IF(OR(D86="数字盖盒",D86="数字冰冻盒",D86="数字冰冻单颗暂存盒"),AND(H86&gt;=1,H86=INT(H86)),H86=0),IF(B86="开局",AND(IF(OR(D86="数字盖盒",D86="普通冰冻盒",D86="数字冰冻盒",D86="炸弹盒",D86="底部置顶盒"),OR(G86=3,G86=4),TRUE),IF(OR(D86="单向收纳盒",D86="单颗暂存盒",D86="数字冰冻单颗暂存盒"),OR(G86=0,G86=1),TRUE),IF(OR(D86="固定颜色盒",D86="广告锁定周转盒"),G86=0,TRUE)),TRUE)),"通过","需调整")</ns0:f>
        <ns0:v>通过</ns0:v>
      </ns0:c>
      <ns0:c r="P86" s="145" t="str">
        <ns0:v>确认方案装量</ns0:v>
      </ns0:c>
      <ns0:c r="Q86" s="145" t="str">
        <ns0:v>普通盒容量4；广告周转不计入免费空盒</ns0:v>
      </ns0:c>
      <ns0:c r="R86" s="149" t="n">
        <ns0:f>E86*H86</ns0:f>
        <ns0:v>0</ns0:v>
      </ns0:c>
    </ns0:row>
    <ns0:row r="87" ht="21" customHeight="1">
      <ns0:c r="A87" s="150" t="n">
        <ns0:v>18</ns0:v>
      </ns0:c>
      <ns0:c r="B87" s="147" t="str">
        <ns0:v>开局</ns0:v>
      </ns0:c>
      <ns0:c r="C87" s="147" t="str">
        <ns0:v>WAVE-018-03</ns0:v>
      </ns0:c>
      <ns0:c r="D87" s="147" t="str">
        <ns0:v>普通盒</ns0:v>
      </ns0:c>
      <ns0:c r="E87" s="152" t="n">
        <ns0:v>1</ns0:v>
      </ns0:c>
      <ns0:c r="F87" s="152" t="n">
        <ns0:v>4</ns0:v>
      </ns0:c>
      <ns0:c r="G87" s="152" t="n">
        <ns0:v>2</ns0:v>
      </ns0:c>
      <ns0:c r="H87" s="152" t="n">
        <ns0:v>0</ns0:v>
      </ns0:c>
      <ns0:c r="I87" s="150" t="n">
        <ns0:f>E87*G87</ns0:f>
        <ns0:v>2</ns0:v>
      </ns0:c>
      <ns0:c r="J87" s="150" t="n">
        <ns0:f>E87*(F87-G87)</ns0:f>
        <ns0:v>2</ns0:v>
      </ns0:c>
      <ns0:c r="K87" s="150" t="n">
        <ns0:f>IF(AND(B87="开局",G87=0,OR(D87="普通盒",D87="单颗暂存盒")),J87,0)</ns0:f>
        <ns0:v>0</ns0:v>
      </ns0:c>
      <ns0:c r="L87" s="150" t="n">
        <ns0:f>IF(AND(B87="开局",G87&gt;0,OR(D87="普通盒",D87="底部置顶盒",D87="炸弹盒")),J87,0)</ns0:f>
        <ns0:v>2</ns0:v>
      </ns0:c>
      <ns0:c r="M87" s="150" t="n">
        <ns0:f>IF(AND(B87="开局",OR(D87="固定颜色盒",D87="单向收纳盒")),J87,0)</ns0:f>
        <ns0:v>0</ns0:v>
      </ns0:c>
      <ns0:c r="N87" s="150" t="n">
        <ns0:f>IF(AND(B87="开局",OR(D87="数字盖盒",D87="普通冰冻盒",D87="数字冰冻盒",D87="数字冰冻单颗暂存盒")),J87,0)</ns0:f>
        <ns0:v>0</ns0:v>
      </ns0:c>
      <ns0:c r="O87" s="147" t="str">
        <ns0:f>IF(AND(E87&gt;0,E87=INT(E87),G87&gt;=0,G87&lt;=F87,G87=INT(G87),OR(AND(F87=1,OR(D87="单颗暂存盒",D87="数字冰冻单颗暂存盒")),AND(F87=4,NOT(OR(D87="单颗暂存盒",D87="数字冰冻单颗暂存盒")))),IF(OR(D87="数字盖盒",D87="数字冰冻盒",D87="数字冰冻单颗暂存盒"),AND(H87&gt;=1,H87=INT(H87)),H87=0),IF(B87="开局",AND(IF(OR(D87="数字盖盒",D87="普通冰冻盒",D87="数字冰冻盒",D87="炸弹盒",D87="底部置顶盒"),OR(G87=3,G87=4),TRUE),IF(OR(D87="单向收纳盒",D87="单颗暂存盒",D87="数字冰冻单颗暂存盒"),OR(G87=0,G87=1),TRUE),IF(OR(D87="固定颜色盒",D87="广告锁定周转盒"),G87=0,TRUE)),TRUE)),"通过","需调整")</ns0:f>
        <ns0:v>通过</ns0:v>
      </ns0:c>
      <ns0:c r="P87" s="147" t="str">
        <ns0:v>确认方案装量</ns0:v>
      </ns0:c>
      <ns0:c r="Q87" s="147" t="str">
        <ns0:v>普通盒容量4；广告周转不计入免费空盒</ns0:v>
      </ns0:c>
      <ns0:c r="R87" s="150" t="n">
        <ns0:f>E87*H87</ns0:f>
        <ns0:v>0</ns0:v>
      </ns0:c>
    </ns0:row>
    <ns0:row r="88" ht="21" customHeight="1">
      <ns0:c r="A88" s="149" t="n">
        <ns0:v>18</ns0:v>
      </ns0:c>
      <ns0:c r="B88" s="145" t="str">
        <ns0:v>开局</ns0:v>
      </ns0:c>
      <ns0:c r="C88" s="145" t="str">
        <ns0:v>WAVE-018-04</ns0:v>
      </ns0:c>
      <ns0:c r="D88" s="145" t="str">
        <ns0:v>普通盒</ns0:v>
      </ns0:c>
      <ns0:c r="E88" s="152" t="n">
        <ns0:v>1</ns0:v>
      </ns0:c>
      <ns0:c r="F88" s="152" t="n">
        <ns0:v>4</ns0:v>
      </ns0:c>
      <ns0:c r="G88" s="152" t="n">
        <ns0:v>0</ns0:v>
      </ns0:c>
      <ns0:c r="H88" s="152" t="n">
        <ns0:v>0</ns0:v>
      </ns0:c>
      <ns0:c r="I88" s="149" t="n">
        <ns0:f>E88*G88</ns0:f>
        <ns0:v>0</ns0:v>
      </ns0:c>
      <ns0:c r="J88" s="149" t="n">
        <ns0:f>E88*(F88-G88)</ns0:f>
        <ns0:v>4</ns0:v>
      </ns0:c>
      <ns0:c r="K88" s="149" t="n">
        <ns0:f>IF(AND(B88="开局",G88=0,OR(D88="普通盒",D88="单颗暂存盒")),J88,0)</ns0:f>
        <ns0:v>4</ns0:v>
      </ns0:c>
      <ns0:c r="L88" s="149" t="n">
        <ns0:f>IF(AND(B88="开局",G88&gt;0,OR(D88="普通盒",D88="底部置顶盒",D88="炸弹盒")),J88,0)</ns0:f>
        <ns0:v>0</ns0:v>
      </ns0:c>
      <ns0:c r="M88" s="149" t="n">
        <ns0:f>IF(AND(B88="开局",OR(D88="固定颜色盒",D88="单向收纳盒")),J88,0)</ns0:f>
        <ns0:v>0</ns0:v>
      </ns0:c>
      <ns0:c r="N88" s="149" t="n">
        <ns0:f>IF(AND(B88="开局",OR(D88="数字盖盒",D88="普通冰冻盒",D88="数字冰冻盒",D88="数字冰冻单颗暂存盒")),J88,0)</ns0:f>
        <ns0:v>0</ns0:v>
      </ns0:c>
      <ns0:c r="O88" s="145" t="str">
        <ns0:f>IF(AND(E88&gt;0,E88=INT(E88),G88&gt;=0,G88&lt;=F88,G88=INT(G88),OR(AND(F88=1,OR(D88="单颗暂存盒",D88="数字冰冻单颗暂存盒")),AND(F88=4,NOT(OR(D88="单颗暂存盒",D88="数字冰冻单颗暂存盒")))),IF(OR(D88="数字盖盒",D88="数字冰冻盒",D88="数字冰冻单颗暂存盒"),AND(H88&gt;=1,H88=INT(H88)),H88=0),IF(B88="开局",AND(IF(OR(D88="数字盖盒",D88="普通冰冻盒",D88="数字冰冻盒",D88="炸弹盒",D88="底部置顶盒"),OR(G88=3,G88=4),TRUE),IF(OR(D88="单向收纳盒",D88="单颗暂存盒",D88="数字冰冻单颗暂存盒"),OR(G88=0,G88=1),TRUE),IF(OR(D88="固定颜色盒",D88="广告锁定周转盒"),G88=0,TRUE)),TRUE)),"通过","需调整")</ns0:f>
        <ns0:v>通过</ns0:v>
      </ns0:c>
      <ns0:c r="P88" s="145" t="str">
        <ns0:v>确认方案装量</ns0:v>
      </ns0:c>
      <ns0:c r="Q88" s="145" t="str">
        <ns0:v>普通盒容量4；广告周转不计入免费空盒</ns0:v>
      </ns0:c>
      <ns0:c r="R88" s="149" t="n">
        <ns0:f>E88*H88</ns0:f>
        <ns0:v>0</ns0:v>
      </ns0:c>
    </ns0:row>
    <ns0:row r="89" ht="21" customHeight="1">
      <ns0:c r="A89" s="150" t="n">
        <ns0:v>18</ns0:v>
      </ns0:c>
      <ns0:c r="B89" s="147" t="str">
        <ns0:v>开局</ns0:v>
      </ns0:c>
      <ns0:c r="C89" s="147" t="str">
        <ns0:v>WAVE-018-05</ns0:v>
      </ns0:c>
      <ns0:c r="D89" s="147" t="str">
        <ns0:v>普通冰冻盒</ns0:v>
      </ns0:c>
      <ns0:c r="E89" s="152" t="n">
        <ns0:v>1</ns0:v>
      </ns0:c>
      <ns0:c r="F89" s="152" t="n">
        <ns0:v>4</ns0:v>
      </ns0:c>
      <ns0:c r="G89" s="152" t="n">
        <ns0:v>4</ns0:v>
      </ns0:c>
      <ns0:c r="H89" s="152" t="n">
        <ns0:v>0</ns0:v>
      </ns0:c>
      <ns0:c r="I89" s="150" t="n">
        <ns0:f>E89*G89</ns0:f>
        <ns0:v>4</ns0:v>
      </ns0:c>
      <ns0:c r="J89" s="150" t="n">
        <ns0:f>E89*(F89-G89)</ns0:f>
        <ns0:v>0</ns0:v>
      </ns0:c>
      <ns0:c r="K89" s="150" t="n">
        <ns0:f>IF(AND(B89="开局",G89=0,OR(D89="普通盒",D89="单颗暂存盒")),J89,0)</ns0:f>
        <ns0:v>0</ns0:v>
      </ns0:c>
      <ns0:c r="L89" s="150" t="n">
        <ns0:f>IF(AND(B89="开局",G89&gt;0,OR(D89="普通盒",D89="底部置顶盒",D89="炸弹盒")),J89,0)</ns0:f>
        <ns0:v>0</ns0:v>
      </ns0:c>
      <ns0:c r="M89" s="150" t="n">
        <ns0:f>IF(AND(B89="开局",OR(D89="固定颜色盒",D89="单向收纳盒")),J89,0)</ns0:f>
        <ns0:v>0</ns0:v>
      </ns0:c>
      <ns0:c r="N89" s="150" t="n">
        <ns0:f>IF(AND(B89="开局",OR(D89="数字盖盒",D89="普通冰冻盒",D89="数字冰冻盒",D89="数字冰冻单颗暂存盒")),J89,0)</ns0:f>
        <ns0:v>0</ns0:v>
      </ns0:c>
      <ns0:c r="O89" s="147" t="str">
        <ns0:f>IF(AND(E89&gt;0,E89=INT(E89),G89&gt;=0,G89&lt;=F89,G89=INT(G89),OR(AND(F89=1,OR(D89="单颗暂存盒",D89="数字冰冻单颗暂存盒")),AND(F89=4,NOT(OR(D89="单颗暂存盒",D89="数字冰冻单颗暂存盒")))),IF(OR(D89="数字盖盒",D89="数字冰冻盒",D89="数字冰冻单颗暂存盒"),AND(H89&gt;=1,H89=INT(H89)),H89=0),IF(B89="开局",AND(IF(OR(D89="数字盖盒",D89="普通冰冻盒",D89="数字冰冻盒",D89="炸弹盒",D89="底部置顶盒"),OR(G89=3,G89=4),TRUE),IF(OR(D89="单向收纳盒",D89="单颗暂存盒",D89="数字冰冻单颗暂存盒"),OR(G89=0,G89=1),TRUE),IF(OR(D89="固定颜色盒",D89="广告锁定周转盒"),G89=0,TRUE)),TRUE)),"通过","需调整")</ns0:f>
        <ns0:v>通过</ns0:v>
      </ns0:c>
      <ns0:c r="P89" s="147" t="str">
        <ns0:v>确认方案装量</ns0:v>
      </ns0:c>
      <ns0:c r="Q89" s="147" t="str">
        <ns0:v>普通盒容量4；广告周转不计入免费空盒</ns0:v>
      </ns0:c>
      <ns0:c r="R89" s="150" t="n">
        <ns0:f>E89*H89</ns0:f>
        <ns0:v>0</ns0:v>
      </ns0:c>
    </ns0:row>
    <ns0:row r="90" ht="21" customHeight="1">
      <ns0:c r="A90" s="149" t="n">
        <ns0:v>18</ns0:v>
      </ns0:c>
      <ns0:c r="B90" s="145" t="str">
        <ns0:v>开局</ns0:v>
      </ns0:c>
      <ns0:c r="C90" s="145" t="str">
        <ns0:v>WAVE-018-06</ns0:v>
      </ns0:c>
      <ns0:c r="D90" s="145" t="str">
        <ns0:v>广告锁定周转盒</ns0:v>
      </ns0:c>
      <ns0:c r="E90" s="152" t="n">
        <ns0:v>2</ns0:v>
      </ns0:c>
      <ns0:c r="F90" s="152" t="n">
        <ns0:v>4</ns0:v>
      </ns0:c>
      <ns0:c r="G90" s="152" t="n">
        <ns0:v>0</ns0:v>
      </ns0:c>
      <ns0:c r="H90" s="152" t="n">
        <ns0:v>0</ns0:v>
      </ns0:c>
      <ns0:c r="I90" s="149" t="n">
        <ns0:f>E90*G90</ns0:f>
        <ns0:v>0</ns0:v>
      </ns0:c>
      <ns0:c r="J90" s="149" t="n">
        <ns0:f>E90*(F90-G90)</ns0:f>
        <ns0:v>8</ns0:v>
      </ns0:c>
      <ns0:c r="K90" s="149" t="n">
        <ns0:f>IF(AND(B90="开局",G90=0,OR(D90="普通盒",D90="单颗暂存盒")),J90,0)</ns0:f>
        <ns0:v>0</ns0:v>
      </ns0:c>
      <ns0:c r="L90" s="149" t="n">
        <ns0:f>IF(AND(B90="开局",G90&gt;0,OR(D90="普通盒",D90="底部置顶盒",D90="炸弹盒")),J90,0)</ns0:f>
        <ns0:v>0</ns0:v>
      </ns0:c>
      <ns0:c r="M90" s="149" t="n">
        <ns0:f>IF(AND(B90="开局",OR(D90="固定颜色盒",D90="单向收纳盒")),J90,0)</ns0:f>
        <ns0:v>0</ns0:v>
      </ns0:c>
      <ns0:c r="N90" s="149" t="n">
        <ns0:f>IF(AND(B90="开局",OR(D90="数字盖盒",D90="普通冰冻盒",D90="数字冰冻盒",D90="数字冰冻单颗暂存盒")),J90,0)</ns0:f>
        <ns0:v>0</ns0:v>
      </ns0:c>
      <ns0:c r="O90" s="145" t="str">
        <ns0:f>IF(AND(E90&gt;0,E90=INT(E90),G90&gt;=0,G90&lt;=F90,G90=INT(G90),OR(AND(F90=1,OR(D90="单颗暂存盒",D90="数字冰冻单颗暂存盒")),AND(F90=4,NOT(OR(D90="单颗暂存盒",D90="数字冰冻单颗暂存盒")))),IF(OR(D90="数字盖盒",D90="数字冰冻盒",D90="数字冰冻单颗暂存盒"),AND(H90&gt;=1,H90=INT(H90)),H90=0),IF(B90="开局",AND(IF(OR(D90="数字盖盒",D90="普通冰冻盒",D90="数字冰冻盒",D90="炸弹盒",D90="底部置顶盒"),OR(G90=3,G90=4),TRUE),IF(OR(D90="单向收纳盒",D90="单颗暂存盒",D90="数字冰冻单颗暂存盒"),OR(G90=0,G90=1),TRUE),IF(OR(D90="固定颜色盒",D90="广告锁定周转盒"),G90=0,TRUE)),TRUE)),"通过","需调整")</ns0:f>
        <ns0:v>通过</ns0:v>
      </ns0:c>
      <ns0:c r="P90" s="145" t="str">
        <ns0:v>确认方案装量</ns0:v>
      </ns0:c>
      <ns0:c r="Q90" s="145" t="str">
        <ns0:v>普通盒容量4；广告周转不计入免费空盒</ns0:v>
      </ns0:c>
      <ns0:c r="R90" s="149" t="n">
        <ns0:f>E90*H90</ns0:f>
        <ns0:v>0</ns0:v>
      </ns0:c>
    </ns0:row>
    <ns0:row r="91" ht="21" customHeight="1">
      <ns0:c r="A91" s="150" t="n">
        <ns0:v>19</ns0:v>
      </ns0:c>
      <ns0:c r="B91" s="147" t="str">
        <ns0:v>开局</ns0:v>
      </ns0:c>
      <ns0:c r="C91" s="147" t="str">
        <ns0:v>WAVE-019-01</ns0:v>
      </ns0:c>
      <ns0:c r="D91" s="147" t="str">
        <ns0:v>普通盒</ns0:v>
      </ns0:c>
      <ns0:c r="E91" s="152" t="n">
        <ns0:v>13</ns0:v>
      </ns0:c>
      <ns0:c r="F91" s="152" t="n">
        <ns0:v>4</ns0:v>
      </ns0:c>
      <ns0:c r="G91" s="152" t="n">
        <ns0:v>4</ns0:v>
      </ns0:c>
      <ns0:c r="H91" s="152" t="n">
        <ns0:v>0</ns0:v>
      </ns0:c>
      <ns0:c r="I91" s="150" t="n">
        <ns0:f>E91*G91</ns0:f>
        <ns0:v>52</ns0:v>
      </ns0:c>
      <ns0:c r="J91" s="150" t="n">
        <ns0:f>E91*(F91-G91)</ns0:f>
        <ns0:v>0</ns0:v>
      </ns0:c>
      <ns0:c r="K91" s="150" t="n">
        <ns0:f>IF(AND(B91="开局",G91=0,OR(D91="普通盒",D91="单颗暂存盒")),J91,0)</ns0:f>
        <ns0:v>0</ns0:v>
      </ns0:c>
      <ns0:c r="L91" s="150" t="n">
        <ns0:f>IF(AND(B91="开局",G91&gt;0,OR(D91="普通盒",D91="底部置顶盒",D91="炸弹盒")),J91,0)</ns0:f>
        <ns0:v>0</ns0:v>
      </ns0:c>
      <ns0:c r="M91" s="150" t="n">
        <ns0:f>IF(AND(B91="开局",OR(D91="固定颜色盒",D91="单向收纳盒")),J91,0)</ns0:f>
        <ns0:v>0</ns0:v>
      </ns0:c>
      <ns0:c r="N91" s="150" t="n">
        <ns0:f>IF(AND(B91="开局",OR(D91="数字盖盒",D91="普通冰冻盒",D91="数字冰冻盒",D91="数字冰冻单颗暂存盒")),J91,0)</ns0:f>
        <ns0:v>0</ns0:v>
      </ns0:c>
      <ns0:c r="O91" s="147" t="str">
        <ns0:f>IF(AND(E91&gt;0,E91=INT(E91),G91&gt;=0,G91&lt;=F91,G91=INT(G91),OR(AND(F91=1,OR(D91="单颗暂存盒",D91="数字冰冻单颗暂存盒")),AND(F91=4,NOT(OR(D91="单颗暂存盒",D91="数字冰冻单颗暂存盒")))),IF(OR(D91="数字盖盒",D91="数字冰冻盒",D91="数字冰冻单颗暂存盒"),AND(H91&gt;=1,H91=INT(H91)),H91=0),IF(B91="开局",AND(IF(OR(D91="数字盖盒",D91="普通冰冻盒",D91="数字冰冻盒",D91="炸弹盒",D91="底部置顶盒"),OR(G91=3,G91=4),TRUE),IF(OR(D91="单向收纳盒",D91="单颗暂存盒",D91="数字冰冻单颗暂存盒"),OR(G91=0,G91=1),TRUE),IF(OR(D91="固定颜色盒",D91="广告锁定周转盒"),G91=0,TRUE)),TRUE)),"通过","需调整")</ns0:f>
        <ns0:v>通过</ns0:v>
      </ns0:c>
      <ns0:c r="P91" s="147" t="str">
        <ns0:v>确认方案装量</ns0:v>
      </ns0:c>
      <ns0:c r="Q91" s="147" t="str">
        <ns0:v>层序JSON:{"reference":"2026-10-04 用户确认11—20关难度表；2026-10-05制作；层序自顶向下","slots":[{"group_id":"WAVE-019-01","layers":[6,12,8,8]},{"group_id":"WAVE-019-06","layers":[6,5,0,0]},{"group_id":"WAVE-019-01","layers":[4,6,8,0]},{"group_id":"WAVE-019-01","layers":[3,2,5,3]},{"group_id":"WAVE-019-01","layers":[3,0,6,2]},{"group_id":"WAVE-019-03","layers":[2]},{"group_id":"WAVE-019-01","layers":[12,3,8,6]},{"group_id":"WAVE-019-01","layers":[12,3,4,5]},{"group_id":"WAVE-019-01","layers":[4,0,12,6]},{"group_id":"WAVE-019-01","layers":[8,0,4,0]},{"group_id":"WAVE-019-01","layers":[4,8,12,5]},{"group_id":"WAVE-019-01","layers":[5,2,4,8]},{"group_id":"WAVE-019-02","layers":[8,12,5]},{"group_id":"WAVE-019-01","layers":[6,12,4,4]},{"group_id":"WAVE-019-01","layers":[3,2,3,3]},{"group_id":"WAVE-019-01","layers":[5,2,0,2]},{"group_id":"WAVE-019-05","layers":[12,5,6,2]},{"group_id":"WAVE-019-04","layers":[]}],"stock":[],"demand_sequences":[[12,6,4,0,0,3,8,12],[3,2,8,4,5,2,5,6]]}</ns0:v>
      </ns0:c>
      <ns0:c r="R91" s="150" t="n">
        <ns0:f>E91*H91</ns0:f>
        <ns0:v>0</ns0:v>
      </ns0:c>
    </ns0:row>
    <ns0:row r="92" ht="21" customHeight="1">
      <ns0:c r="A92" s="149" t="n">
        <ns0:v>19</ns0:v>
      </ns0:c>
      <ns0:c r="B92" s="145" t="str">
        <ns0:v>开局</ns0:v>
      </ns0:c>
      <ns0:c r="C92" s="145" t="str">
        <ns0:v>WAVE-019-02</ns0:v>
      </ns0:c>
      <ns0:c r="D92" s="145" t="str">
        <ns0:v>普通盒</ns0:v>
      </ns0:c>
      <ns0:c r="E92" s="152" t="n">
        <ns0:v>1</ns0:v>
      </ns0:c>
      <ns0:c r="F92" s="152" t="n">
        <ns0:v>4</ns0:v>
      </ns0:c>
      <ns0:c r="G92" s="152" t="n">
        <ns0:v>3</ns0:v>
      </ns0:c>
      <ns0:c r="H92" s="152" t="n">
        <ns0:v>0</ns0:v>
      </ns0:c>
      <ns0:c r="I92" s="149" t="n">
        <ns0:f>E92*G92</ns0:f>
        <ns0:v>3</ns0:v>
      </ns0:c>
      <ns0:c r="J92" s="149" t="n">
        <ns0:f>E92*(F92-G92)</ns0:f>
        <ns0:v>1</ns0:v>
      </ns0:c>
      <ns0:c r="K92" s="149" t="n">
        <ns0:f>IF(AND(B92="开局",G92=0,OR(D92="普通盒",D92="单颗暂存盒")),J92,0)</ns0:f>
        <ns0:v>0</ns0:v>
      </ns0:c>
      <ns0:c r="L92" s="149" t="n">
        <ns0:f>IF(AND(B92="开局",G92&gt;0,OR(D92="普通盒",D92="底部置顶盒",D92="炸弹盒")),J92,0)</ns0:f>
        <ns0:v>1</ns0:v>
      </ns0:c>
      <ns0:c r="M92" s="149" t="n">
        <ns0:f>IF(AND(B92="开局",OR(D92="固定颜色盒",D92="单向收纳盒")),J92,0)</ns0:f>
        <ns0:v>0</ns0:v>
      </ns0:c>
      <ns0:c r="N92" s="149" t="n">
        <ns0:f>IF(AND(B92="开局",OR(D92="数字盖盒",D92="普通冰冻盒",D92="数字冰冻盒",D92="数字冰冻单颗暂存盒")),J92,0)</ns0:f>
        <ns0:v>0</ns0:v>
      </ns0:c>
      <ns0:c r="O92" s="145" t="str">
        <ns0:f>IF(AND(E92&gt;0,E92=INT(E92),G92&gt;=0,G92&lt;=F92,G92=INT(G92),OR(AND(F92=1,OR(D92="单颗暂存盒",D92="数字冰冻单颗暂存盒")),AND(F92=4,NOT(OR(D92="单颗暂存盒",D92="数字冰冻单颗暂存盒")))),IF(OR(D92="数字盖盒",D92="数字冰冻盒",D92="数字冰冻单颗暂存盒"),AND(H92&gt;=1,H92=INT(H92)),H92=0),IF(B92="开局",AND(IF(OR(D92="数字盖盒",D92="普通冰冻盒",D92="数字冰冻盒",D92="炸弹盒",D92="底部置顶盒"),OR(G92=3,G92=4),TRUE),IF(OR(D92="单向收纳盒",D92="单颗暂存盒",D92="数字冰冻单颗暂存盒"),OR(G92=0,G92=1),TRUE),IF(OR(D92="固定颜色盒",D92="广告锁定周转盒"),G92=0,TRUE)),TRUE)),"通过","需调整")</ns0:f>
        <ns0:v>通过</ns0:v>
      </ns0:c>
      <ns0:c r="P92" s="145" t="str">
        <ns0:v>确认方案装量</ns0:v>
      </ns0:c>
      <ns0:c r="Q92" s="145" t="str">
        <ns0:v>普通盒容量4；广告周转不计入免费空盒</ns0:v>
      </ns0:c>
      <ns0:c r="R92" s="149" t="n">
        <ns0:f>E92*H92</ns0:f>
        <ns0:v>0</ns0:v>
      </ns0:c>
    </ns0:row>
    <ns0:row r="93" ht="21" customHeight="1">
      <ns0:c r="A93" s="150" t="n">
        <ns0:v>19</ns0:v>
      </ns0:c>
      <ns0:c r="B93" s="147" t="str">
        <ns0:v>开局</ns0:v>
      </ns0:c>
      <ns0:c r="C93" s="147" t="str">
        <ns0:v>WAVE-019-03</ns0:v>
      </ns0:c>
      <ns0:c r="D93" s="147" t="str">
        <ns0:v>普通盒</ns0:v>
      </ns0:c>
      <ns0:c r="E93" s="152" t="n">
        <ns0:v>1</ns0:v>
      </ns0:c>
      <ns0:c r="F93" s="152" t="n">
        <ns0:v>4</ns0:v>
      </ns0:c>
      <ns0:c r="G93" s="152" t="n">
        <ns0:v>1</ns0:v>
      </ns0:c>
      <ns0:c r="H93" s="152" t="n">
        <ns0:v>0</ns0:v>
      </ns0:c>
      <ns0:c r="I93" s="150" t="n">
        <ns0:f>E93*G93</ns0:f>
        <ns0:v>1</ns0:v>
      </ns0:c>
      <ns0:c r="J93" s="150" t="n">
        <ns0:f>E93*(F93-G93)</ns0:f>
        <ns0:v>3</ns0:v>
      </ns0:c>
      <ns0:c r="K93" s="150" t="n">
        <ns0:f>IF(AND(B93="开局",G93=0,OR(D93="普通盒",D93="单颗暂存盒")),J93,0)</ns0:f>
        <ns0:v>0</ns0:v>
      </ns0:c>
      <ns0:c r="L93" s="150" t="n">
        <ns0:f>IF(AND(B93="开局",G93&gt;0,OR(D93="普通盒",D93="底部置顶盒",D93="炸弹盒")),J93,0)</ns0:f>
        <ns0:v>3</ns0:v>
      </ns0:c>
      <ns0:c r="M93" s="150" t="n">
        <ns0:f>IF(AND(B93="开局",OR(D93="固定颜色盒",D93="单向收纳盒")),J93,0)</ns0:f>
        <ns0:v>0</ns0:v>
      </ns0:c>
      <ns0:c r="N93" s="150" t="n">
        <ns0:f>IF(AND(B93="开局",OR(D93="数字盖盒",D93="普通冰冻盒",D93="数字冰冻盒",D93="数字冰冻单颗暂存盒")),J93,0)</ns0:f>
        <ns0:v>0</ns0:v>
      </ns0:c>
      <ns0:c r="O93" s="147" t="str">
        <ns0:f>IF(AND(E93&gt;0,E93=INT(E93),G93&gt;=0,G93&lt;=F93,G93=INT(G93),OR(AND(F93=1,OR(D93="单颗暂存盒",D93="数字冰冻单颗暂存盒")),AND(F93=4,NOT(OR(D93="单颗暂存盒",D93="数字冰冻单颗暂存盒")))),IF(OR(D93="数字盖盒",D93="数字冰冻盒",D93="数字冰冻单颗暂存盒"),AND(H93&gt;=1,H93=INT(H93)),H93=0),IF(B93="开局",AND(IF(OR(D93="数字盖盒",D93="普通冰冻盒",D93="数字冰冻盒",D93="炸弹盒",D93="底部置顶盒"),OR(G93=3,G93=4),TRUE),IF(OR(D93="单向收纳盒",D93="单颗暂存盒",D93="数字冰冻单颗暂存盒"),OR(G93=0,G93=1),TRUE),IF(OR(D93="固定颜色盒",D93="广告锁定周转盒"),G93=0,TRUE)),TRUE)),"通过","需调整")</ns0:f>
        <ns0:v>通过</ns0:v>
      </ns0:c>
      <ns0:c r="P93" s="147" t="str">
        <ns0:v>确认方案装量</ns0:v>
      </ns0:c>
      <ns0:c r="Q93" s="147" t="str">
        <ns0:v>普通盒容量4；广告周转不计入免费空盒</ns0:v>
      </ns0:c>
      <ns0:c r="R93" s="150" t="n">
        <ns0:f>E93*H93</ns0:f>
        <ns0:v>0</ns0:v>
      </ns0:c>
    </ns0:row>
    <ns0:row r="94" ht="21" customHeight="1">
      <ns0:c r="A94" s="149" t="n">
        <ns0:v>19</ns0:v>
      </ns0:c>
      <ns0:c r="B94" s="145" t="str">
        <ns0:v>开局</ns0:v>
      </ns0:c>
      <ns0:c r="C94" s="145" t="str">
        <ns0:v>WAVE-019-04</ns0:v>
      </ns0:c>
      <ns0:c r="D94" s="145" t="str">
        <ns0:v>普通盒</ns0:v>
      </ns0:c>
      <ns0:c r="E94" s="152" t="n">
        <ns0:v>1</ns0:v>
      </ns0:c>
      <ns0:c r="F94" s="152" t="n">
        <ns0:v>4</ns0:v>
      </ns0:c>
      <ns0:c r="G94" s="152" t="n">
        <ns0:v>0</ns0:v>
      </ns0:c>
      <ns0:c r="H94" s="152" t="n">
        <ns0:v>0</ns0:v>
      </ns0:c>
      <ns0:c r="I94" s="149" t="n">
        <ns0:f>E94*G94</ns0:f>
        <ns0:v>0</ns0:v>
      </ns0:c>
      <ns0:c r="J94" s="149" t="n">
        <ns0:f>E94*(F94-G94)</ns0:f>
        <ns0:v>4</ns0:v>
      </ns0:c>
      <ns0:c r="K94" s="149" t="n">
        <ns0:f>IF(AND(B94="开局",G94=0,OR(D94="普通盒",D94="单颗暂存盒")),J94,0)</ns0:f>
        <ns0:v>4</ns0:v>
      </ns0:c>
      <ns0:c r="L94" s="149" t="n">
        <ns0:f>IF(AND(B94="开局",G94&gt;0,OR(D94="普通盒",D94="底部置顶盒",D94="炸弹盒")),J94,0)</ns0:f>
        <ns0:v>0</ns0:v>
      </ns0:c>
      <ns0:c r="M94" s="149" t="n">
        <ns0:f>IF(AND(B94="开局",OR(D94="固定颜色盒",D94="单向收纳盒")),J94,0)</ns0:f>
        <ns0:v>0</ns0:v>
      </ns0:c>
      <ns0:c r="N94" s="149" t="n">
        <ns0:f>IF(AND(B94="开局",OR(D94="数字盖盒",D94="普通冰冻盒",D94="数字冰冻盒",D94="数字冰冻单颗暂存盒")),J94,0)</ns0:f>
        <ns0:v>0</ns0:v>
      </ns0:c>
      <ns0:c r="O94" s="145" t="str">
        <ns0:f>IF(AND(E94&gt;0,E94=INT(E94),G94&gt;=0,G94&lt;=F94,G94=INT(G94),OR(AND(F94=1,OR(D94="单颗暂存盒",D94="数字冰冻单颗暂存盒")),AND(F94=4,NOT(OR(D94="单颗暂存盒",D94="数字冰冻单颗暂存盒")))),IF(OR(D94="数字盖盒",D94="数字冰冻盒",D94="数字冰冻单颗暂存盒"),AND(H94&gt;=1,H94=INT(H94)),H94=0),IF(B94="开局",AND(IF(OR(D94="数字盖盒",D94="普通冰冻盒",D94="数字冰冻盒",D94="炸弹盒",D94="底部置顶盒"),OR(G94=3,G94=4),TRUE),IF(OR(D94="单向收纳盒",D94="单颗暂存盒",D94="数字冰冻单颗暂存盒"),OR(G94=0,G94=1),TRUE),IF(OR(D94="固定颜色盒",D94="广告锁定周转盒"),G94=0,TRUE)),TRUE)),"通过","需调整")</ns0:f>
        <ns0:v>通过</ns0:v>
      </ns0:c>
      <ns0:c r="P94" s="145" t="str">
        <ns0:v>确认方案装量</ns0:v>
      </ns0:c>
      <ns0:c r="Q94" s="145" t="str">
        <ns0:v>普通盒容量4；广告周转不计入免费空盒</ns0:v>
      </ns0:c>
      <ns0:c r="R94" s="149" t="n">
        <ns0:f>E94*H94</ns0:f>
        <ns0:v>0</ns0:v>
      </ns0:c>
    </ns0:row>
    <ns0:row r="95" ht="21" customHeight="1">
      <ns0:c r="A95" s="150" t="n">
        <ns0:v>19</ns0:v>
      </ns0:c>
      <ns0:c r="B95" s="147" t="str">
        <ns0:v>开局</ns0:v>
      </ns0:c>
      <ns0:c r="C95" s="147" t="str">
        <ns0:v>WAVE-019-05</ns0:v>
      </ns0:c>
      <ns0:c r="D95" s="147" t="str">
        <ns0:v>普通冰冻盒</ns0:v>
      </ns0:c>
      <ns0:c r="E95" s="152" t="n">
        <ns0:v>1</ns0:v>
      </ns0:c>
      <ns0:c r="F95" s="152" t="n">
        <ns0:v>4</ns0:v>
      </ns0:c>
      <ns0:c r="G95" s="152" t="n">
        <ns0:v>4</ns0:v>
      </ns0:c>
      <ns0:c r="H95" s="152" t="n">
        <ns0:v>0</ns0:v>
      </ns0:c>
      <ns0:c r="I95" s="150" t="n">
        <ns0:f>E95*G95</ns0:f>
        <ns0:v>4</ns0:v>
      </ns0:c>
      <ns0:c r="J95" s="150" t="n">
        <ns0:f>E95*(F95-G95)</ns0:f>
        <ns0:v>0</ns0:v>
      </ns0:c>
      <ns0:c r="K95" s="150" t="n">
        <ns0:f>IF(AND(B95="开局",G95=0,OR(D95="普通盒",D95="单颗暂存盒")),J95,0)</ns0:f>
        <ns0:v>0</ns0:v>
      </ns0:c>
      <ns0:c r="L95" s="150" t="n">
        <ns0:f>IF(AND(B95="开局",G95&gt;0,OR(D95="普通盒",D95="底部置顶盒",D95="炸弹盒")),J95,0)</ns0:f>
        <ns0:v>0</ns0:v>
      </ns0:c>
      <ns0:c r="M95" s="150" t="n">
        <ns0:f>IF(AND(B95="开局",OR(D95="固定颜色盒",D95="单向收纳盒")),J95,0)</ns0:f>
        <ns0:v>0</ns0:v>
      </ns0:c>
      <ns0:c r="N95" s="150" t="n">
        <ns0:f>IF(AND(B95="开局",OR(D95="数字盖盒",D95="普通冰冻盒",D95="数字冰冻盒",D95="数字冰冻单颗暂存盒")),J95,0)</ns0:f>
        <ns0:v>0</ns0:v>
      </ns0:c>
      <ns0:c r="O95" s="147" t="str">
        <ns0:f>IF(AND(E95&gt;0,E95=INT(E95),G95&gt;=0,G95&lt;=F95,G95=INT(G95),OR(AND(F95=1,OR(D95="单颗暂存盒",D95="数字冰冻单颗暂存盒")),AND(F95=4,NOT(OR(D95="单颗暂存盒",D95="数字冰冻单颗暂存盒")))),IF(OR(D95="数字盖盒",D95="数字冰冻盒",D95="数字冰冻单颗暂存盒"),AND(H95&gt;=1,H95=INT(H95)),H95=0),IF(B95="开局",AND(IF(OR(D95="数字盖盒",D95="普通冰冻盒",D95="数字冰冻盒",D95="炸弹盒",D95="底部置顶盒"),OR(G95=3,G95=4),TRUE),IF(OR(D95="单向收纳盒",D95="单颗暂存盒",D95="数字冰冻单颗暂存盒"),OR(G95=0,G95=1),TRUE),IF(OR(D95="固定颜色盒",D95="广告锁定周转盒"),G95=0,TRUE)),TRUE)),"通过","需调整")</ns0:f>
        <ns0:v>通过</ns0:v>
      </ns0:c>
      <ns0:c r="P95" s="147" t="str">
        <ns0:v>确认方案装量</ns0:v>
      </ns0:c>
      <ns0:c r="Q95" s="147" t="str">
        <ns0:v>普通盒容量4；广告周转不计入免费空盒</ns0:v>
      </ns0:c>
      <ns0:c r="R95" s="150" t="n">
        <ns0:f>E95*H95</ns0:f>
        <ns0:v>0</ns0:v>
      </ns0:c>
    </ns0:row>
    <ns0:row r="96" ht="21" customHeight="1">
      <ns0:c r="A96" s="149" t="n">
        <ns0:v>19</ns0:v>
      </ns0:c>
      <ns0:c r="B96" s="145" t="str">
        <ns0:v>开局</ns0:v>
      </ns0:c>
      <ns0:c r="C96" s="145" t="str">
        <ns0:v>WAVE-019-06</ns0:v>
      </ns0:c>
      <ns0:c r="D96" s="145" t="str">
        <ns0:v>普通冰冻盒</ns0:v>
      </ns0:c>
      <ns0:c r="E96" s="152" t="n">
        <ns0:v>1</ns0:v>
      </ns0:c>
      <ns0:c r="F96" s="152" t="n">
        <ns0:v>4</ns0:v>
      </ns0:c>
      <ns0:c r="G96" s="152" t="n">
        <ns0:v>4</ns0:v>
      </ns0:c>
      <ns0:c r="H96" s="152" t="n">
        <ns0:v>0</ns0:v>
      </ns0:c>
      <ns0:c r="I96" s="149" t="n">
        <ns0:f>E96*G96</ns0:f>
        <ns0:v>4</ns0:v>
      </ns0:c>
      <ns0:c r="J96" s="149" t="n">
        <ns0:f>E96*(F96-G96)</ns0:f>
        <ns0:v>0</ns0:v>
      </ns0:c>
      <ns0:c r="K96" s="149" t="n">
        <ns0:f>IF(AND(B96="开局",G96=0,OR(D96="普通盒",D96="单颗暂存盒")),J96,0)</ns0:f>
        <ns0:v>0</ns0:v>
      </ns0:c>
      <ns0:c r="L96" s="149" t="n">
        <ns0:f>IF(AND(B96="开局",G96&gt;0,OR(D96="普通盒",D96="底部置顶盒",D96="炸弹盒")),J96,0)</ns0:f>
        <ns0:v>0</ns0:v>
      </ns0:c>
      <ns0:c r="M96" s="149" t="n">
        <ns0:f>IF(AND(B96="开局",OR(D96="固定颜色盒",D96="单向收纳盒")),J96,0)</ns0:f>
        <ns0:v>0</ns0:v>
      </ns0:c>
      <ns0:c r="N96" s="149" t="n">
        <ns0:f>IF(AND(B96="开局",OR(D96="数字盖盒",D96="普通冰冻盒",D96="数字冰冻盒",D96="数字冰冻单颗暂存盒")),J96,0)</ns0:f>
        <ns0:v>0</ns0:v>
      </ns0:c>
      <ns0:c r="O96" s="145" t="str">
        <ns0:f>IF(AND(E96&gt;0,E96=INT(E96),G96&gt;=0,G96&lt;=F96,G96=INT(G96),OR(AND(F96=1,OR(D96="单颗暂存盒",D96="数字冰冻单颗暂存盒")),AND(F96=4,NOT(OR(D96="单颗暂存盒",D96="数字冰冻单颗暂存盒")))),IF(OR(D96="数字盖盒",D96="数字冰冻盒",D96="数字冰冻单颗暂存盒"),AND(H96&gt;=1,H96=INT(H96)),H96=0),IF(B96="开局",AND(IF(OR(D96="数字盖盒",D96="普通冰冻盒",D96="数字冰冻盒",D96="炸弹盒",D96="底部置顶盒"),OR(G96=3,G96=4),TRUE),IF(OR(D96="单向收纳盒",D96="单颗暂存盒",D96="数字冰冻单颗暂存盒"),OR(G96=0,G96=1),TRUE),IF(OR(D96="固定颜色盒",D96="广告锁定周转盒"),G96=0,TRUE)),TRUE)),"通过","需调整")</ns0:f>
        <ns0:v>通过</ns0:v>
      </ns0:c>
      <ns0:c r="P96" s="145" t="str">
        <ns0:v>确认方案装量</ns0:v>
      </ns0:c>
      <ns0:c r="Q96" s="145" t="str">
        <ns0:v>普通盒容量4；广告周转不计入免费空盒</ns0:v>
      </ns0:c>
      <ns0:c r="R96" s="149" t="n">
        <ns0:f>E96*H96</ns0:f>
        <ns0:v>0</ns0:v>
      </ns0:c>
    </ns0:row>
    <ns0:row r="97" ht="21" customHeight="1">
      <ns0:c r="A97" s="150" t="n">
        <ns0:v>21</ns0:v>
      </ns0:c>
      <ns0:c r="B97" s="147" t="str">
        <ns0:v>开局</ns0:v>
      </ns0:c>
      <ns0:c r="C97" s="147" t="str">
        <ns0:v>WAVE-021-01</ns0:v>
      </ns0:c>
      <ns0:c r="D97" s="147" t="str">
        <ns0:v>普通盒</ns0:v>
      </ns0:c>
      <ns0:c r="E97" s="152" t="n">
        <ns0:v>12</ns0:v>
      </ns0:c>
      <ns0:c r="F97" s="152" t="n">
        <ns0:v>4</ns0:v>
      </ns0:c>
      <ns0:c r="G97" s="152" t="n">
        <ns0:v>4</ns0:v>
      </ns0:c>
      <ns0:c r="H97" s="152" t="n">
        <ns0:v>0</ns0:v>
      </ns0:c>
      <ns0:c r="I97" s="150" t="n">
        <ns0:f>E97*G97</ns0:f>
        <ns0:v>48</ns0:v>
      </ns0:c>
      <ns0:c r="J97" s="150" t="n">
        <ns0:f>E97*(F97-G97)</ns0:f>
        <ns0:v>0</ns0:v>
      </ns0:c>
      <ns0:c r="K97" s="150" t="n">
        <ns0:f>IF(AND(B97="开局",G97=0,OR(D97="普通盒",D97="单颗暂存盒")),J97,0)</ns0:f>
        <ns0:v>0</ns0:v>
      </ns0:c>
      <ns0:c r="L97" s="150" t="n">
        <ns0:f>IF(AND(B97="开局",G97&gt;0,OR(D97="普通盒",D97="底部置顶盒",D97="炸弹盒")),J97,0)</ns0:f>
        <ns0:v>0</ns0:v>
      </ns0:c>
      <ns0:c r="M97" s="150" t="n">
        <ns0:f>IF(AND(B97="开局",OR(D97="固定颜色盒",D97="单向收纳盒")),J97,0)</ns0:f>
        <ns0:v>0</ns0:v>
      </ns0:c>
      <ns0:c r="N97" s="150" t="n">
        <ns0:f>IF(AND(B97="开局",OR(D97="数字盖盒",D97="普通冰冻盒",D97="数字冰冻盒",D97="数字冰冻单颗暂存盒")),J97,0)</ns0:f>
        <ns0:v>0</ns0:v>
      </ns0:c>
      <ns0:c r="O97" s="147" t="str">
        <ns0:f>IF(AND(E97&gt;0,E97=INT(E97),G97&gt;=0,G97&lt;=F97,G97=INT(G97),OR(AND(F97=1,OR(D97="单颗暂存盒",D97="数字冰冻单颗暂存盒")),AND(F97=4,NOT(OR(D97="单颗暂存盒",D97="数字冰冻单颗暂存盒")))),IF(OR(D97="数字盖盒",D97="数字冰冻盒",D97="数字冰冻单颗暂存盒"),AND(H97&gt;=1,H97=INT(H97)),H97=0),IF(B97="开局",AND(IF(OR(D97="数字盖盒",D97="普通冰冻盒",D97="数字冰冻盒",D97="炸弹盒",D97="底部置顶盒"),OR(G97=3,G97=4),TRUE),IF(OR(D97="单向收纳盒",D97="单颗暂存盒",D97="数字冰冻单颗暂存盒"),OR(G97=0,G97=1),TRUE),IF(OR(D97="固定颜色盒",D97="广告锁定周转盒"),G97=0,TRUE)),TRUE)),"通过","需调整")</ns0:f>
        <ns0:v>通过</ns0:v>
      </ns0:c>
      <ns0:c r="P97" s="147" t="str">
        <ns0:v>确认方案装量</ns0:v>
      </ns0:c>
      <ns0:c r="Q97" s="147" t="str">
        <ns0:v>层序JSON:{"reference":"2026-10-05 用户确认21—30关难度与装量方案；层序自顶向下","slots":[{"group_id":"WAVE-021-03","layers":[5,6]},{"group_id":"WAVE-021-02","layers":[8,5,2]},{"group_id":"WAVE-021-06","layers":[5,6,2,12]},{"group_id":"WAVE-021-01","layers":[12,0,6,12]},{"group_id":"WAVE-021-01","layers":[4,6,12,4]},{"group_id":"WAVE-021-01","layers":[2,3,4,12]},{"group_id":"WAVE-021-01","layers":[8,0,5,6]},{"group_id":"WAVE-021-01","layers":[4,8,3,12]},{"group_id":"WAVE-021-01","layers":[3,0,8,2]},{"group_id":"WAVE-021-01","layers":[3,5,4,8]},{"group_id":"WAVE-021-01","layers":[6,6,5,2]},{"group_id":"WAVE-021-02","layers":[0,6,8]},{"group_id":"WAVE-021-01","layers":[12,5,2,0]},{"group_id":"WAVE-021-01","layers":[4,3,3,5]},{"group_id":"WAVE-021-01","layers":[0,3,4,2]},{"group_id":"WAVE-021-05","layers":[0,8,8,2]},{"group_id":"WAVE-021-01","layers":[3,12,0,4]},{"group_id":"WAVE-021-04","layers":[]}],"stock":[],"demand_sequences":[[3,2,3,2,5,8,12,6],[6,0,8,4,12,5,4,0]]}</ns0:v>
      </ns0:c>
      <ns0:c r="R97" s="150" t="n">
        <ns0:f>E97*H97</ns0:f>
        <ns0:v>0</ns0:v>
      </ns0:c>
    </ns0:row>
    <ns0:row r="98" ht="21" customHeight="1">
      <ns0:c r="A98" s="149" t="n">
        <ns0:v>21</ns0:v>
      </ns0:c>
      <ns0:c r="B98" s="145" t="str">
        <ns0:v>开局</ns0:v>
      </ns0:c>
      <ns0:c r="C98" s="145" t="str">
        <ns0:v>WAVE-021-02</ns0:v>
      </ns0:c>
      <ns0:c r="D98" s="145" t="str">
        <ns0:v>普通盒</ns0:v>
      </ns0:c>
      <ns0:c r="E98" s="152" t="n">
        <ns0:v>2</ns0:v>
      </ns0:c>
      <ns0:c r="F98" s="152" t="n">
        <ns0:v>4</ns0:v>
      </ns0:c>
      <ns0:c r="G98" s="152" t="n">
        <ns0:v>3</ns0:v>
      </ns0:c>
      <ns0:c r="H98" s="152" t="n">
        <ns0:v>0</ns0:v>
      </ns0:c>
      <ns0:c r="I98" s="149" t="n">
        <ns0:f>E98*G98</ns0:f>
        <ns0:v>6</ns0:v>
      </ns0:c>
      <ns0:c r="J98" s="149" t="n">
        <ns0:f>E98*(F98-G98)</ns0:f>
        <ns0:v>2</ns0:v>
      </ns0:c>
      <ns0:c r="K98" s="149" t="n">
        <ns0:f>IF(AND(B98="开局",G98=0,OR(D98="普通盒",D98="单颗暂存盒")),J98,0)</ns0:f>
        <ns0:v>0</ns0:v>
      </ns0:c>
      <ns0:c r="L98" s="149" t="n">
        <ns0:f>IF(AND(B98="开局",G98&gt;0,OR(D98="普通盒",D98="底部置顶盒",D98="炸弹盒")),J98,0)</ns0:f>
        <ns0:v>2</ns0:v>
      </ns0:c>
      <ns0:c r="M98" s="149" t="n">
        <ns0:f>IF(AND(B98="开局",OR(D98="固定颜色盒",D98="单向收纳盒")),J98,0)</ns0:f>
        <ns0:v>0</ns0:v>
      </ns0:c>
      <ns0:c r="N98" s="149" t="n">
        <ns0:f>IF(AND(B98="开局",OR(D98="数字盖盒",D98="普通冰冻盒",D98="数字冰冻盒",D98="数字冰冻单颗暂存盒")),J98,0)</ns0:f>
        <ns0:v>0</ns0:v>
      </ns0:c>
      <ns0:c r="O98" s="145" t="str">
        <ns0:f>IF(AND(E98&gt;0,E98=INT(E98),G98&gt;=0,G98&lt;=F98,G98=INT(G98),OR(AND(F98=1,OR(D98="单颗暂存盒",D98="数字冰冻单颗暂存盒")),AND(F98=4,NOT(OR(D98="单颗暂存盒",D98="数字冰冻单颗暂存盒")))),IF(OR(D98="数字盖盒",D98="数字冰冻盒",D98="数字冰冻单颗暂存盒"),AND(H98&gt;=1,H98=INT(H98)),H98=0),IF(B98="开局",AND(IF(OR(D98="数字盖盒",D98="普通冰冻盒",D98="数字冰冻盒",D98="炸弹盒",D98="底部置顶盒"),OR(G98=3,G98=4),TRUE),IF(OR(D98="单向收纳盒",D98="单颗暂存盒",D98="数字冰冻单颗暂存盒"),OR(G98=0,G98=1),TRUE),IF(OR(D98="固定颜色盒",D98="广告锁定周转盒"),G98=0,TRUE)),TRUE)),"通过","需调整")</ns0:f>
        <ns0:v>通过</ns0:v>
      </ns0:c>
      <ns0:c r="P98" s="145" t="str">
        <ns0:v>确认方案装量</ns0:v>
      </ns0:c>
      <ns0:c r="Q98" s="145" t="str">
        <ns0:v>普通盒容量4；单颗盒容量1；广告周转不计免费空间</ns0:v>
      </ns0:c>
      <ns0:c r="R98" s="149" t="n">
        <ns0:f>E98*H98</ns0:f>
        <ns0:v>0</ns0:v>
      </ns0:c>
    </ns0:row>
    <ns0:row r="99" ht="21" customHeight="1">
      <ns0:c r="A99" s="150" t="n">
        <ns0:v>21</ns0:v>
      </ns0:c>
      <ns0:c r="B99" s="147" t="str">
        <ns0:v>开局</ns0:v>
      </ns0:c>
      <ns0:c r="C99" s="147" t="str">
        <ns0:v>WAVE-021-03</ns0:v>
      </ns0:c>
      <ns0:c r="D99" s="147" t="str">
        <ns0:v>普通盒</ns0:v>
      </ns0:c>
      <ns0:c r="E99" s="152" t="n">
        <ns0:v>1</ns0:v>
      </ns0:c>
      <ns0:c r="F99" s="152" t="n">
        <ns0:v>4</ns0:v>
      </ns0:c>
      <ns0:c r="G99" s="152" t="n">
        <ns0:v>2</ns0:v>
      </ns0:c>
      <ns0:c r="H99" s="152" t="n">
        <ns0:v>0</ns0:v>
      </ns0:c>
      <ns0:c r="I99" s="150" t="n">
        <ns0:f>E99*G99</ns0:f>
        <ns0:v>2</ns0:v>
      </ns0:c>
      <ns0:c r="J99" s="150" t="n">
        <ns0:f>E99*(F99-G99)</ns0:f>
        <ns0:v>2</ns0:v>
      </ns0:c>
      <ns0:c r="K99" s="150" t="n">
        <ns0:f>IF(AND(B99="开局",G99=0,OR(D99="普通盒",D99="单颗暂存盒")),J99,0)</ns0:f>
        <ns0:v>0</ns0:v>
      </ns0:c>
      <ns0:c r="L99" s="150" t="n">
        <ns0:f>IF(AND(B99="开局",G99&gt;0,OR(D99="普通盒",D99="底部置顶盒",D99="炸弹盒")),J99,0)</ns0:f>
        <ns0:v>2</ns0:v>
      </ns0:c>
      <ns0:c r="M99" s="150" t="n">
        <ns0:f>IF(AND(B99="开局",OR(D99="固定颜色盒",D99="单向收纳盒")),J99,0)</ns0:f>
        <ns0:v>0</ns0:v>
      </ns0:c>
      <ns0:c r="N99" s="150" t="n">
        <ns0:f>IF(AND(B99="开局",OR(D99="数字盖盒",D99="普通冰冻盒",D99="数字冰冻盒",D99="数字冰冻单颗暂存盒")),J99,0)</ns0:f>
        <ns0:v>0</ns0:v>
      </ns0:c>
      <ns0:c r="O99" s="147" t="str">
        <ns0:f>IF(AND(E99&gt;0,E99=INT(E99),G99&gt;=0,G99&lt;=F99,G99=INT(G99),OR(AND(F99=1,OR(D99="单颗暂存盒",D99="数字冰冻单颗暂存盒")),AND(F99=4,NOT(OR(D99="单颗暂存盒",D99="数字冰冻单颗暂存盒")))),IF(OR(D99="数字盖盒",D99="数字冰冻盒",D99="数字冰冻单颗暂存盒"),AND(H99&gt;=1,H99=INT(H99)),H99=0),IF(B99="开局",AND(IF(OR(D99="数字盖盒",D99="普通冰冻盒",D99="数字冰冻盒",D99="炸弹盒",D99="底部置顶盒"),OR(G99=3,G99=4),TRUE),IF(OR(D99="单向收纳盒",D99="单颗暂存盒",D99="数字冰冻单颗暂存盒"),OR(G99=0,G99=1),TRUE),IF(OR(D99="固定颜色盒",D99="广告锁定周转盒"),G99=0,TRUE)),TRUE)),"通过","需调整")</ns0:f>
        <ns0:v>通过</ns0:v>
      </ns0:c>
      <ns0:c r="P99" s="147" t="str">
        <ns0:v>确认方案装量</ns0:v>
      </ns0:c>
      <ns0:c r="Q99" s="147" t="str">
        <ns0:v>普通盒容量4；单颗盒容量1；广告周转不计免费空间</ns0:v>
      </ns0:c>
      <ns0:c r="R99" s="150" t="n">
        <ns0:f>E99*H99</ns0:f>
        <ns0:v>0</ns0:v>
      </ns0:c>
    </ns0:row>
    <ns0:row r="100" ht="21" customHeight="1">
      <ns0:c r="A100" s="149" t="n">
        <ns0:v>21</ns0:v>
      </ns0:c>
      <ns0:c r="B100" s="145" t="str">
        <ns0:v>开局</ns0:v>
      </ns0:c>
      <ns0:c r="C100" s="145" t="str">
        <ns0:v>WAVE-021-04</ns0:v>
      </ns0:c>
      <ns0:c r="D100" s="145" t="str">
        <ns0:v>普通盒</ns0:v>
      </ns0:c>
      <ns0:c r="E100" s="152" t="n">
        <ns0:v>1</ns0:v>
      </ns0:c>
      <ns0:c r="F100" s="152" t="n">
        <ns0:v>4</ns0:v>
      </ns0:c>
      <ns0:c r="G100" s="152" t="n">
        <ns0:v>0</ns0:v>
      </ns0:c>
      <ns0:c r="H100" s="152" t="n">
        <ns0:v>0</ns0:v>
      </ns0:c>
      <ns0:c r="I100" s="149" t="n">
        <ns0:f>E100*G100</ns0:f>
        <ns0:v>0</ns0:v>
      </ns0:c>
      <ns0:c r="J100" s="149" t="n">
        <ns0:f>E100*(F100-G100)</ns0:f>
        <ns0:v>4</ns0:v>
      </ns0:c>
      <ns0:c r="K100" s="149" t="n">
        <ns0:f>IF(AND(B100="开局",G100=0,OR(D100="普通盒",D100="单颗暂存盒")),J100,0)</ns0:f>
        <ns0:v>4</ns0:v>
      </ns0:c>
      <ns0:c r="L100" s="149" t="n">
        <ns0:f>IF(AND(B100="开局",G100&gt;0,OR(D100="普通盒",D100="底部置顶盒",D100="炸弹盒")),J100,0)</ns0:f>
        <ns0:v>0</ns0:v>
      </ns0:c>
      <ns0:c r="M100" s="149" t="n">
        <ns0:f>IF(AND(B100="开局",OR(D100="固定颜色盒",D100="单向收纳盒")),J100,0)</ns0:f>
        <ns0:v>0</ns0:v>
      </ns0:c>
      <ns0:c r="N100" s="149" t="n">
        <ns0:f>IF(AND(B100="开局",OR(D100="数字盖盒",D100="普通冰冻盒",D100="数字冰冻盒",D100="数字冰冻单颗暂存盒")),J100,0)</ns0:f>
        <ns0:v>0</ns0:v>
      </ns0:c>
      <ns0:c r="O100" s="145" t="str">
        <ns0:f>IF(AND(E100&gt;0,E100=INT(E100),G100&gt;=0,G100&lt;=F100,G100=INT(G100),OR(AND(F100=1,OR(D100="单颗暂存盒",D100="数字冰冻单颗暂存盒")),AND(F100=4,NOT(OR(D100="单颗暂存盒",D100="数字冰冻单颗暂存盒")))),IF(OR(D100="数字盖盒",D100="数字冰冻盒",D100="数字冰冻单颗暂存盒"),AND(H100&gt;=1,H100=INT(H100)),H100=0),IF(B100="开局",AND(IF(OR(D100="数字盖盒",D100="普通冰冻盒",D100="数字冰冻盒",D100="炸弹盒",D100="底部置顶盒"),OR(G100=3,G100=4),TRUE),IF(OR(D100="单向收纳盒",D100="单颗暂存盒",D100="数字冰冻单颗暂存盒"),OR(G100=0,G100=1),TRUE),IF(OR(D100="固定颜色盒",D100="广告锁定周转盒"),G100=0,TRUE)),TRUE)),"通过","需调整")</ns0:f>
        <ns0:v>通过</ns0:v>
      </ns0:c>
      <ns0:c r="P100" s="145" t="str">
        <ns0:v>确认方案装量</ns0:v>
      </ns0:c>
      <ns0:c r="Q100" s="145" t="str">
        <ns0:v>普通盒容量4；单颗盒容量1；广告周转不计免费空间</ns0:v>
      </ns0:c>
      <ns0:c r="R100" s="149" t="n">
        <ns0:f>E100*H100</ns0:f>
        <ns0:v>0</ns0:v>
      </ns0:c>
    </ns0:row>
    <ns0:row r="101" ht="21" customHeight="1">
      <ns0:c r="A101" s="150" t="n">
        <ns0:v>21</ns0:v>
      </ns0:c>
      <ns0:c r="B101" s="147" t="str">
        <ns0:v>开局</ns0:v>
      </ns0:c>
      <ns0:c r="C101" s="147" t="str">
        <ns0:v>WAVE-021-05</ns0:v>
      </ns0:c>
      <ns0:c r="D101" s="147" t="str">
        <ns0:v>普通冰冻盒</ns0:v>
      </ns0:c>
      <ns0:c r="E101" s="152" t="n">
        <ns0:v>1</ns0:v>
      </ns0:c>
      <ns0:c r="F101" s="152" t="n">
        <ns0:v>4</ns0:v>
      </ns0:c>
      <ns0:c r="G101" s="152" t="n">
        <ns0:v>4</ns0:v>
      </ns0:c>
      <ns0:c r="H101" s="152" t="n">
        <ns0:v>0</ns0:v>
      </ns0:c>
      <ns0:c r="I101" s="150" t="n">
        <ns0:f>E101*G101</ns0:f>
        <ns0:v>4</ns0:v>
      </ns0:c>
      <ns0:c r="J101" s="150" t="n">
        <ns0:f>E101*(F101-G101)</ns0:f>
        <ns0:v>0</ns0:v>
      </ns0:c>
      <ns0:c r="K101" s="150" t="n">
        <ns0:f>IF(AND(B101="开局",G101=0,OR(D101="普通盒",D101="单颗暂存盒")),J101,0)</ns0:f>
        <ns0:v>0</ns0:v>
      </ns0:c>
      <ns0:c r="L101" s="150" t="n">
        <ns0:f>IF(AND(B101="开局",G101&gt;0,OR(D101="普通盒",D101="底部置顶盒",D101="炸弹盒")),J101,0)</ns0:f>
        <ns0:v>0</ns0:v>
      </ns0:c>
      <ns0:c r="M101" s="150" t="n">
        <ns0:f>IF(AND(B101="开局",OR(D101="固定颜色盒",D101="单向收纳盒")),J101,0)</ns0:f>
        <ns0:v>0</ns0:v>
      </ns0:c>
      <ns0:c r="N101" s="150" t="n">
        <ns0:f>IF(AND(B101="开局",OR(D101="数字盖盒",D101="普通冰冻盒",D101="数字冰冻盒",D101="数字冰冻单颗暂存盒")),J101,0)</ns0:f>
        <ns0:v>0</ns0:v>
      </ns0:c>
      <ns0:c r="O101" s="147" t="str">
        <ns0:f>IF(AND(E101&gt;0,E101=INT(E101),G101&gt;=0,G101&lt;=F101,G101=INT(G101),OR(AND(F101=1,OR(D101="单颗暂存盒",D101="数字冰冻单颗暂存盒")),AND(F101=4,NOT(OR(D101="单颗暂存盒",D101="数字冰冻单颗暂存盒")))),IF(OR(D101="数字盖盒",D101="数字冰冻盒",D101="数字冰冻单颗暂存盒"),AND(H101&gt;=1,H101=INT(H101)),H101=0),IF(B101="开局",AND(IF(OR(D101="数字盖盒",D101="普通冰冻盒",D101="数字冰冻盒",D101="炸弹盒",D101="底部置顶盒"),OR(G101=3,G101=4),TRUE),IF(OR(D101="单向收纳盒",D101="单颗暂存盒",D101="数字冰冻单颗暂存盒"),OR(G101=0,G101=1),TRUE),IF(OR(D101="固定颜色盒",D101="广告锁定周转盒"),G101=0,TRUE)),TRUE)),"通过","需调整")</ns0:f>
        <ns0:v>通过</ns0:v>
      </ns0:c>
      <ns0:c r="P101" s="147" t="str">
        <ns0:v>确认方案装量</ns0:v>
      </ns0:c>
      <ns0:c r="Q101" s="147" t="str">
        <ns0:v>普通盒容量4；单颗盒容量1；广告周转不计免费空间</ns0:v>
      </ns0:c>
      <ns0:c r="R101" s="150" t="n">
        <ns0:f>E101*H101</ns0:f>
        <ns0:v>0</ns0:v>
      </ns0:c>
    </ns0:row>
    <ns0:row r="102" ht="21" customHeight="1">
      <ns0:c r="A102" s="149" t="n">
        <ns0:v>21</ns0:v>
      </ns0:c>
      <ns0:c r="B102" s="145" t="str">
        <ns0:v>开局</ns0:v>
      </ns0:c>
      <ns0:c r="C102" s="145" t="str">
        <ns0:v>WAVE-021-06</ns0:v>
      </ns0:c>
      <ns0:c r="D102" s="145" t="str">
        <ns0:v>普通冰冻盒</ns0:v>
      </ns0:c>
      <ns0:c r="E102" s="152" t="n">
        <ns0:v>1</ns0:v>
      </ns0:c>
      <ns0:c r="F102" s="152" t="n">
        <ns0:v>4</ns0:v>
      </ns0:c>
      <ns0:c r="G102" s="152" t="n">
        <ns0:v>4</ns0:v>
      </ns0:c>
      <ns0:c r="H102" s="152" t="n">
        <ns0:v>0</ns0:v>
      </ns0:c>
      <ns0:c r="I102" s="149" t="n">
        <ns0:f>E102*G102</ns0:f>
        <ns0:v>4</ns0:v>
      </ns0:c>
      <ns0:c r="J102" s="149" t="n">
        <ns0:f>E102*(F102-G102)</ns0:f>
        <ns0:v>0</ns0:v>
      </ns0:c>
      <ns0:c r="K102" s="149" t="n">
        <ns0:f>IF(AND(B102="开局",G102=0,OR(D102="普通盒",D102="单颗暂存盒")),J102,0)</ns0:f>
        <ns0:v>0</ns0:v>
      </ns0:c>
      <ns0:c r="L102" s="149" t="n">
        <ns0:f>IF(AND(B102="开局",G102&gt;0,OR(D102="普通盒",D102="底部置顶盒",D102="炸弹盒")),J102,0)</ns0:f>
        <ns0:v>0</ns0:v>
      </ns0:c>
      <ns0:c r="M102" s="149" t="n">
        <ns0:f>IF(AND(B102="开局",OR(D102="固定颜色盒",D102="单向收纳盒")),J102,0)</ns0:f>
        <ns0:v>0</ns0:v>
      </ns0:c>
      <ns0:c r="N102" s="149" t="n">
        <ns0:f>IF(AND(B102="开局",OR(D102="数字盖盒",D102="普通冰冻盒",D102="数字冰冻盒",D102="数字冰冻单颗暂存盒")),J102,0)</ns0:f>
        <ns0:v>0</ns0:v>
      </ns0:c>
      <ns0:c r="O102" s="145" t="str">
        <ns0:f>IF(AND(E102&gt;0,E102=INT(E102),G102&gt;=0,G102&lt;=F102,G102=INT(G102),OR(AND(F102=1,OR(D102="单颗暂存盒",D102="数字冰冻单颗暂存盒")),AND(F102=4,NOT(OR(D102="单颗暂存盒",D102="数字冰冻单颗暂存盒")))),IF(OR(D102="数字盖盒",D102="数字冰冻盒",D102="数字冰冻单颗暂存盒"),AND(H102&gt;=1,H102=INT(H102)),H102=0),IF(B102="开局",AND(IF(OR(D102="数字盖盒",D102="普通冰冻盒",D102="数字冰冻盒",D102="炸弹盒",D102="底部置顶盒"),OR(G102=3,G102=4),TRUE),IF(OR(D102="单向收纳盒",D102="单颗暂存盒",D102="数字冰冻单颗暂存盒"),OR(G102=0,G102=1),TRUE),IF(OR(D102="固定颜色盒",D102="广告锁定周转盒"),G102=0,TRUE)),TRUE)),"通过","需调整")</ns0:f>
        <ns0:v>通过</ns0:v>
      </ns0:c>
      <ns0:c r="P102" s="145" t="str">
        <ns0:v>确认方案装量</ns0:v>
      </ns0:c>
      <ns0:c r="Q102" s="145" t="str">
        <ns0:v>普通盒容量4；单颗盒容量1；广告周转不计免费空间</ns0:v>
      </ns0:c>
      <ns0:c r="R102" s="149" t="n">
        <ns0:f>E102*H102</ns0:f>
        <ns0:v>0</ns0:v>
      </ns0:c>
    </ns0:row>
    <ns0:row r="103" ht="21" customHeight="1">
      <ns0:c r="A103" s="150" t="n">
        <ns0:v>21</ns0:v>
      </ns0:c>
      <ns0:c r="B103" s="147" t="str">
        <ns0:v>开局</ns0:v>
      </ns0:c>
      <ns0:c r="C103" s="147" t="str">
        <ns0:v>WAVE-021-07</ns0:v>
      </ns0:c>
      <ns0:c r="D103" s="147" t="str">
        <ns0:v>广告锁定周转盒</ns0:v>
      </ns0:c>
      <ns0:c r="E103" s="152" t="n">
        <ns0:v>2</ns0:v>
      </ns0:c>
      <ns0:c r="F103" s="152" t="n">
        <ns0:v>4</ns0:v>
      </ns0:c>
      <ns0:c r="G103" s="152" t="n">
        <ns0:v>0</ns0:v>
      </ns0:c>
      <ns0:c r="H103" s="152" t="n">
        <ns0:v>0</ns0:v>
      </ns0:c>
      <ns0:c r="I103" s="150" t="n">
        <ns0:f>E103*G103</ns0:f>
        <ns0:v>0</ns0:v>
      </ns0:c>
      <ns0:c r="J103" s="150" t="n">
        <ns0:f>E103*(F103-G103)</ns0:f>
        <ns0:v>8</ns0:v>
      </ns0:c>
      <ns0:c r="K103" s="150" t="n">
        <ns0:f>IF(AND(B103="开局",G103=0,OR(D103="普通盒",D103="单颗暂存盒")),J103,0)</ns0:f>
        <ns0:v>0</ns0:v>
      </ns0:c>
      <ns0:c r="L103" s="150" t="n">
        <ns0:f>IF(AND(B103="开局",G103&gt;0,OR(D103="普通盒",D103="底部置顶盒",D103="炸弹盒")),J103,0)</ns0:f>
        <ns0:v>0</ns0:v>
      </ns0:c>
      <ns0:c r="M103" s="150" t="n">
        <ns0:f>IF(AND(B103="开局",OR(D103="固定颜色盒",D103="单向收纳盒")),J103,0)</ns0:f>
        <ns0:v>0</ns0:v>
      </ns0:c>
      <ns0:c r="N103" s="150" t="n">
        <ns0:f>IF(AND(B103="开局",OR(D103="数字盖盒",D103="普通冰冻盒",D103="数字冰冻盒",D103="数字冰冻单颗暂存盒")),J103,0)</ns0:f>
        <ns0:v>0</ns0:v>
      </ns0:c>
      <ns0:c r="O103" s="147" t="str">
        <ns0:f>IF(AND(E103&gt;0,E103=INT(E103),G103&gt;=0,G103&lt;=F103,G103=INT(G103),OR(AND(F103=1,OR(D103="单颗暂存盒",D103="数字冰冻单颗暂存盒")),AND(F103=4,NOT(OR(D103="单颗暂存盒",D103="数字冰冻单颗暂存盒")))),IF(OR(D103="数字盖盒",D103="数字冰冻盒",D103="数字冰冻单颗暂存盒"),AND(H103&gt;=1,H103=INT(H103)),H103=0),IF(B103="开局",AND(IF(OR(D103="数字盖盒",D103="普通冰冻盒",D103="数字冰冻盒",D103="炸弹盒",D103="底部置顶盒"),OR(G103=3,G103=4),TRUE),IF(OR(D103="单向收纳盒",D103="单颗暂存盒",D103="数字冰冻单颗暂存盒"),OR(G103=0,G103=1),TRUE),IF(OR(D103="固定颜色盒",D103="广告锁定周转盒"),G103=0,TRUE)),TRUE)),"通过","需调整")</ns0:f>
        <ns0:v>通过</ns0:v>
      </ns0:c>
      <ns0:c r="P103" s="147" t="str">
        <ns0:v>确认方案装量</ns0:v>
      </ns0:c>
      <ns0:c r="Q103" s="147" t="str">
        <ns0:v>普通盒容量4；单颗盒容量1；广告周转不计免费空间</ns0:v>
      </ns0:c>
      <ns0:c r="R103" s="150" t="n">
        <ns0:f>E103*H103</ns0:f>
        <ns0:v>0</ns0:v>
      </ns0:c>
    </ns0:row>
    <ns0:row r="104" ht="21" customHeight="1">
      <ns0:c r="A104" s="149" t="n">
        <ns0:v>22</ns0:v>
      </ns0:c>
      <ns0:c r="B104" s="145" t="str">
        <ns0:v>开局</ns0:v>
      </ns0:c>
      <ns0:c r="C104" s="145" t="str">
        <ns0:v>WAVE-022-01</ns0:v>
      </ns0:c>
      <ns0:c r="D104" s="145" t="str">
        <ns0:v>普通盒</ns0:v>
      </ns0:c>
      <ns0:c r="E104" s="152" t="n">
        <ns0:v>11</ns0:v>
      </ns0:c>
      <ns0:c r="F104" s="152" t="n">
        <ns0:v>4</ns0:v>
      </ns0:c>
      <ns0:c r="G104" s="152" t="n">
        <ns0:v>4</ns0:v>
      </ns0:c>
      <ns0:c r="H104" s="152" t="n">
        <ns0:v>0</ns0:v>
      </ns0:c>
      <ns0:c r="I104" s="149" t="n">
        <ns0:f>E104*G104</ns0:f>
        <ns0:v>44</ns0:v>
      </ns0:c>
      <ns0:c r="J104" s="149" t="n">
        <ns0:f>E104*(F104-G104)</ns0:f>
        <ns0:v>0</ns0:v>
      </ns0:c>
      <ns0:c r="K104" s="149" t="n">
        <ns0:f>IF(AND(B104="开局",G104=0,OR(D104="普通盒",D104="单颗暂存盒")),J104,0)</ns0:f>
        <ns0:v>0</ns0:v>
      </ns0:c>
      <ns0:c r="L104" s="149" t="n">
        <ns0:f>IF(AND(B104="开局",G104&gt;0,OR(D104="普通盒",D104="底部置顶盒",D104="炸弹盒")),J104,0)</ns0:f>
        <ns0:v>0</ns0:v>
      </ns0:c>
      <ns0:c r="M104" s="149" t="n">
        <ns0:f>IF(AND(B104="开局",OR(D104="固定颜色盒",D104="单向收纳盒")),J104,0)</ns0:f>
        <ns0:v>0</ns0:v>
      </ns0:c>
      <ns0:c r="N104" s="149" t="n">
        <ns0:f>IF(AND(B104="开局",OR(D104="数字盖盒",D104="普通冰冻盒",D104="数字冰冻盒",D104="数字冰冻单颗暂存盒")),J104,0)</ns0:f>
        <ns0:v>0</ns0:v>
      </ns0:c>
      <ns0:c r="O104" s="145" t="str">
        <ns0:f>IF(AND(E104&gt;0,E104=INT(E104),G104&gt;=0,G104&lt;=F104,G104=INT(G104),OR(AND(F104=1,OR(D104="单颗暂存盒",D104="数字冰冻单颗暂存盒")),AND(F104=4,NOT(OR(D104="单颗暂存盒",D104="数字冰冻单颗暂存盒")))),IF(OR(D104="数字盖盒",D104="数字冰冻盒",D104="数字冰冻单颗暂存盒"),AND(H104&gt;=1,H104=INT(H104)),H104=0),IF(B104="开局",AND(IF(OR(D104="数字盖盒",D104="普通冰冻盒",D104="数字冰冻盒",D104="炸弹盒",D104="底部置顶盒"),OR(G104=3,G104=4),TRUE),IF(OR(D104="单向收纳盒",D104="单颗暂存盒",D104="数字冰冻单颗暂存盒"),OR(G104=0,G104=1),TRUE),IF(OR(D104="固定颜色盒",D104="广告锁定周转盒"),G104=0,TRUE)),TRUE)),"通过","需调整")</ns0:f>
        <ns0:v>通过</ns0:v>
      </ns0:c>
      <ns0:c r="P104" s="145" t="str">
        <ns0:v>确认方案装量</ns0:v>
      </ns0:c>
      <ns0:c r="Q104" s="145" t="str">
        <ns0:v>层序JSON:{"reference":"2026-10-05 用户确认21—30关难度与装量方案；层序自顶向下","slots":[{"group_id":"WAVE-022-05","layers":[2,3,2,4]},{"group_id":"WAVE-022-02","layers":[2,12,0]},{"group_id":"WAVE-022-01","layers":[8,6,5,12]},{"group_id":"WAVE-022-01","layers":[6,12,2,6]},{"group_id":"WAVE-022-01","layers":[5,3,8,6]},{"group_id":"WAVE-022-01","layers":[3,8,0,4]},{"group_id":"WAVE-022-01","layers":[12,0,5,0]},{"group_id":"WAVE-022-01","layers":[6,5,4,6]},{"group_id":"WAVE-022-01","layers":[3,3,2,5]},{"group_id":"WAVE-022-02","layers":[3,8,6]},{"group_id":"WAVE-022-02","layers":[4,12,4]},{"group_id":"WAVE-022-03","layers":[3,12]},{"group_id":"WAVE-022-04","layers":[6,0,0,12]},{"group_id":"WAVE-022-01","layers":[2,6,4,6]},{"group_id":"WAVE-022-01","layers":[8,4,0,5]},{"group_id":"WAVE-022-01","layers":[2,8,6,4]},{"group_id":"WAVE-022-03","layers":[2,5]},{"group_id":"WAVE-022-02","layers":[5,0,8]},{"group_id":"WAVE-022-01","layers":[8,3,6,12]}],"stock":[],"demand_sequences":[[6,0,8,2,5,8,5,0,12],[3,12,6,4,4,2,6,3]]}</ns0:v>
      </ns0:c>
      <ns0:c r="R104" s="149" t="n">
        <ns0:f>E104*H104</ns0:f>
        <ns0:v>0</ns0:v>
      </ns0:c>
    </ns0:row>
    <ns0:row r="105" ht="21" customHeight="1">
      <ns0:c r="A105" s="150" t="n">
        <ns0:v>22</ns0:v>
      </ns0:c>
      <ns0:c r="B105" s="147" t="str">
        <ns0:v>开局</ns0:v>
      </ns0:c>
      <ns0:c r="C105" s="147" t="str">
        <ns0:v>WAVE-022-02</ns0:v>
      </ns0:c>
      <ns0:c r="D105" s="147" t="str">
        <ns0:v>普通盒</ns0:v>
      </ns0:c>
      <ns0:c r="E105" s="152" t="n">
        <ns0:v>4</ns0:v>
      </ns0:c>
      <ns0:c r="F105" s="152" t="n">
        <ns0:v>4</ns0:v>
      </ns0:c>
      <ns0:c r="G105" s="152" t="n">
        <ns0:v>3</ns0:v>
      </ns0:c>
      <ns0:c r="H105" s="152" t="n">
        <ns0:v>0</ns0:v>
      </ns0:c>
      <ns0:c r="I105" s="150" t="n">
        <ns0:f>E105*G105</ns0:f>
        <ns0:v>12</ns0:v>
      </ns0:c>
      <ns0:c r="J105" s="150" t="n">
        <ns0:f>E105*(F105-G105)</ns0:f>
        <ns0:v>4</ns0:v>
      </ns0:c>
      <ns0:c r="K105" s="150" t="n">
        <ns0:f>IF(AND(B105="开局",G105=0,OR(D105="普通盒",D105="单颗暂存盒")),J105,0)</ns0:f>
        <ns0:v>0</ns0:v>
      </ns0:c>
      <ns0:c r="L105" s="150" t="n">
        <ns0:f>IF(AND(B105="开局",G105&gt;0,OR(D105="普通盒",D105="底部置顶盒",D105="炸弹盒")),J105,0)</ns0:f>
        <ns0:v>4</ns0:v>
      </ns0:c>
      <ns0:c r="M105" s="150" t="n">
        <ns0:f>IF(AND(B105="开局",OR(D105="固定颜色盒",D105="单向收纳盒")),J105,0)</ns0:f>
        <ns0:v>0</ns0:v>
      </ns0:c>
      <ns0:c r="N105" s="150" t="n">
        <ns0:f>IF(AND(B105="开局",OR(D105="数字盖盒",D105="普通冰冻盒",D105="数字冰冻盒",D105="数字冰冻单颗暂存盒")),J105,0)</ns0:f>
        <ns0:v>0</ns0:v>
      </ns0:c>
      <ns0:c r="O105" s="147" t="str">
        <ns0:f>IF(AND(E105&gt;0,E105=INT(E105),G105&gt;=0,G105&lt;=F105,G105=INT(G105),OR(AND(F105=1,OR(D105="单颗暂存盒",D105="数字冰冻单颗暂存盒")),AND(F105=4,NOT(OR(D105="单颗暂存盒",D105="数字冰冻单颗暂存盒")))),IF(OR(D105="数字盖盒",D105="数字冰冻盒",D105="数字冰冻单颗暂存盒"),AND(H105&gt;=1,H105=INT(H105)),H105=0),IF(B105="开局",AND(IF(OR(D105="数字盖盒",D105="普通冰冻盒",D105="数字冰冻盒",D105="炸弹盒",D105="底部置顶盒"),OR(G105=3,G105=4),TRUE),IF(OR(D105="单向收纳盒",D105="单颗暂存盒",D105="数字冰冻单颗暂存盒"),OR(G105=0,G105=1),TRUE),IF(OR(D105="固定颜色盒",D105="广告锁定周转盒"),G105=0,TRUE)),TRUE)),"通过","需调整")</ns0:f>
        <ns0:v>通过</ns0:v>
      </ns0:c>
      <ns0:c r="P105" s="147" t="str">
        <ns0:v>确认方案装量</ns0:v>
      </ns0:c>
      <ns0:c r="Q105" s="147" t="str">
        <ns0:v>普通盒容量4；单颗盒容量1；广告周转不计免费空间</ns0:v>
      </ns0:c>
      <ns0:c r="R105" s="150" t="n">
        <ns0:f>E105*H105</ns0:f>
        <ns0:v>0</ns0:v>
      </ns0:c>
    </ns0:row>
    <ns0:row r="106" ht="21" customHeight="1">
      <ns0:c r="A106" s="149" t="n">
        <ns0:v>22</ns0:v>
      </ns0:c>
      <ns0:c r="B106" s="145" t="str">
        <ns0:v>开局</ns0:v>
      </ns0:c>
      <ns0:c r="C106" s="145" t="str">
        <ns0:v>WAVE-022-03</ns0:v>
      </ns0:c>
      <ns0:c r="D106" s="145" t="str">
        <ns0:v>普通盒</ns0:v>
      </ns0:c>
      <ns0:c r="E106" s="152" t="n">
        <ns0:v>2</ns0:v>
      </ns0:c>
      <ns0:c r="F106" s="152" t="n">
        <ns0:v>4</ns0:v>
      </ns0:c>
      <ns0:c r="G106" s="152" t="n">
        <ns0:v>2</ns0:v>
      </ns0:c>
      <ns0:c r="H106" s="152" t="n">
        <ns0:v>0</ns0:v>
      </ns0:c>
      <ns0:c r="I106" s="149" t="n">
        <ns0:f>E106*G106</ns0:f>
        <ns0:v>4</ns0:v>
      </ns0:c>
      <ns0:c r="J106" s="149" t="n">
        <ns0:f>E106*(F106-G106)</ns0:f>
        <ns0:v>4</ns0:v>
      </ns0:c>
      <ns0:c r="K106" s="149" t="n">
        <ns0:f>IF(AND(B106="开局",G106=0,OR(D106="普通盒",D106="单颗暂存盒")),J106,0)</ns0:f>
        <ns0:v>0</ns0:v>
      </ns0:c>
      <ns0:c r="L106" s="149" t="n">
        <ns0:f>IF(AND(B106="开局",G106&gt;0,OR(D106="普通盒",D106="底部置顶盒",D106="炸弹盒")),J106,0)</ns0:f>
        <ns0:v>4</ns0:v>
      </ns0:c>
      <ns0:c r="M106" s="149" t="n">
        <ns0:f>IF(AND(B106="开局",OR(D106="固定颜色盒",D106="单向收纳盒")),J106,0)</ns0:f>
        <ns0:v>0</ns0:v>
      </ns0:c>
      <ns0:c r="N106" s="149" t="n">
        <ns0:f>IF(AND(B106="开局",OR(D106="数字盖盒",D106="普通冰冻盒",D106="数字冰冻盒",D106="数字冰冻单颗暂存盒")),J106,0)</ns0:f>
        <ns0:v>0</ns0:v>
      </ns0:c>
      <ns0:c r="O106" s="145" t="str">
        <ns0:f>IF(AND(E106&gt;0,E106=INT(E106),G106&gt;=0,G106&lt;=F106,G106=INT(G106),OR(AND(F106=1,OR(D106="单颗暂存盒",D106="数字冰冻单颗暂存盒")),AND(F106=4,NOT(OR(D106="单颗暂存盒",D106="数字冰冻单颗暂存盒")))),IF(OR(D106="数字盖盒",D106="数字冰冻盒",D106="数字冰冻单颗暂存盒"),AND(H106&gt;=1,H106=INT(H106)),H106=0),IF(B106="开局",AND(IF(OR(D106="数字盖盒",D106="普通冰冻盒",D106="数字冰冻盒",D106="炸弹盒",D106="底部置顶盒"),OR(G106=3,G106=4),TRUE),IF(OR(D106="单向收纳盒",D106="单颗暂存盒",D106="数字冰冻单颗暂存盒"),OR(G106=0,G106=1),TRUE),IF(OR(D106="固定颜色盒",D106="广告锁定周转盒"),G106=0,TRUE)),TRUE)),"通过","需调整")</ns0:f>
        <ns0:v>通过</ns0:v>
      </ns0:c>
      <ns0:c r="P106" s="145" t="str">
        <ns0:v>确认方案装量</ns0:v>
      </ns0:c>
      <ns0:c r="Q106" s="145" t="str">
        <ns0:v>普通盒容量4；单颗盒容量1；广告周转不计免费空间</ns0:v>
      </ns0:c>
      <ns0:c r="R106" s="149" t="n">
        <ns0:f>E106*H106</ns0:f>
        <ns0:v>0</ns0:v>
      </ns0:c>
    </ns0:row>
    <ns0:row r="107" ht="21" customHeight="1">
      <ns0:c r="A107" s="150" t="n">
        <ns0:v>22</ns0:v>
      </ns0:c>
      <ns0:c r="B107" s="147" t="str">
        <ns0:v>开局</ns0:v>
      </ns0:c>
      <ns0:c r="C107" s="147" t="str">
        <ns0:v>WAVE-022-04</ns0:v>
      </ns0:c>
      <ns0:c r="D107" s="147" t="str">
        <ns0:v>普通冰冻盒</ns0:v>
      </ns0:c>
      <ns0:c r="E107" s="152" t="n">
        <ns0:v>1</ns0:v>
      </ns0:c>
      <ns0:c r="F107" s="152" t="n">
        <ns0:v>4</ns0:v>
      </ns0:c>
      <ns0:c r="G107" s="152" t="n">
        <ns0:v>4</ns0:v>
      </ns0:c>
      <ns0:c r="H107" s="152" t="n">
        <ns0:v>0</ns0:v>
      </ns0:c>
      <ns0:c r="I107" s="150" t="n">
        <ns0:f>E107*G107</ns0:f>
        <ns0:v>4</ns0:v>
      </ns0:c>
      <ns0:c r="J107" s="150" t="n">
        <ns0:f>E107*(F107-G107)</ns0:f>
        <ns0:v>0</ns0:v>
      </ns0:c>
      <ns0:c r="K107" s="150" t="n">
        <ns0:f>IF(AND(B107="开局",G107=0,OR(D107="普通盒",D107="单颗暂存盒")),J107,0)</ns0:f>
        <ns0:v>0</ns0:v>
      </ns0:c>
      <ns0:c r="L107" s="150" t="n">
        <ns0:f>IF(AND(B107="开局",G107&gt;0,OR(D107="普通盒",D107="底部置顶盒",D107="炸弹盒")),J107,0)</ns0:f>
        <ns0:v>0</ns0:v>
      </ns0:c>
      <ns0:c r="M107" s="150" t="n">
        <ns0:f>IF(AND(B107="开局",OR(D107="固定颜色盒",D107="单向收纳盒")),J107,0)</ns0:f>
        <ns0:v>0</ns0:v>
      </ns0:c>
      <ns0:c r="N107" s="150" t="n">
        <ns0:f>IF(AND(B107="开局",OR(D107="数字盖盒",D107="普通冰冻盒",D107="数字冰冻盒",D107="数字冰冻单颗暂存盒")),J107,0)</ns0:f>
        <ns0:v>0</ns0:v>
      </ns0:c>
      <ns0:c r="O107" s="147" t="str">
        <ns0:f>IF(AND(E107&gt;0,E107=INT(E107),G107&gt;=0,G107&lt;=F107,G107=INT(G107),OR(AND(F107=1,OR(D107="单颗暂存盒",D107="数字冰冻单颗暂存盒")),AND(F107=4,NOT(OR(D107="单颗暂存盒",D107="数字冰冻单颗暂存盒")))),IF(OR(D107="数字盖盒",D107="数字冰冻盒",D107="数字冰冻单颗暂存盒"),AND(H107&gt;=1,H107=INT(H107)),H107=0),IF(B107="开局",AND(IF(OR(D107="数字盖盒",D107="普通冰冻盒",D107="数字冰冻盒",D107="炸弹盒",D107="底部置顶盒"),OR(G107=3,G107=4),TRUE),IF(OR(D107="单向收纳盒",D107="单颗暂存盒",D107="数字冰冻单颗暂存盒"),OR(G107=0,G107=1),TRUE),IF(OR(D107="固定颜色盒",D107="广告锁定周转盒"),G107=0,TRUE)),TRUE)),"通过","需调整")</ns0:f>
        <ns0:v>通过</ns0:v>
      </ns0:c>
      <ns0:c r="P107" s="147" t="str">
        <ns0:v>确认方案装量</ns0:v>
      </ns0:c>
      <ns0:c r="Q107" s="147" t="str">
        <ns0:v>普通盒容量4；单颗盒容量1；广告周转不计免费空间</ns0:v>
      </ns0:c>
      <ns0:c r="R107" s="150" t="n">
        <ns0:f>E107*H107</ns0:f>
        <ns0:v>0</ns0:v>
      </ns0:c>
    </ns0:row>
    <ns0:row r="108" ht="21" customHeight="1">
      <ns0:c r="A108" s="149" t="n">
        <ns0:v>22</ns0:v>
      </ns0:c>
      <ns0:c r="B108" s="145" t="str">
        <ns0:v>开局</ns0:v>
      </ns0:c>
      <ns0:c r="C108" s="145" t="str">
        <ns0:v>WAVE-022-05</ns0:v>
      </ns0:c>
      <ns0:c r="D108" s="145" t="str">
        <ns0:v>数字盖盒</ns0:v>
      </ns0:c>
      <ns0:c r="E108" s="152" t="n">
        <ns0:v>1</ns0:v>
      </ns0:c>
      <ns0:c r="F108" s="152" t="n">
        <ns0:v>4</ns0:v>
      </ns0:c>
      <ns0:c r="G108" s="152" t="n">
        <ns0:v>4</ns0:v>
      </ns0:c>
      <ns0:c r="H108" s="152" t="n">
        <ns0:v>1</ns0:v>
      </ns0:c>
      <ns0:c r="I108" s="149" t="n">
        <ns0:f>E108*G108</ns0:f>
        <ns0:v>4</ns0:v>
      </ns0:c>
      <ns0:c r="J108" s="149" t="n">
        <ns0:f>E108*(F108-G108)</ns0:f>
        <ns0:v>0</ns0:v>
      </ns0:c>
      <ns0:c r="K108" s="149" t="n">
        <ns0:f>IF(AND(B108="开局",G108=0,OR(D108="普通盒",D108="单颗暂存盒")),J108,0)</ns0:f>
        <ns0:v>0</ns0:v>
      </ns0:c>
      <ns0:c r="L108" s="149" t="n">
        <ns0:f>IF(AND(B108="开局",G108&gt;0,OR(D108="普通盒",D108="底部置顶盒",D108="炸弹盒")),J108,0)</ns0:f>
        <ns0:v>0</ns0:v>
      </ns0:c>
      <ns0:c r="M108" s="149" t="n">
        <ns0:f>IF(AND(B108="开局",OR(D108="固定颜色盒",D108="单向收纳盒")),J108,0)</ns0:f>
        <ns0:v>0</ns0:v>
      </ns0:c>
      <ns0:c r="N108" s="149" t="n">
        <ns0:f>IF(AND(B108="开局",OR(D108="数字盖盒",D108="普通冰冻盒",D108="数字冰冻盒",D108="数字冰冻单颗暂存盒")),J108,0)</ns0:f>
        <ns0:v>0</ns0:v>
      </ns0:c>
      <ns0:c r="O108" s="145" t="str">
        <ns0:f>IF(AND(E108&gt;0,E108=INT(E108),G108&gt;=0,G108&lt;=F108,G108=INT(G108),OR(AND(F108=1,OR(D108="单颗暂存盒",D108="数字冰冻单颗暂存盒")),AND(F108=4,NOT(OR(D108="单颗暂存盒",D108="数字冰冻单颗暂存盒")))),IF(OR(D108="数字盖盒",D108="数字冰冻盒",D108="数字冰冻单颗暂存盒"),AND(H108&gt;=1,H108=INT(H108)),H108=0),IF(B108="开局",AND(IF(OR(D108="数字盖盒",D108="普通冰冻盒",D108="数字冰冻盒",D108="炸弹盒",D108="底部置顶盒"),OR(G108=3,G108=4),TRUE),IF(OR(D108="单向收纳盒",D108="单颗暂存盒",D108="数字冰冻单颗暂存盒"),OR(G108=0,G108=1),TRUE),IF(OR(D108="固定颜色盒",D108="广告锁定周转盒"),G108=0,TRUE)),TRUE)),"通过","需调整")</ns0:f>
        <ns0:v>通过</ns0:v>
      </ns0:c>
      <ns0:c r="P108" s="145" t="str">
        <ns0:v>确认方案装量</ns0:v>
      </ns0:c>
      <ns0:c r="Q108" s="145" t="str">
        <ns0:v>普通盒容量4；单颗盒容量1；广告周转不计免费空间</ns0:v>
      </ns0:c>
      <ns0:c r="R108" s="149" t="n">
        <ns0:f>E108*H108</ns0:f>
        <ns0:v>1</ns0:v>
      </ns0:c>
    </ns0:row>
    <ns0:row r="109" ht="21" customHeight="1">
      <ns0:c r="A109" s="150" t="n">
        <ns0:v>22</ns0:v>
      </ns0:c>
      <ns0:c r="B109" s="147" t="str">
        <ns0:v>开局</ns0:v>
      </ns0:c>
      <ns0:c r="C109" s="147" t="str">
        <ns0:v>WAVE-022-06</ns0:v>
      </ns0:c>
      <ns0:c r="D109" s="147" t="str">
        <ns0:v>广告锁定周转盒</ns0:v>
      </ns0:c>
      <ns0:c r="E109" s="152" t="n">
        <ns0:v>2</ns0:v>
      </ns0:c>
      <ns0:c r="F109" s="152" t="n">
        <ns0:v>4</ns0:v>
      </ns0:c>
      <ns0:c r="G109" s="152" t="n">
        <ns0:v>0</ns0:v>
      </ns0:c>
      <ns0:c r="H109" s="152" t="n">
        <ns0:v>0</ns0:v>
      </ns0:c>
      <ns0:c r="I109" s="150" t="n">
        <ns0:f>E109*G109</ns0:f>
        <ns0:v>0</ns0:v>
      </ns0:c>
      <ns0:c r="J109" s="150" t="n">
        <ns0:f>E109*(F109-G109)</ns0:f>
        <ns0:v>8</ns0:v>
      </ns0:c>
      <ns0:c r="K109" s="150" t="n">
        <ns0:f>IF(AND(B109="开局",G109=0,OR(D109="普通盒",D109="单颗暂存盒")),J109,0)</ns0:f>
        <ns0:v>0</ns0:v>
      </ns0:c>
      <ns0:c r="L109" s="150" t="n">
        <ns0:f>IF(AND(B109="开局",G109&gt;0,OR(D109="普通盒",D109="底部置顶盒",D109="炸弹盒")),J109,0)</ns0:f>
        <ns0:v>0</ns0:v>
      </ns0:c>
      <ns0:c r="M109" s="150" t="n">
        <ns0:f>IF(AND(B109="开局",OR(D109="固定颜色盒",D109="单向收纳盒")),J109,0)</ns0:f>
        <ns0:v>0</ns0:v>
      </ns0:c>
      <ns0:c r="N109" s="150" t="n">
        <ns0:f>IF(AND(B109="开局",OR(D109="数字盖盒",D109="普通冰冻盒",D109="数字冰冻盒",D109="数字冰冻单颗暂存盒")),J109,0)</ns0:f>
        <ns0:v>0</ns0:v>
      </ns0:c>
      <ns0:c r="O109" s="147" t="str">
        <ns0:f>IF(AND(E109&gt;0,E109=INT(E109),G109&gt;=0,G109&lt;=F109,G109=INT(G109),OR(AND(F109=1,OR(D109="单颗暂存盒",D109="数字冰冻单颗暂存盒")),AND(F109=4,NOT(OR(D109="单颗暂存盒",D109="数字冰冻单颗暂存盒")))),IF(OR(D109="数字盖盒",D109="数字冰冻盒",D109="数字冰冻单颗暂存盒"),AND(H109&gt;=1,H109=INT(H109)),H109=0),IF(B109="开局",AND(IF(OR(D109="数字盖盒",D109="普通冰冻盒",D109="数字冰冻盒",D109="炸弹盒",D109="底部置顶盒"),OR(G109=3,G109=4),TRUE),IF(OR(D109="单向收纳盒",D109="单颗暂存盒",D109="数字冰冻单颗暂存盒"),OR(G109=0,G109=1),TRUE),IF(OR(D109="固定颜色盒",D109="广告锁定周转盒"),G109=0,TRUE)),TRUE)),"通过","需调整")</ns0:f>
        <ns0:v>通过</ns0:v>
      </ns0:c>
      <ns0:c r="P109" s="147" t="str">
        <ns0:v>确认方案装量</ns0:v>
      </ns0:c>
      <ns0:c r="Q109" s="147" t="str">
        <ns0:v>普通盒容量4；单颗盒容量1；广告周转不计免费空间</ns0:v>
      </ns0:c>
      <ns0:c r="R109" s="150" t="n">
        <ns0:f>E109*H109</ns0:f>
        <ns0:v>0</ns0:v>
      </ns0:c>
    </ns0:row>
    <ns0:row r="110" ht="21" customHeight="1">
      <ns0:c r="A110" s="149" t="n">
        <ns0:v>23</ns0:v>
      </ns0:c>
      <ns0:c r="B110" s="145" t="str">
        <ns0:v>开局</ns0:v>
      </ns0:c>
      <ns0:c r="C110" s="145" t="str">
        <ns0:v>WAVE-023-01</ns0:v>
      </ns0:c>
      <ns0:c r="D110" s="145" t="str">
        <ns0:v>普通盒</ns0:v>
      </ns0:c>
      <ns0:c r="E110" s="152" t="n">
        <ns0:v>14</ns0:v>
      </ns0:c>
      <ns0:c r="F110" s="152" t="n">
        <ns0:v>4</ns0:v>
      </ns0:c>
      <ns0:c r="G110" s="152" t="n">
        <ns0:v>4</ns0:v>
      </ns0:c>
      <ns0:c r="H110" s="152" t="n">
        <ns0:v>0</ns0:v>
      </ns0:c>
      <ns0:c r="I110" s="149" t="n">
        <ns0:f>E110*G110</ns0:f>
        <ns0:v>56</ns0:v>
      </ns0:c>
      <ns0:c r="J110" s="149" t="n">
        <ns0:f>E110*(F110-G110)</ns0:f>
        <ns0:v>0</ns0:v>
      </ns0:c>
      <ns0:c r="K110" s="149" t="n">
        <ns0:f>IF(AND(B110="开局",G110=0,OR(D110="普通盒",D110="单颗暂存盒")),J110,0)</ns0:f>
        <ns0:v>0</ns0:v>
      </ns0:c>
      <ns0:c r="L110" s="149" t="n">
        <ns0:f>IF(AND(B110="开局",G110&gt;0,OR(D110="普通盒",D110="底部置顶盒",D110="炸弹盒")),J110,0)</ns0:f>
        <ns0:v>0</ns0:v>
      </ns0:c>
      <ns0:c r="M110" s="149" t="n">
        <ns0:f>IF(AND(B110="开局",OR(D110="固定颜色盒",D110="单向收纳盒")),J110,0)</ns0:f>
        <ns0:v>0</ns0:v>
      </ns0:c>
      <ns0:c r="N110" s="149" t="n">
        <ns0:f>IF(AND(B110="开局",OR(D110="数字盖盒",D110="普通冰冻盒",D110="数字冰冻盒",D110="数字冰冻单颗暂存盒")),J110,0)</ns0:f>
        <ns0:v>0</ns0:v>
      </ns0:c>
      <ns0:c r="O110" s="145" t="str">
        <ns0:f>IF(AND(E110&gt;0,E110=INT(E110),G110&gt;=0,G110&lt;=F110,G110=INT(G110),OR(AND(F110=1,OR(D110="单颗暂存盒",D110="数字冰冻单颗暂存盒")),AND(F110=4,NOT(OR(D110="单颗暂存盒",D110="数字冰冻单颗暂存盒")))),IF(OR(D110="数字盖盒",D110="数字冰冻盒",D110="数字冰冻单颗暂存盒"),AND(H110&gt;=1,H110=INT(H110)),H110=0),IF(B110="开局",AND(IF(OR(D110="数字盖盒",D110="普通冰冻盒",D110="数字冰冻盒",D110="炸弹盒",D110="底部置顶盒"),OR(G110=3,G110=4),TRUE),IF(OR(D110="单向收纳盒",D110="单颗暂存盒",D110="数字冰冻单颗暂存盒"),OR(G110=0,G110=1),TRUE),IF(OR(D110="固定颜色盒",D110="广告锁定周转盒"),G110=0,TRUE)),TRUE)),"通过","需调整")</ns0:f>
        <ns0:v>通过</ns0:v>
      </ns0:c>
      <ns0:c r="P110" s="145" t="str">
        <ns0:v>确认方案装量</ns0:v>
      </ns0:c>
      <ns0:c r="Q110" s="145" t="str">
        <ns0:v>层序JSON:{"reference":"2026-10-05 用户确认21—30关难度与装量方案；层序自顶向下","slots":[{"group_id":"WAVE-023-01","layers":[5,8,6,2]},{"group_id":"WAVE-023-01","layers":[3,6,4,8]},{"group_id":"WAVE-023-01","layers":[6,0,6,0]},{"group_id":"WAVE-023-01","layers":[0,3,8,2]},{"group_id":"WAVE-023-01","layers":[0,2,4,12]},{"group_id":"WAVE-023-01","layers":[8,0,5,12]},{"group_id":"WAVE-023-06","layers":[0,8,2,0]},{"group_id":"WAVE-023-01","layers":[2,2,8,2]},{"group_id":"WAVE-023-01","layers":[0,5,0,12]},{"group_id":"WAVE-023-05","layers":[2,12,6,3]},{"group_id":"WAVE-023-01","layers":[12,4,2,0]},{"group_id":"WAVE-023-01","layers":[3,4,6,4]},{"group_id":"WAVE-023-02","layers":[2,6,12]},{"group_id":"WAVE-023-03","layers":[12]},{"group_id":"WAVE-023-01","layers":[5,2,3,5]},{"group_id":"WAVE-023-01","layers":[8,0,8,2]},{"group_id":"WAVE-023-01","layers":[5,3,5,3]},{"group_id":"WAVE-023-07","layers":[5,4,12,0]},{"group_id":"WAVE-023-01","layers":[3,6,4,4]},{"group_id":"WAVE-023-04","layers":[]}],"stock":[],"demand_sequences":[[2,3,4,0,8,0,6,3,4],[12,5,0,6,8,5,2,2,12]]}</ns0:v>
      </ns0:c>
      <ns0:c r="R110" s="149" t="n">
        <ns0:f>E110*H110</ns0:f>
        <ns0:v>0</ns0:v>
      </ns0:c>
    </ns0:row>
    <ns0:row r="111" ht="21" customHeight="1">
      <ns0:c r="A111" s="150" t="n">
        <ns0:v>23</ns0:v>
      </ns0:c>
      <ns0:c r="B111" s="147" t="str">
        <ns0:v>开局</ns0:v>
      </ns0:c>
      <ns0:c r="C111" s="147" t="str">
        <ns0:v>WAVE-023-02</ns0:v>
      </ns0:c>
      <ns0:c r="D111" s="147" t="str">
        <ns0:v>普通盒</ns0:v>
      </ns0:c>
      <ns0:c r="E111" s="152" t="n">
        <ns0:v>1</ns0:v>
      </ns0:c>
      <ns0:c r="F111" s="152" t="n">
        <ns0:v>4</ns0:v>
      </ns0:c>
      <ns0:c r="G111" s="152" t="n">
        <ns0:v>3</ns0:v>
      </ns0:c>
      <ns0:c r="H111" s="152" t="n">
        <ns0:v>0</ns0:v>
      </ns0:c>
      <ns0:c r="I111" s="150" t="n">
        <ns0:f>E111*G111</ns0:f>
        <ns0:v>3</ns0:v>
      </ns0:c>
      <ns0:c r="J111" s="150" t="n">
        <ns0:f>E111*(F111-G111)</ns0:f>
        <ns0:v>1</ns0:v>
      </ns0:c>
      <ns0:c r="K111" s="150" t="n">
        <ns0:f>IF(AND(B111="开局",G111=0,OR(D111="普通盒",D111="单颗暂存盒")),J111,0)</ns0:f>
        <ns0:v>0</ns0:v>
      </ns0:c>
      <ns0:c r="L111" s="150" t="n">
        <ns0:f>IF(AND(B111="开局",G111&gt;0,OR(D111="普通盒",D111="底部置顶盒",D111="炸弹盒")),J111,0)</ns0:f>
        <ns0:v>1</ns0:v>
      </ns0:c>
      <ns0:c r="M111" s="150" t="n">
        <ns0:f>IF(AND(B111="开局",OR(D111="固定颜色盒",D111="单向收纳盒")),J111,0)</ns0:f>
        <ns0:v>0</ns0:v>
      </ns0:c>
      <ns0:c r="N111" s="150" t="n">
        <ns0:f>IF(AND(B111="开局",OR(D111="数字盖盒",D111="普通冰冻盒",D111="数字冰冻盒",D111="数字冰冻单颗暂存盒")),J111,0)</ns0:f>
        <ns0:v>0</ns0:v>
      </ns0:c>
      <ns0:c r="O111" s="147" t="str">
        <ns0:f>IF(AND(E111&gt;0,E111=INT(E111),G111&gt;=0,G111&lt;=F111,G111=INT(G111),OR(AND(F111=1,OR(D111="单颗暂存盒",D111="数字冰冻单颗暂存盒")),AND(F111=4,NOT(OR(D111="单颗暂存盒",D111="数字冰冻单颗暂存盒")))),IF(OR(D111="数字盖盒",D111="数字冰冻盒",D111="数字冰冻单颗暂存盒"),AND(H111&gt;=1,H111=INT(H111)),H111=0),IF(B111="开局",AND(IF(OR(D111="数字盖盒",D111="普通冰冻盒",D111="数字冰冻盒",D111="炸弹盒",D111="底部置顶盒"),OR(G111=3,G111=4),TRUE),IF(OR(D111="单向收纳盒",D111="单颗暂存盒",D111="数字冰冻单颗暂存盒"),OR(G111=0,G111=1),TRUE),IF(OR(D111="固定颜色盒",D111="广告锁定周转盒"),G111=0,TRUE)),TRUE)),"通过","需调整")</ns0:f>
        <ns0:v>通过</ns0:v>
      </ns0:c>
      <ns0:c r="P111" s="147" t="str">
        <ns0:v>确认方案装量</ns0:v>
      </ns0:c>
      <ns0:c r="Q111" s="147" t="str">
        <ns0:v>普通盒容量4；单颗盒容量1；广告周转不计免费空间</ns0:v>
      </ns0:c>
      <ns0:c r="R111" s="150" t="n">
        <ns0:f>E111*H111</ns0:f>
        <ns0:v>0</ns0:v>
      </ns0:c>
    </ns0:row>
    <ns0:row r="112" ht="21" customHeight="1">
      <ns0:c r="A112" s="149" t="n">
        <ns0:v>23</ns0:v>
      </ns0:c>
      <ns0:c r="B112" s="145" t="str">
        <ns0:v>开局</ns0:v>
      </ns0:c>
      <ns0:c r="C112" s="145" t="str">
        <ns0:v>WAVE-023-03</ns0:v>
      </ns0:c>
      <ns0:c r="D112" s="145" t="str">
        <ns0:v>普通盒</ns0:v>
      </ns0:c>
      <ns0:c r="E112" s="152" t="n">
        <ns0:v>1</ns0:v>
      </ns0:c>
      <ns0:c r="F112" s="152" t="n">
        <ns0:v>4</ns0:v>
      </ns0:c>
      <ns0:c r="G112" s="152" t="n">
        <ns0:v>1</ns0:v>
      </ns0:c>
      <ns0:c r="H112" s="152" t="n">
        <ns0:v>0</ns0:v>
      </ns0:c>
      <ns0:c r="I112" s="149" t="n">
        <ns0:f>E112*G112</ns0:f>
        <ns0:v>1</ns0:v>
      </ns0:c>
      <ns0:c r="J112" s="149" t="n">
        <ns0:f>E112*(F112-G112)</ns0:f>
        <ns0:v>3</ns0:v>
      </ns0:c>
      <ns0:c r="K112" s="149" t="n">
        <ns0:f>IF(AND(B112="开局",G112=0,OR(D112="普通盒",D112="单颗暂存盒")),J112,0)</ns0:f>
        <ns0:v>0</ns0:v>
      </ns0:c>
      <ns0:c r="L112" s="149" t="n">
        <ns0:f>IF(AND(B112="开局",G112&gt;0,OR(D112="普通盒",D112="底部置顶盒",D112="炸弹盒")),J112,0)</ns0:f>
        <ns0:v>3</ns0:v>
      </ns0:c>
      <ns0:c r="M112" s="149" t="n">
        <ns0:f>IF(AND(B112="开局",OR(D112="固定颜色盒",D112="单向收纳盒")),J112,0)</ns0:f>
        <ns0:v>0</ns0:v>
      </ns0:c>
      <ns0:c r="N112" s="149" t="n">
        <ns0:f>IF(AND(B112="开局",OR(D112="数字盖盒",D112="普通冰冻盒",D112="数字冰冻盒",D112="数字冰冻单颗暂存盒")),J112,0)</ns0:f>
        <ns0:v>0</ns0:v>
      </ns0:c>
      <ns0:c r="O112" s="145" t="str">
        <ns0:f>IF(AND(E112&gt;0,E112=INT(E112),G112&gt;=0,G112&lt;=F112,G112=INT(G112),OR(AND(F112=1,OR(D112="单颗暂存盒",D112="数字冰冻单颗暂存盒")),AND(F112=4,NOT(OR(D112="单颗暂存盒",D112="数字冰冻单颗暂存盒")))),IF(OR(D112="数字盖盒",D112="数字冰冻盒",D112="数字冰冻单颗暂存盒"),AND(H112&gt;=1,H112=INT(H112)),H112=0),IF(B112="开局",AND(IF(OR(D112="数字盖盒",D112="普通冰冻盒",D112="数字冰冻盒",D112="炸弹盒",D112="底部置顶盒"),OR(G112=3,G112=4),TRUE),IF(OR(D112="单向收纳盒",D112="单颗暂存盒",D112="数字冰冻单颗暂存盒"),OR(G112=0,G112=1),TRUE),IF(OR(D112="固定颜色盒",D112="广告锁定周转盒"),G112=0,TRUE)),TRUE)),"通过","需调整")</ns0:f>
        <ns0:v>通过</ns0:v>
      </ns0:c>
      <ns0:c r="P112" s="145" t="str">
        <ns0:v>确认方案装量</ns0:v>
      </ns0:c>
      <ns0:c r="Q112" s="145" t="str">
        <ns0:v>普通盒容量4；单颗盒容量1；广告周转不计免费空间</ns0:v>
      </ns0:c>
      <ns0:c r="R112" s="149" t="n">
        <ns0:f>E112*H112</ns0:f>
        <ns0:v>0</ns0:v>
      </ns0:c>
    </ns0:row>
    <ns0:row r="113" ht="21" customHeight="1">
      <ns0:c r="A113" s="150" t="n">
        <ns0:v>23</ns0:v>
      </ns0:c>
      <ns0:c r="B113" s="147" t="str">
        <ns0:v>开局</ns0:v>
      </ns0:c>
      <ns0:c r="C113" s="147" t="str">
        <ns0:v>WAVE-023-04</ns0:v>
      </ns0:c>
      <ns0:c r="D113" s="147" t="str">
        <ns0:v>普通盒</ns0:v>
      </ns0:c>
      <ns0:c r="E113" s="152" t="n">
        <ns0:v>1</ns0:v>
      </ns0:c>
      <ns0:c r="F113" s="152" t="n">
        <ns0:v>4</ns0:v>
      </ns0:c>
      <ns0:c r="G113" s="152" t="n">
        <ns0:v>0</ns0:v>
      </ns0:c>
      <ns0:c r="H113" s="152" t="n">
        <ns0:v>0</ns0:v>
      </ns0:c>
      <ns0:c r="I113" s="150" t="n">
        <ns0:f>E113*G113</ns0:f>
        <ns0:v>0</ns0:v>
      </ns0:c>
      <ns0:c r="J113" s="150" t="n">
        <ns0:f>E113*(F113-G113)</ns0:f>
        <ns0:v>4</ns0:v>
      </ns0:c>
      <ns0:c r="K113" s="150" t="n">
        <ns0:f>IF(AND(B113="开局",G113=0,OR(D113="普通盒",D113="单颗暂存盒")),J113,0)</ns0:f>
        <ns0:v>4</ns0:v>
      </ns0:c>
      <ns0:c r="L113" s="150" t="n">
        <ns0:f>IF(AND(B113="开局",G113&gt;0,OR(D113="普通盒",D113="底部置顶盒",D113="炸弹盒")),J113,0)</ns0:f>
        <ns0:v>0</ns0:v>
      </ns0:c>
      <ns0:c r="M113" s="150" t="n">
        <ns0:f>IF(AND(B113="开局",OR(D113="固定颜色盒",D113="单向收纳盒")),J113,0)</ns0:f>
        <ns0:v>0</ns0:v>
      </ns0:c>
      <ns0:c r="N113" s="150" t="n">
        <ns0:f>IF(AND(B113="开局",OR(D113="数字盖盒",D113="普通冰冻盒",D113="数字冰冻盒",D113="数字冰冻单颗暂存盒")),J113,0)</ns0:f>
        <ns0:v>0</ns0:v>
      </ns0:c>
      <ns0:c r="O113" s="147" t="str">
        <ns0:f>IF(AND(E113&gt;0,E113=INT(E113),G113&gt;=0,G113&lt;=F113,G113=INT(G113),OR(AND(F113=1,OR(D113="单颗暂存盒",D113="数字冰冻单颗暂存盒")),AND(F113=4,NOT(OR(D113="单颗暂存盒",D113="数字冰冻单颗暂存盒")))),IF(OR(D113="数字盖盒",D113="数字冰冻盒",D113="数字冰冻单颗暂存盒"),AND(H113&gt;=1,H113=INT(H113)),H113=0),IF(B113="开局",AND(IF(OR(D113="数字盖盒",D113="普通冰冻盒",D113="数字冰冻盒",D113="炸弹盒",D113="底部置顶盒"),OR(G113=3,G113=4),TRUE),IF(OR(D113="单向收纳盒",D113="单颗暂存盒",D113="数字冰冻单颗暂存盒"),OR(G113=0,G113=1),TRUE),IF(OR(D113="固定颜色盒",D113="广告锁定周转盒"),G113=0,TRUE)),TRUE)),"通过","需调整")</ns0:f>
        <ns0:v>通过</ns0:v>
      </ns0:c>
      <ns0:c r="P113" s="147" t="str">
        <ns0:v>确认方案装量</ns0:v>
      </ns0:c>
      <ns0:c r="Q113" s="147" t="str">
        <ns0:v>普通盒容量4；单颗盒容量1；广告周转不计免费空间</ns0:v>
      </ns0:c>
      <ns0:c r="R113" s="150" t="n">
        <ns0:f>E113*H113</ns0:f>
        <ns0:v>0</ns0:v>
      </ns0:c>
    </ns0:row>
    <ns0:row r="114" ht="21" customHeight="1">
      <ns0:c r="A114" s="149" t="n">
        <ns0:v>23</ns0:v>
      </ns0:c>
      <ns0:c r="B114" s="145" t="str">
        <ns0:v>开局</ns0:v>
      </ns0:c>
      <ns0:c r="C114" s="145" t="str">
        <ns0:v>WAVE-023-05</ns0:v>
      </ns0:c>
      <ns0:c r="D114" s="145" t="str">
        <ns0:v>普通冰冻盒</ns0:v>
      </ns0:c>
      <ns0:c r="E114" s="152" t="n">
        <ns0:v>1</ns0:v>
      </ns0:c>
      <ns0:c r="F114" s="152" t="n">
        <ns0:v>4</ns0:v>
      </ns0:c>
      <ns0:c r="G114" s="152" t="n">
        <ns0:v>4</ns0:v>
      </ns0:c>
      <ns0:c r="H114" s="152" t="n">
        <ns0:v>0</ns0:v>
      </ns0:c>
      <ns0:c r="I114" s="149" t="n">
        <ns0:f>E114*G114</ns0:f>
        <ns0:v>4</ns0:v>
      </ns0:c>
      <ns0:c r="J114" s="149" t="n">
        <ns0:f>E114*(F114-G114)</ns0:f>
        <ns0:v>0</ns0:v>
      </ns0:c>
      <ns0:c r="K114" s="149" t="n">
        <ns0:f>IF(AND(B114="开局",G114=0,OR(D114="普通盒",D114="单颗暂存盒")),J114,0)</ns0:f>
        <ns0:v>0</ns0:v>
      </ns0:c>
      <ns0:c r="L114" s="149" t="n">
        <ns0:f>IF(AND(B114="开局",G114&gt;0,OR(D114="普通盒",D114="底部置顶盒",D114="炸弹盒")),J114,0)</ns0:f>
        <ns0:v>0</ns0:v>
      </ns0:c>
      <ns0:c r="M114" s="149" t="n">
        <ns0:f>IF(AND(B114="开局",OR(D114="固定颜色盒",D114="单向收纳盒")),J114,0)</ns0:f>
        <ns0:v>0</ns0:v>
      </ns0:c>
      <ns0:c r="N114" s="149" t="n">
        <ns0:f>IF(AND(B114="开局",OR(D114="数字盖盒",D114="普通冰冻盒",D114="数字冰冻盒",D114="数字冰冻单颗暂存盒")),J114,0)</ns0:f>
        <ns0:v>0</ns0:v>
      </ns0:c>
      <ns0:c r="O114" s="145" t="str">
        <ns0:f>IF(AND(E114&gt;0,E114=INT(E114),G114&gt;=0,G114&lt;=F114,G114=INT(G114),OR(AND(F114=1,OR(D114="单颗暂存盒",D114="数字冰冻单颗暂存盒")),AND(F114=4,NOT(OR(D114="单颗暂存盒",D114="数字冰冻单颗暂存盒")))),IF(OR(D114="数字盖盒",D114="数字冰冻盒",D114="数字冰冻单颗暂存盒"),AND(H114&gt;=1,H114=INT(H114)),H114=0),IF(B114="开局",AND(IF(OR(D114="数字盖盒",D114="普通冰冻盒",D114="数字冰冻盒",D114="炸弹盒",D114="底部置顶盒"),OR(G114=3,G114=4),TRUE),IF(OR(D114="单向收纳盒",D114="单颗暂存盒",D114="数字冰冻单颗暂存盒"),OR(G114=0,G114=1),TRUE),IF(OR(D114="固定颜色盒",D114="广告锁定周转盒"),G114=0,TRUE)),TRUE)),"通过","需调整")</ns0:f>
        <ns0:v>通过</ns0:v>
      </ns0:c>
      <ns0:c r="P114" s="145" t="str">
        <ns0:v>确认方案装量</ns0:v>
      </ns0:c>
      <ns0:c r="Q114" s="145" t="str">
        <ns0:v>普通盒容量4；单颗盒容量1；广告周转不计免费空间</ns0:v>
      </ns0:c>
      <ns0:c r="R114" s="149" t="n">
        <ns0:f>E114*H114</ns0:f>
        <ns0:v>0</ns0:v>
      </ns0:c>
    </ns0:row>
    <ns0:row r="115" ht="21" customHeight="1">
      <ns0:c r="A115" s="150" t="n">
        <ns0:v>23</ns0:v>
      </ns0:c>
      <ns0:c r="B115" s="147" t="str">
        <ns0:v>开局</ns0:v>
      </ns0:c>
      <ns0:c r="C115" s="147" t="str">
        <ns0:v>WAVE-023-06</ns0:v>
      </ns0:c>
      <ns0:c r="D115" s="147" t="str">
        <ns0:v>普通冰冻盒</ns0:v>
      </ns0:c>
      <ns0:c r="E115" s="152" t="n">
        <ns0:v>1</ns0:v>
      </ns0:c>
      <ns0:c r="F115" s="152" t="n">
        <ns0:v>4</ns0:v>
      </ns0:c>
      <ns0:c r="G115" s="152" t="n">
        <ns0:v>4</ns0:v>
      </ns0:c>
      <ns0:c r="H115" s="152" t="n">
        <ns0:v>0</ns0:v>
      </ns0:c>
      <ns0:c r="I115" s="150" t="n">
        <ns0:f>E115*G115</ns0:f>
        <ns0:v>4</ns0:v>
      </ns0:c>
      <ns0:c r="J115" s="150" t="n">
        <ns0:f>E115*(F115-G115)</ns0:f>
        <ns0:v>0</ns0:v>
      </ns0:c>
      <ns0:c r="K115" s="150" t="n">
        <ns0:f>IF(AND(B115="开局",G115=0,OR(D115="普通盒",D115="单颗暂存盒")),J115,0)</ns0:f>
        <ns0:v>0</ns0:v>
      </ns0:c>
      <ns0:c r="L115" s="150" t="n">
        <ns0:f>IF(AND(B115="开局",G115&gt;0,OR(D115="普通盒",D115="底部置顶盒",D115="炸弹盒")),J115,0)</ns0:f>
        <ns0:v>0</ns0:v>
      </ns0:c>
      <ns0:c r="M115" s="150" t="n">
        <ns0:f>IF(AND(B115="开局",OR(D115="固定颜色盒",D115="单向收纳盒")),J115,0)</ns0:f>
        <ns0:v>0</ns0:v>
      </ns0:c>
      <ns0:c r="N115" s="150" t="n">
        <ns0:f>IF(AND(B115="开局",OR(D115="数字盖盒",D115="普通冰冻盒",D115="数字冰冻盒",D115="数字冰冻单颗暂存盒")),J115,0)</ns0:f>
        <ns0:v>0</ns0:v>
      </ns0:c>
      <ns0:c r="O115" s="147" t="str">
        <ns0:f>IF(AND(E115&gt;0,E115=INT(E115),G115&gt;=0,G115&lt;=F115,G115=INT(G115),OR(AND(F115=1,OR(D115="单颗暂存盒",D115="数字冰冻单颗暂存盒")),AND(F115=4,NOT(OR(D115="单颗暂存盒",D115="数字冰冻单颗暂存盒")))),IF(OR(D115="数字盖盒",D115="数字冰冻盒",D115="数字冰冻单颗暂存盒"),AND(H115&gt;=1,H115=INT(H115)),H115=0),IF(B115="开局",AND(IF(OR(D115="数字盖盒",D115="普通冰冻盒",D115="数字冰冻盒",D115="炸弹盒",D115="底部置顶盒"),OR(G115=3,G115=4),TRUE),IF(OR(D115="单向收纳盒",D115="单颗暂存盒",D115="数字冰冻单颗暂存盒"),OR(G115=0,G115=1),TRUE),IF(OR(D115="固定颜色盒",D115="广告锁定周转盒"),G115=0,TRUE)),TRUE)),"通过","需调整")</ns0:f>
        <ns0:v>通过</ns0:v>
      </ns0:c>
      <ns0:c r="P115" s="147" t="str">
        <ns0:v>确认方案装量</ns0:v>
      </ns0:c>
      <ns0:c r="Q115" s="147" t="str">
        <ns0:v>普通盒容量4；单颗盒容量1；广告周转不计免费空间</ns0:v>
      </ns0:c>
      <ns0:c r="R115" s="150" t="n">
        <ns0:f>E115*H115</ns0:f>
        <ns0:v>0</ns0:v>
      </ns0:c>
    </ns0:row>
    <ns0:row r="116" ht="21" customHeight="1">
      <ns0:c r="A116" s="149" t="n">
        <ns0:v>23</ns0:v>
      </ns0:c>
      <ns0:c r="B116" s="145" t="str">
        <ns0:v>开局</ns0:v>
      </ns0:c>
      <ns0:c r="C116" s="145" t="str">
        <ns0:v>WAVE-023-07</ns0:v>
      </ns0:c>
      <ns0:c r="D116" s="145" t="str">
        <ns0:v>数字盖盒</ns0:v>
      </ns0:c>
      <ns0:c r="E116" s="152" t="n">
        <ns0:v>1</ns0:v>
      </ns0:c>
      <ns0:c r="F116" s="152" t="n">
        <ns0:v>4</ns0:v>
      </ns0:c>
      <ns0:c r="G116" s="152" t="n">
        <ns0:v>4</ns0:v>
      </ns0:c>
      <ns0:c r="H116" s="152" t="n">
        <ns0:v>2</ns0:v>
      </ns0:c>
      <ns0:c r="I116" s="149" t="n">
        <ns0:f>E116*G116</ns0:f>
        <ns0:v>4</ns0:v>
      </ns0:c>
      <ns0:c r="J116" s="149" t="n">
        <ns0:f>E116*(F116-G116)</ns0:f>
        <ns0:v>0</ns0:v>
      </ns0:c>
      <ns0:c r="K116" s="149" t="n">
        <ns0:f>IF(AND(B116="开局",G116=0,OR(D116="普通盒",D116="单颗暂存盒")),J116,0)</ns0:f>
        <ns0:v>0</ns0:v>
      </ns0:c>
      <ns0:c r="L116" s="149" t="n">
        <ns0:f>IF(AND(B116="开局",G116&gt;0,OR(D116="普通盒",D116="底部置顶盒",D116="炸弹盒")),J116,0)</ns0:f>
        <ns0:v>0</ns0:v>
      </ns0:c>
      <ns0:c r="M116" s="149" t="n">
        <ns0:f>IF(AND(B116="开局",OR(D116="固定颜色盒",D116="单向收纳盒")),J116,0)</ns0:f>
        <ns0:v>0</ns0:v>
      </ns0:c>
      <ns0:c r="N116" s="149" t="n">
        <ns0:f>IF(AND(B116="开局",OR(D116="数字盖盒",D116="普通冰冻盒",D116="数字冰冻盒",D116="数字冰冻单颗暂存盒")),J116,0)</ns0:f>
        <ns0:v>0</ns0:v>
      </ns0:c>
      <ns0:c r="O116" s="145" t="str">
        <ns0:f>IF(AND(E116&gt;0,E116=INT(E116),G116&gt;=0,G116&lt;=F116,G116=INT(G116),OR(AND(F116=1,OR(D116="单颗暂存盒",D116="数字冰冻单颗暂存盒")),AND(F116=4,NOT(OR(D116="单颗暂存盒",D116="数字冰冻单颗暂存盒")))),IF(OR(D116="数字盖盒",D116="数字冰冻盒",D116="数字冰冻单颗暂存盒"),AND(H116&gt;=1,H116=INT(H116)),H116=0),IF(B116="开局",AND(IF(OR(D116="数字盖盒",D116="普通冰冻盒",D116="数字冰冻盒",D116="炸弹盒",D116="底部置顶盒"),OR(G116=3,G116=4),TRUE),IF(OR(D116="单向收纳盒",D116="单颗暂存盒",D116="数字冰冻单颗暂存盒"),OR(G116=0,G116=1),TRUE),IF(OR(D116="固定颜色盒",D116="广告锁定周转盒"),G116=0,TRUE)),TRUE)),"通过","需调整")</ns0:f>
        <ns0:v>通过</ns0:v>
      </ns0:c>
      <ns0:c r="P116" s="145" t="str">
        <ns0:v>确认方案装量</ns0:v>
      </ns0:c>
      <ns0:c r="Q116" s="145" t="str">
        <ns0:v>普通盒容量4；单颗盒容量1；广告周转不计免费空间</ns0:v>
      </ns0:c>
      <ns0:c r="R116" s="149" t="n">
        <ns0:f>E116*H116</ns0:f>
        <ns0:v>2</ns0:v>
      </ns0:c>
    </ns0:row>
    <ns0:row r="117" ht="21" customHeight="1">
      <ns0:c r="A117" s="150" t="n">
        <ns0:v>23</ns0:v>
      </ns0:c>
      <ns0:c r="B117" s="147" t="str">
        <ns0:v>开局</ns0:v>
      </ns0:c>
      <ns0:c r="C117" s="147" t="str">
        <ns0:v>WAVE-023-08</ns0:v>
      </ns0:c>
      <ns0:c r="D117" s="147" t="str">
        <ns0:v>广告锁定周转盒</ns0:v>
      </ns0:c>
      <ns0:c r="E117" s="152" t="n">
        <ns0:v>2</ns0:v>
      </ns0:c>
      <ns0:c r="F117" s="152" t="n">
        <ns0:v>4</ns0:v>
      </ns0:c>
      <ns0:c r="G117" s="152" t="n">
        <ns0:v>0</ns0:v>
      </ns0:c>
      <ns0:c r="H117" s="152" t="n">
        <ns0:v>0</ns0:v>
      </ns0:c>
      <ns0:c r="I117" s="150" t="n">
        <ns0:f>E117*G117</ns0:f>
        <ns0:v>0</ns0:v>
      </ns0:c>
      <ns0:c r="J117" s="150" t="n">
        <ns0:f>E117*(F117-G117)</ns0:f>
        <ns0:v>8</ns0:v>
      </ns0:c>
      <ns0:c r="K117" s="150" t="n">
        <ns0:f>IF(AND(B117="开局",G117=0,OR(D117="普通盒",D117="单颗暂存盒")),J117,0)</ns0:f>
        <ns0:v>0</ns0:v>
      </ns0:c>
      <ns0:c r="L117" s="150" t="n">
        <ns0:f>IF(AND(B117="开局",G117&gt;0,OR(D117="普通盒",D117="底部置顶盒",D117="炸弹盒")),J117,0)</ns0:f>
        <ns0:v>0</ns0:v>
      </ns0:c>
      <ns0:c r="M117" s="150" t="n">
        <ns0:f>IF(AND(B117="开局",OR(D117="固定颜色盒",D117="单向收纳盒")),J117,0)</ns0:f>
        <ns0:v>0</ns0:v>
      </ns0:c>
      <ns0:c r="N117" s="150" t="n">
        <ns0:f>IF(AND(B117="开局",OR(D117="数字盖盒",D117="普通冰冻盒",D117="数字冰冻盒",D117="数字冰冻单颗暂存盒")),J117,0)</ns0:f>
        <ns0:v>0</ns0:v>
      </ns0:c>
      <ns0:c r="O117" s="147" t="str">
        <ns0:f>IF(AND(E117&gt;0,E117=INT(E117),G117&gt;=0,G117&lt;=F117,G117=INT(G117),OR(AND(F117=1,OR(D117="单颗暂存盒",D117="数字冰冻单颗暂存盒")),AND(F117=4,NOT(OR(D117="单颗暂存盒",D117="数字冰冻单颗暂存盒")))),IF(OR(D117="数字盖盒",D117="数字冰冻盒",D117="数字冰冻单颗暂存盒"),AND(H117&gt;=1,H117=INT(H117)),H117=0),IF(B117="开局",AND(IF(OR(D117="数字盖盒",D117="普通冰冻盒",D117="数字冰冻盒",D117="炸弹盒",D117="底部置顶盒"),OR(G117=3,G117=4),TRUE),IF(OR(D117="单向收纳盒",D117="单颗暂存盒",D117="数字冰冻单颗暂存盒"),OR(G117=0,G117=1),TRUE),IF(OR(D117="固定颜色盒",D117="广告锁定周转盒"),G117=0,TRUE)),TRUE)),"通过","需调整")</ns0:f>
        <ns0:v>通过</ns0:v>
      </ns0:c>
      <ns0:c r="P117" s="147" t="str">
        <ns0:v>确认方案装量</ns0:v>
      </ns0:c>
      <ns0:c r="Q117" s="147" t="str">
        <ns0:v>普通盒容量4；单颗盒容量1；广告周转不计免费空间</ns0:v>
      </ns0:c>
      <ns0:c r="R117" s="150" t="n">
        <ns0:f>E117*H117</ns0:f>
        <ns0:v>0</ns0:v>
      </ns0:c>
    </ns0:row>
    <ns0:row r="118" ht="21" customHeight="1">
      <ns0:c r="A118" s="149" t="n">
        <ns0:v>24</ns0:v>
      </ns0:c>
      <ns0:c r="B118" s="145" t="str">
        <ns0:v>开局</ns0:v>
      </ns0:c>
      <ns0:c r="C118" s="145" t="str">
        <ns0:v>WAVE-024-01</ns0:v>
      </ns0:c>
      <ns0:c r="D118" s="145" t="str">
        <ns0:v>普通盒</ns0:v>
      </ns0:c>
      <ns0:c r="E118" s="152" t="n">
        <ns0:v>13</ns0:v>
      </ns0:c>
      <ns0:c r="F118" s="152" t="n">
        <ns0:v>4</ns0:v>
      </ns0:c>
      <ns0:c r="G118" s="152" t="n">
        <ns0:v>4</ns0:v>
      </ns0:c>
      <ns0:c r="H118" s="152" t="n">
        <ns0:v>0</ns0:v>
      </ns0:c>
      <ns0:c r="I118" s="149" t="n">
        <ns0:f>E118*G118</ns0:f>
        <ns0:v>52</ns0:v>
      </ns0:c>
      <ns0:c r="J118" s="149" t="n">
        <ns0:f>E118*(F118-G118)</ns0:f>
        <ns0:v>0</ns0:v>
      </ns0:c>
      <ns0:c r="K118" s="149" t="n">
        <ns0:f>IF(AND(B118="开局",G118=0,OR(D118="普通盒",D118="单颗暂存盒")),J118,0)</ns0:f>
        <ns0:v>0</ns0:v>
      </ns0:c>
      <ns0:c r="L118" s="149" t="n">
        <ns0:f>IF(AND(B118="开局",G118&gt;0,OR(D118="普通盒",D118="底部置顶盒",D118="炸弹盒")),J118,0)</ns0:f>
        <ns0:v>0</ns0:v>
      </ns0:c>
      <ns0:c r="M118" s="149" t="n">
        <ns0:f>IF(AND(B118="开局",OR(D118="固定颜色盒",D118="单向收纳盒")),J118,0)</ns0:f>
        <ns0:v>0</ns0:v>
      </ns0:c>
      <ns0:c r="N118" s="149" t="n">
        <ns0:f>IF(AND(B118="开局",OR(D118="数字盖盒",D118="普通冰冻盒",D118="数字冰冻盒",D118="数字冰冻单颗暂存盒")),J118,0)</ns0:f>
        <ns0:v>0</ns0:v>
      </ns0:c>
      <ns0:c r="O118" s="145" t="str">
        <ns0:f>IF(AND(E118&gt;0,E118=INT(E118),G118&gt;=0,G118&lt;=F118,G118=INT(G118),OR(AND(F118=1,OR(D118="单颗暂存盒",D118="数字冰冻单颗暂存盒")),AND(F118=4,NOT(OR(D118="单颗暂存盒",D118="数字冰冻单颗暂存盒")))),IF(OR(D118="数字盖盒",D118="数字冰冻盒",D118="数字冰冻单颗暂存盒"),AND(H118&gt;=1,H118=INT(H118)),H118=0),IF(B118="开局",AND(IF(OR(D118="数字盖盒",D118="普通冰冻盒",D118="数字冰冻盒",D118="炸弹盒",D118="底部置顶盒"),OR(G118=3,G118=4),TRUE),IF(OR(D118="单向收纳盒",D118="单颗暂存盒",D118="数字冰冻单颗暂存盒"),OR(G118=0,G118=1),TRUE),IF(OR(D118="固定颜色盒",D118="广告锁定周转盒"),G118=0,TRUE)),TRUE)),"通过","需调整")</ns0:f>
        <ns0:v>通过</ns0:v>
      </ns0:c>
      <ns0:c r="P118" s="145" t="str">
        <ns0:v>确认方案装量</ns0:v>
      </ns0:c>
      <ns0:c r="Q118" s="145" t="str">
        <ns0:v>层序JSON:{"reference":"2026-10-05 用户确认21—30关难度与装量方案；层序自顶向下","slots":[{"group_id":"WAVE-024-02","layers":[6,2,8]},{"group_id":"WAVE-024-01","layers":[5,0,5,3]},{"group_id":"WAVE-024-01","layers":[0,5,2,6]},{"group_id":"WAVE-024-01","layers":[6,3,8,8]},{"group_id":"WAVE-024-01","layers":[4,0,2,4]},{"group_id":"WAVE-024-01","layers":[0,3,2,8]},{"group_id":"WAVE-024-01","layers":[3,0,3,8]},{"group_id":"WAVE-024-01","layers":[0,4,3,6]},{"group_id":"WAVE-024-01","layers":[2,6,6,4]},{"group_id":"WAVE-024-01","layers":[4,6,2,3]},{"group_id":"WAVE-024-01","layers":[4,2,4,5]},{"group_id":"WAVE-024-03","layers":[2,5]},{"group_id":"WAVE-024-01","layers":[8,8,8,2]},{"group_id":"WAVE-024-01","layers":[3,5,5,0]},{"group_id":"WAVE-024-01","layers":[4,5,0,2]},{"group_id":"WAVE-024-02","layers":[2,2,6]},{"group_id":"WAVE-024-05","layers":[]},{"group_id":"WAVE-024-04","layers":[]}],"stock":[],"demand_sequences":[[5,3,0,5,6,6,2,3],[4,2,8,2,0,4,8]]}</ns0:v>
      </ns0:c>
      <ns0:c r="R118" s="149" t="n">
        <ns0:f>E118*H118</ns0:f>
        <ns0:v>0</ns0:v>
      </ns0:c>
    </ns0:row>
    <ns0:row r="119" ht="21" customHeight="1">
      <ns0:c r="A119" s="150" t="n">
        <ns0:v>24</ns0:v>
      </ns0:c>
      <ns0:c r="B119" s="147" t="str">
        <ns0:v>开局</ns0:v>
      </ns0:c>
      <ns0:c r="C119" s="147" t="str">
        <ns0:v>WAVE-024-02</ns0:v>
      </ns0:c>
      <ns0:c r="D119" s="147" t="str">
        <ns0:v>普通盒</ns0:v>
      </ns0:c>
      <ns0:c r="E119" s="152" t="n">
        <ns0:v>2</ns0:v>
      </ns0:c>
      <ns0:c r="F119" s="152" t="n">
        <ns0:v>4</ns0:v>
      </ns0:c>
      <ns0:c r="G119" s="152" t="n">
        <ns0:v>3</ns0:v>
      </ns0:c>
      <ns0:c r="H119" s="152" t="n">
        <ns0:v>0</ns0:v>
      </ns0:c>
      <ns0:c r="I119" s="150" t="n">
        <ns0:f>E119*G119</ns0:f>
        <ns0:v>6</ns0:v>
      </ns0:c>
      <ns0:c r="J119" s="150" t="n">
        <ns0:f>E119*(F119-G119)</ns0:f>
        <ns0:v>2</ns0:v>
      </ns0:c>
      <ns0:c r="K119" s="150" t="n">
        <ns0:f>IF(AND(B119="开局",G119=0,OR(D119="普通盒",D119="单颗暂存盒")),J119,0)</ns0:f>
        <ns0:v>0</ns0:v>
      </ns0:c>
      <ns0:c r="L119" s="150" t="n">
        <ns0:f>IF(AND(B119="开局",G119&gt;0,OR(D119="普通盒",D119="底部置顶盒",D119="炸弹盒")),J119,0)</ns0:f>
        <ns0:v>2</ns0:v>
      </ns0:c>
      <ns0:c r="M119" s="150" t="n">
        <ns0:f>IF(AND(B119="开局",OR(D119="固定颜色盒",D119="单向收纳盒")),J119,0)</ns0:f>
        <ns0:v>0</ns0:v>
      </ns0:c>
      <ns0:c r="N119" s="150" t="n">
        <ns0:f>IF(AND(B119="开局",OR(D119="数字盖盒",D119="普通冰冻盒",D119="数字冰冻盒",D119="数字冰冻单颗暂存盒")),J119,0)</ns0:f>
        <ns0:v>0</ns0:v>
      </ns0:c>
      <ns0:c r="O119" s="147" t="str">
        <ns0:f>IF(AND(E119&gt;0,E119=INT(E119),G119&gt;=0,G119&lt;=F119,G119=INT(G119),OR(AND(F119=1,OR(D119="单颗暂存盒",D119="数字冰冻单颗暂存盒")),AND(F119=4,NOT(OR(D119="单颗暂存盒",D119="数字冰冻单颗暂存盒")))),IF(OR(D119="数字盖盒",D119="数字冰冻盒",D119="数字冰冻单颗暂存盒"),AND(H119&gt;=1,H119=INT(H119)),H119=0),IF(B119="开局",AND(IF(OR(D119="数字盖盒",D119="普通冰冻盒",D119="数字冰冻盒",D119="炸弹盒",D119="底部置顶盒"),OR(G119=3,G119=4),TRUE),IF(OR(D119="单向收纳盒",D119="单颗暂存盒",D119="数字冰冻单颗暂存盒"),OR(G119=0,G119=1),TRUE),IF(OR(D119="固定颜色盒",D119="广告锁定周转盒"),G119=0,TRUE)),TRUE)),"通过","需调整")</ns0:f>
        <ns0:v>通过</ns0:v>
      </ns0:c>
      <ns0:c r="P119" s="147" t="str">
        <ns0:v>确认方案装量</ns0:v>
      </ns0:c>
      <ns0:c r="Q119" s="147" t="str">
        <ns0:v>普通盒容量4；单颗盒容量1；广告周转不计免费空间</ns0:v>
      </ns0:c>
      <ns0:c r="R119" s="150" t="n">
        <ns0:f>E119*H119</ns0:f>
        <ns0:v>0</ns0:v>
      </ns0:c>
    </ns0:row>
    <ns0:row r="120" ht="21" customHeight="1">
      <ns0:c r="A120" s="149" t="n">
        <ns0:v>24</ns0:v>
      </ns0:c>
      <ns0:c r="B120" s="145" t="str">
        <ns0:v>开局</ns0:v>
      </ns0:c>
      <ns0:c r="C120" s="145" t="str">
        <ns0:v>WAVE-024-03</ns0:v>
      </ns0:c>
      <ns0:c r="D120" s="145" t="str">
        <ns0:v>普通盒</ns0:v>
      </ns0:c>
      <ns0:c r="E120" s="152" t="n">
        <ns0:v>1</ns0:v>
      </ns0:c>
      <ns0:c r="F120" s="152" t="n">
        <ns0:v>4</ns0:v>
      </ns0:c>
      <ns0:c r="G120" s="152" t="n">
        <ns0:v>2</ns0:v>
      </ns0:c>
      <ns0:c r="H120" s="152" t="n">
        <ns0:v>0</ns0:v>
      </ns0:c>
      <ns0:c r="I120" s="149" t="n">
        <ns0:f>E120*G120</ns0:f>
        <ns0:v>2</ns0:v>
      </ns0:c>
      <ns0:c r="J120" s="149" t="n">
        <ns0:f>E120*(F120-G120)</ns0:f>
        <ns0:v>2</ns0:v>
      </ns0:c>
      <ns0:c r="K120" s="149" t="n">
        <ns0:f>IF(AND(B120="开局",G120=0,OR(D120="普通盒",D120="单颗暂存盒")),J120,0)</ns0:f>
        <ns0:v>0</ns0:v>
      </ns0:c>
      <ns0:c r="L120" s="149" t="n">
        <ns0:f>IF(AND(B120="开局",G120&gt;0,OR(D120="普通盒",D120="底部置顶盒",D120="炸弹盒")),J120,0)</ns0:f>
        <ns0:v>2</ns0:v>
      </ns0:c>
      <ns0:c r="M120" s="149" t="n">
        <ns0:f>IF(AND(B120="开局",OR(D120="固定颜色盒",D120="单向收纳盒")),J120,0)</ns0:f>
        <ns0:v>0</ns0:v>
      </ns0:c>
      <ns0:c r="N120" s="149" t="n">
        <ns0:f>IF(AND(B120="开局",OR(D120="数字盖盒",D120="普通冰冻盒",D120="数字冰冻盒",D120="数字冰冻单颗暂存盒")),J120,0)</ns0:f>
        <ns0:v>0</ns0:v>
      </ns0:c>
      <ns0:c r="O120" s="145" t="str">
        <ns0:f>IF(AND(E120&gt;0,E120=INT(E120),G120&gt;=0,G120&lt;=F120,G120=INT(G120),OR(AND(F120=1,OR(D120="单颗暂存盒",D120="数字冰冻单颗暂存盒")),AND(F120=4,NOT(OR(D120="单颗暂存盒",D120="数字冰冻单颗暂存盒")))),IF(OR(D120="数字盖盒",D120="数字冰冻盒",D120="数字冰冻单颗暂存盒"),AND(H120&gt;=1,H120=INT(H120)),H120=0),IF(B120="开局",AND(IF(OR(D120="数字盖盒",D120="普通冰冻盒",D120="数字冰冻盒",D120="炸弹盒",D120="底部置顶盒"),OR(G120=3,G120=4),TRUE),IF(OR(D120="单向收纳盒",D120="单颗暂存盒",D120="数字冰冻单颗暂存盒"),OR(G120=0,G120=1),TRUE),IF(OR(D120="固定颜色盒",D120="广告锁定周转盒"),G120=0,TRUE)),TRUE)),"通过","需调整")</ns0:f>
        <ns0:v>通过</ns0:v>
      </ns0:c>
      <ns0:c r="P120" s="145" t="str">
        <ns0:v>确认方案装量</ns0:v>
      </ns0:c>
      <ns0:c r="Q120" s="145" t="str">
        <ns0:v>普通盒容量4；单颗盒容量1；广告周转不计免费空间</ns0:v>
      </ns0:c>
      <ns0:c r="R120" s="149" t="n">
        <ns0:f>E120*H120</ns0:f>
        <ns0:v>0</ns0:v>
      </ns0:c>
    </ns0:row>
    <ns0:row r="121" ht="21" customHeight="1">
      <ns0:c r="A121" s="150" t="n">
        <ns0:v>24</ns0:v>
      </ns0:c>
      <ns0:c r="B121" s="147" t="str">
        <ns0:v>开局</ns0:v>
      </ns0:c>
      <ns0:c r="C121" s="147" t="str">
        <ns0:v>WAVE-024-04</ns0:v>
      </ns0:c>
      <ns0:c r="D121" s="147" t="str">
        <ns0:v>普通盒</ns0:v>
      </ns0:c>
      <ns0:c r="E121" s="152" t="n">
        <ns0:v>1</ns0:v>
      </ns0:c>
      <ns0:c r="F121" s="152" t="n">
        <ns0:v>4</ns0:v>
      </ns0:c>
      <ns0:c r="G121" s="152" t="n">
        <ns0:v>0</ns0:v>
      </ns0:c>
      <ns0:c r="H121" s="152" t="n">
        <ns0:v>0</ns0:v>
      </ns0:c>
      <ns0:c r="I121" s="150" t="n">
        <ns0:f>E121*G121</ns0:f>
        <ns0:v>0</ns0:v>
      </ns0:c>
      <ns0:c r="J121" s="150" t="n">
        <ns0:f>E121*(F121-G121)</ns0:f>
        <ns0:v>4</ns0:v>
      </ns0:c>
      <ns0:c r="K121" s="150" t="n">
        <ns0:f>IF(AND(B121="开局",G121=0,OR(D121="普通盒",D121="单颗暂存盒")),J121,0)</ns0:f>
        <ns0:v>4</ns0:v>
      </ns0:c>
      <ns0:c r="L121" s="150" t="n">
        <ns0:f>IF(AND(B121="开局",G121&gt;0,OR(D121="普通盒",D121="底部置顶盒",D121="炸弹盒")),J121,0)</ns0:f>
        <ns0:v>0</ns0:v>
      </ns0:c>
      <ns0:c r="M121" s="150" t="n">
        <ns0:f>IF(AND(B121="开局",OR(D121="固定颜色盒",D121="单向收纳盒")),J121,0)</ns0:f>
        <ns0:v>0</ns0:v>
      </ns0:c>
      <ns0:c r="N121" s="150" t="n">
        <ns0:f>IF(AND(B121="开局",OR(D121="数字盖盒",D121="普通冰冻盒",D121="数字冰冻盒",D121="数字冰冻单颗暂存盒")),J121,0)</ns0:f>
        <ns0:v>0</ns0:v>
      </ns0:c>
      <ns0:c r="O121" s="147" t="str">
        <ns0:f>IF(AND(E121&gt;0,E121=INT(E121),G121&gt;=0,G121&lt;=F121,G121=INT(G121),OR(AND(F121=1,OR(D121="单颗暂存盒",D121="数字冰冻单颗暂存盒")),AND(F121=4,NOT(OR(D121="单颗暂存盒",D121="数字冰冻单颗暂存盒")))),IF(OR(D121="数字盖盒",D121="数字冰冻盒",D121="数字冰冻单颗暂存盒"),AND(H121&gt;=1,H121=INT(H121)),H121=0),IF(B121="开局",AND(IF(OR(D121="数字盖盒",D121="普通冰冻盒",D121="数字冰冻盒",D121="炸弹盒",D121="底部置顶盒"),OR(G121=3,G121=4),TRUE),IF(OR(D121="单向收纳盒",D121="单颗暂存盒",D121="数字冰冻单颗暂存盒"),OR(G121=0,G121=1),TRUE),IF(OR(D121="固定颜色盒",D121="广告锁定周转盒"),G121=0,TRUE)),TRUE)),"通过","需调整")</ns0:f>
        <ns0:v>通过</ns0:v>
      </ns0:c>
      <ns0:c r="P121" s="147" t="str">
        <ns0:v>确认方案装量</ns0:v>
      </ns0:c>
      <ns0:c r="Q121" s="147" t="str">
        <ns0:v>普通盒容量4；单颗盒容量1；广告周转不计免费空间</ns0:v>
      </ns0:c>
      <ns0:c r="R121" s="150" t="n">
        <ns0:f>E121*H121</ns0:f>
        <ns0:v>0</ns0:v>
      </ns0:c>
    </ns0:row>
    <ns0:row r="122" ht="21" customHeight="1">
      <ns0:c r="A122" s="149" t="n">
        <ns0:v>24</ns0:v>
      </ns0:c>
      <ns0:c r="B122" s="145" t="str">
        <ns0:v>开局</ns0:v>
      </ns0:c>
      <ns0:c r="C122" s="145" t="str">
        <ns0:v>WAVE-024-05</ns0:v>
      </ns0:c>
      <ns0:c r="D122" s="145" t="str">
        <ns0:v>单颗暂存盒</ns0:v>
      </ns0:c>
      <ns0:c r="E122" s="152" t="n">
        <ns0:v>1</ns0:v>
      </ns0:c>
      <ns0:c r="F122" s="152" t="n">
        <ns0:v>1</ns0:v>
      </ns0:c>
      <ns0:c r="G122" s="152" t="n">
        <ns0:v>0</ns0:v>
      </ns0:c>
      <ns0:c r="H122" s="152" t="n">
        <ns0:v>0</ns0:v>
      </ns0:c>
      <ns0:c r="I122" s="149" t="n">
        <ns0:f>E122*G122</ns0:f>
        <ns0:v>0</ns0:v>
      </ns0:c>
      <ns0:c r="J122" s="149" t="n">
        <ns0:f>E122*(F122-G122)</ns0:f>
        <ns0:v>1</ns0:v>
      </ns0:c>
      <ns0:c r="K122" s="149" t="n">
        <ns0:f>IF(AND(B122="开局",G122=0,OR(D122="普通盒",D122="单颗暂存盒")),J122,0)</ns0:f>
        <ns0:v>1</ns0:v>
      </ns0:c>
      <ns0:c r="L122" s="149" t="n">
        <ns0:f>IF(AND(B122="开局",G122&gt;0,OR(D122="普通盒",D122="底部置顶盒",D122="炸弹盒")),J122,0)</ns0:f>
        <ns0:v>0</ns0:v>
      </ns0:c>
      <ns0:c r="M122" s="149" t="n">
        <ns0:f>IF(AND(B122="开局",OR(D122="固定颜色盒",D122="单向收纳盒")),J122,0)</ns0:f>
        <ns0:v>0</ns0:v>
      </ns0:c>
      <ns0:c r="N122" s="149" t="n">
        <ns0:f>IF(AND(B122="开局",OR(D122="数字盖盒",D122="普通冰冻盒",D122="数字冰冻盒",D122="数字冰冻单颗暂存盒")),J122,0)</ns0:f>
        <ns0:v>0</ns0:v>
      </ns0:c>
      <ns0:c r="O122" s="145" t="str">
        <ns0:f>IF(AND(E122&gt;0,E122=INT(E122),G122&gt;=0,G122&lt;=F122,G122=INT(G122),OR(AND(F122=1,OR(D122="单颗暂存盒",D122="数字冰冻单颗暂存盒")),AND(F122=4,NOT(OR(D122="单颗暂存盒",D122="数字冰冻单颗暂存盒")))),IF(OR(D122="数字盖盒",D122="数字冰冻盒",D122="数字冰冻单颗暂存盒"),AND(H122&gt;=1,H122=INT(H122)),H122=0),IF(B122="开局",AND(IF(OR(D122="数字盖盒",D122="普通冰冻盒",D122="数字冰冻盒",D122="炸弹盒",D122="底部置顶盒"),OR(G122=3,G122=4),TRUE),IF(OR(D122="单向收纳盒",D122="单颗暂存盒",D122="数字冰冻单颗暂存盒"),OR(G122=0,G122=1),TRUE),IF(OR(D122="固定颜色盒",D122="广告锁定周转盒"),G122=0,TRUE)),TRUE)),"通过","需调整")</ns0:f>
        <ns0:v>通过</ns0:v>
      </ns0:c>
      <ns0:c r="P122" s="145" t="str">
        <ns0:v>确认方案装量</ns0:v>
      </ns0:c>
      <ns0:c r="Q122" s="145" t="str">
        <ns0:v>普通盒容量4；单颗盒容量1；广告周转不计免费空间</ns0:v>
      </ns0:c>
      <ns0:c r="R122" s="149" t="n">
        <ns0:f>E122*H122</ns0:f>
        <ns0:v>0</ns0:v>
      </ns0:c>
    </ns0:row>
    <ns0:row r="123" ht="21" customHeight="1">
      <ns0:c r="A123" s="150" t="n">
        <ns0:v>24</ns0:v>
      </ns0:c>
      <ns0:c r="B123" s="147" t="str">
        <ns0:v>开局</ns0:v>
      </ns0:c>
      <ns0:c r="C123" s="147" t="str">
        <ns0:v>WAVE-024-06</ns0:v>
      </ns0:c>
      <ns0:c r="D123" s="147" t="str">
        <ns0:v>广告锁定周转盒</ns0:v>
      </ns0:c>
      <ns0:c r="E123" s="152" t="n">
        <ns0:v>2</ns0:v>
      </ns0:c>
      <ns0:c r="F123" s="152" t="n">
        <ns0:v>4</ns0:v>
      </ns0:c>
      <ns0:c r="G123" s="152" t="n">
        <ns0:v>0</ns0:v>
      </ns0:c>
      <ns0:c r="H123" s="152" t="n">
        <ns0:v>0</ns0:v>
      </ns0:c>
      <ns0:c r="I123" s="150" t="n">
        <ns0:f>E123*G123</ns0:f>
        <ns0:v>0</ns0:v>
      </ns0:c>
      <ns0:c r="J123" s="150" t="n">
        <ns0:f>E123*(F123-G123)</ns0:f>
        <ns0:v>8</ns0:v>
      </ns0:c>
      <ns0:c r="K123" s="150" t="n">
        <ns0:f>IF(AND(B123="开局",G123=0,OR(D123="普通盒",D123="单颗暂存盒")),J123,0)</ns0:f>
        <ns0:v>0</ns0:v>
      </ns0:c>
      <ns0:c r="L123" s="150" t="n">
        <ns0:f>IF(AND(B123="开局",G123&gt;0,OR(D123="普通盒",D123="底部置顶盒",D123="炸弹盒")),J123,0)</ns0:f>
        <ns0:v>0</ns0:v>
      </ns0:c>
      <ns0:c r="M123" s="150" t="n">
        <ns0:f>IF(AND(B123="开局",OR(D123="固定颜色盒",D123="单向收纳盒")),J123,0)</ns0:f>
        <ns0:v>0</ns0:v>
      </ns0:c>
      <ns0:c r="N123" s="150" t="n">
        <ns0:f>IF(AND(B123="开局",OR(D123="数字盖盒",D123="普通冰冻盒",D123="数字冰冻盒",D123="数字冰冻单颗暂存盒")),J123,0)</ns0:f>
        <ns0:v>0</ns0:v>
      </ns0:c>
      <ns0:c r="O123" s="147" t="str">
        <ns0:f>IF(AND(E123&gt;0,E123=INT(E123),G123&gt;=0,G123&lt;=F123,G123=INT(G123),OR(AND(F123=1,OR(D123="单颗暂存盒",D123="数字冰冻单颗暂存盒")),AND(F123=4,NOT(OR(D123="单颗暂存盒",D123="数字冰冻单颗暂存盒")))),IF(OR(D123="数字盖盒",D123="数字冰冻盒",D123="数字冰冻单颗暂存盒"),AND(H123&gt;=1,H123=INT(H123)),H123=0),IF(B123="开局",AND(IF(OR(D123="数字盖盒",D123="普通冰冻盒",D123="数字冰冻盒",D123="炸弹盒",D123="底部置顶盒"),OR(G123=3,G123=4),TRUE),IF(OR(D123="单向收纳盒",D123="单颗暂存盒",D123="数字冰冻单颗暂存盒"),OR(G123=0,G123=1),TRUE),IF(OR(D123="固定颜色盒",D123="广告锁定周转盒"),G123=0,TRUE)),TRUE)),"通过","需调整")</ns0:f>
        <ns0:v>通过</ns0:v>
      </ns0:c>
      <ns0:c r="P123" s="147" t="str">
        <ns0:v>确认方案装量</ns0:v>
      </ns0:c>
      <ns0:c r="Q123" s="147" t="str">
        <ns0:v>普通盒容量4；单颗盒容量1；广告周转不计免费空间</ns0:v>
      </ns0:c>
      <ns0:c r="R123" s="150" t="n">
        <ns0:f>E123*H123</ns0:f>
        <ns0:v>0</ns0:v>
      </ns0:c>
    </ns0:row>
    <ns0:row r="124" ht="21" customHeight="1">
      <ns0:c r="A124" s="149" t="n">
        <ns0:v>25</ns0:v>
      </ns0:c>
      <ns0:c r="B124" s="145" t="str">
        <ns0:v>开局</ns0:v>
      </ns0:c>
      <ns0:c r="C124" s="145" t="str">
        <ns0:v>WAVE-025-01</ns0:v>
      </ns0:c>
      <ns0:c r="D124" s="145" t="str">
        <ns0:v>普通盒</ns0:v>
      </ns0:c>
      <ns0:c r="E124" s="152" t="n">
        <ns0:v>11</ns0:v>
      </ns0:c>
      <ns0:c r="F124" s="152" t="n">
        <ns0:v>4</ns0:v>
      </ns0:c>
      <ns0:c r="G124" s="152" t="n">
        <ns0:v>4</ns0:v>
      </ns0:c>
      <ns0:c r="H124" s="152" t="n">
        <ns0:v>0</ns0:v>
      </ns0:c>
      <ns0:c r="I124" s="149" t="n">
        <ns0:f>E124*G124</ns0:f>
        <ns0:v>44</ns0:v>
      </ns0:c>
      <ns0:c r="J124" s="149" t="n">
        <ns0:f>E124*(F124-G124)</ns0:f>
        <ns0:v>0</ns0:v>
      </ns0:c>
      <ns0:c r="K124" s="149" t="n">
        <ns0:f>IF(AND(B124="开局",G124=0,OR(D124="普通盒",D124="单颗暂存盒")),J124,0)</ns0:f>
        <ns0:v>0</ns0:v>
      </ns0:c>
      <ns0:c r="L124" s="149" t="n">
        <ns0:f>IF(AND(B124="开局",G124&gt;0,OR(D124="普通盒",D124="底部置顶盒",D124="炸弹盒")),J124,0)</ns0:f>
        <ns0:v>0</ns0:v>
      </ns0:c>
      <ns0:c r="M124" s="149" t="n">
        <ns0:f>IF(AND(B124="开局",OR(D124="固定颜色盒",D124="单向收纳盒")),J124,0)</ns0:f>
        <ns0:v>0</ns0:v>
      </ns0:c>
      <ns0:c r="N124" s="149" t="n">
        <ns0:f>IF(AND(B124="开局",OR(D124="数字盖盒",D124="普通冰冻盒",D124="数字冰冻盒",D124="数字冰冻单颗暂存盒")),J124,0)</ns0:f>
        <ns0:v>0</ns0:v>
      </ns0:c>
      <ns0:c r="O124" s="145" t="str">
        <ns0:f>IF(AND(E124&gt;0,E124=INT(E124),G124&gt;=0,G124&lt;=F124,G124=INT(G124),OR(AND(F124=1,OR(D124="单颗暂存盒",D124="数字冰冻单颗暂存盒")),AND(F124=4,NOT(OR(D124="单颗暂存盒",D124="数字冰冻单颗暂存盒")))),IF(OR(D124="数字盖盒",D124="数字冰冻盒",D124="数字冰冻单颗暂存盒"),AND(H124&gt;=1,H124=INT(H124)),H124=0),IF(B124="开局",AND(IF(OR(D124="数字盖盒",D124="普通冰冻盒",D124="数字冰冻盒",D124="炸弹盒",D124="底部置顶盒"),OR(G124=3,G124=4),TRUE),IF(OR(D124="单向收纳盒",D124="单颗暂存盒",D124="数字冰冻单颗暂存盒"),OR(G124=0,G124=1),TRUE),IF(OR(D124="固定颜色盒",D124="广告锁定周转盒"),G124=0,TRUE)),TRUE)),"通过","需调整")</ns0:f>
        <ns0:v>通过</ns0:v>
      </ns0:c>
      <ns0:c r="P124" s="145" t="str">
        <ns0:v>确认方案装量</ns0:v>
      </ns0:c>
      <ns0:c r="Q124" s="145" t="str">
        <ns0:v>层序JSON:{"reference":"2026-10-05 用户确认21—30关难度与装量方案；层序自顶向下","slots":[{"group_id":"WAVE-025-02","layers":[6,6,3]},{"group_id":"WAVE-025-01","layers":[4,3,6,4]},{"group_id":"WAVE-025-01","layers":[6,5,3,0]},{"group_id":"WAVE-025-03","layers":[6,3]},{"group_id":"WAVE-025-01","layers":[6,0,4,4]},{"group_id":"WAVE-025-01","layers":[3,2,3,8]},{"group_id":"WAVE-025-02","layers":[4,3,8]},{"group_id":"WAVE-025-01","layers":[4,6,0,8]},{"group_id":"WAVE-025-01","layers":[8,4,3,6]},{"group_id":"WAVE-025-01","layers":[0,2,5,2]},{"group_id":"WAVE-025-01","layers":[5,6,5,5]},{"group_id":"WAVE-025-02","layers":[6,2,5]},{"group_id":"WAVE-025-01","layers":[2,6,5,4]},{"group_id":"WAVE-025-01","layers":[8,2,6,0]},{"group_id":"WAVE-025-02","layers":[2,5,8]},{"group_id":"WAVE-025-03","layers":[2,0]},{"group_id":"WAVE-025-01","layers":[8,0,0,8]},{"group_id":"WAVE-025-04","layers":[]}],"stock":[],"demand_sequences":[[3,0,8,4,4,5,3,6],[2,6,6,0,2,5,8]]}</ns0:v>
      </ns0:c>
      <ns0:c r="R124" s="149" t="n">
        <ns0:f>E124*H124</ns0:f>
        <ns0:v>0</ns0:v>
      </ns0:c>
    </ns0:row>
    <ns0:row r="125" ht="21" customHeight="1">
      <ns0:c r="A125" s="150" t="n">
        <ns0:v>25</ns0:v>
      </ns0:c>
      <ns0:c r="B125" s="147" t="str">
        <ns0:v>开局</ns0:v>
      </ns0:c>
      <ns0:c r="C125" s="147" t="str">
        <ns0:v>WAVE-025-02</ns0:v>
      </ns0:c>
      <ns0:c r="D125" s="147" t="str">
        <ns0:v>普通盒</ns0:v>
      </ns0:c>
      <ns0:c r="E125" s="152" t="n">
        <ns0:v>4</ns0:v>
      </ns0:c>
      <ns0:c r="F125" s="152" t="n">
        <ns0:v>4</ns0:v>
      </ns0:c>
      <ns0:c r="G125" s="152" t="n">
        <ns0:v>3</ns0:v>
      </ns0:c>
      <ns0:c r="H125" s="152" t="n">
        <ns0:v>0</ns0:v>
      </ns0:c>
      <ns0:c r="I125" s="150" t="n">
        <ns0:f>E125*G125</ns0:f>
        <ns0:v>12</ns0:v>
      </ns0:c>
      <ns0:c r="J125" s="150" t="n">
        <ns0:f>E125*(F125-G125)</ns0:f>
        <ns0:v>4</ns0:v>
      </ns0:c>
      <ns0:c r="K125" s="150" t="n">
        <ns0:f>IF(AND(B125="开局",G125=0,OR(D125="普通盒",D125="单颗暂存盒")),J125,0)</ns0:f>
        <ns0:v>0</ns0:v>
      </ns0:c>
      <ns0:c r="L125" s="150" t="n">
        <ns0:f>IF(AND(B125="开局",G125&gt;0,OR(D125="普通盒",D125="底部置顶盒",D125="炸弹盒")),J125,0)</ns0:f>
        <ns0:v>4</ns0:v>
      </ns0:c>
      <ns0:c r="M125" s="150" t="n">
        <ns0:f>IF(AND(B125="开局",OR(D125="固定颜色盒",D125="单向收纳盒")),J125,0)</ns0:f>
        <ns0:v>0</ns0:v>
      </ns0:c>
      <ns0:c r="N125" s="150" t="n">
        <ns0:f>IF(AND(B125="开局",OR(D125="数字盖盒",D125="普通冰冻盒",D125="数字冰冻盒",D125="数字冰冻单颗暂存盒")),J125,0)</ns0:f>
        <ns0:v>0</ns0:v>
      </ns0:c>
      <ns0:c r="O125" s="147" t="str">
        <ns0:f>IF(AND(E125&gt;0,E125=INT(E125),G125&gt;=0,G125&lt;=F125,G125=INT(G125),OR(AND(F125=1,OR(D125="单颗暂存盒",D125="数字冰冻单颗暂存盒")),AND(F125=4,NOT(OR(D125="单颗暂存盒",D125="数字冰冻单颗暂存盒")))),IF(OR(D125="数字盖盒",D125="数字冰冻盒",D125="数字冰冻单颗暂存盒"),AND(H125&gt;=1,H125=INT(H125)),H125=0),IF(B125="开局",AND(IF(OR(D125="数字盖盒",D125="普通冰冻盒",D125="数字冰冻盒",D125="炸弹盒",D125="底部置顶盒"),OR(G125=3,G125=4),TRUE),IF(OR(D125="单向收纳盒",D125="单颗暂存盒",D125="数字冰冻单颗暂存盒"),OR(G125=0,G125=1),TRUE),IF(OR(D125="固定颜色盒",D125="广告锁定周转盒"),G125=0,TRUE)),TRUE)),"通过","需调整")</ns0:f>
        <ns0:v>通过</ns0:v>
      </ns0:c>
      <ns0:c r="P125" s="147" t="str">
        <ns0:v>确认方案装量</ns0:v>
      </ns0:c>
      <ns0:c r="Q125" s="147" t="str">
        <ns0:v>普通盒容量4；单颗盒容量1；广告周转不计免费空间</ns0:v>
      </ns0:c>
      <ns0:c r="R125" s="150" t="n">
        <ns0:f>E125*H125</ns0:f>
        <ns0:v>0</ns0:v>
      </ns0:c>
    </ns0:row>
    <ns0:row r="126" ht="21" customHeight="1">
      <ns0:c r="A126" s="149" t="n">
        <ns0:v>25</ns0:v>
      </ns0:c>
      <ns0:c r="B126" s="145" t="str">
        <ns0:v>开局</ns0:v>
      </ns0:c>
      <ns0:c r="C126" s="145" t="str">
        <ns0:v>WAVE-025-03</ns0:v>
      </ns0:c>
      <ns0:c r="D126" s="145" t="str">
        <ns0:v>普通盒</ns0:v>
      </ns0:c>
      <ns0:c r="E126" s="152" t="n">
        <ns0:v>2</ns0:v>
      </ns0:c>
      <ns0:c r="F126" s="152" t="n">
        <ns0:v>4</ns0:v>
      </ns0:c>
      <ns0:c r="G126" s="152" t="n">
        <ns0:v>2</ns0:v>
      </ns0:c>
      <ns0:c r="H126" s="152" t="n">
        <ns0:v>0</ns0:v>
      </ns0:c>
      <ns0:c r="I126" s="149" t="n">
        <ns0:f>E126*G126</ns0:f>
        <ns0:v>4</ns0:v>
      </ns0:c>
      <ns0:c r="J126" s="149" t="n">
        <ns0:f>E126*(F126-G126)</ns0:f>
        <ns0:v>4</ns0:v>
      </ns0:c>
      <ns0:c r="K126" s="149" t="n">
        <ns0:f>IF(AND(B126="开局",G126=0,OR(D126="普通盒",D126="单颗暂存盒")),J126,0)</ns0:f>
        <ns0:v>0</ns0:v>
      </ns0:c>
      <ns0:c r="L126" s="149" t="n">
        <ns0:f>IF(AND(B126="开局",G126&gt;0,OR(D126="普通盒",D126="底部置顶盒",D126="炸弹盒")),J126,0)</ns0:f>
        <ns0:v>4</ns0:v>
      </ns0:c>
      <ns0:c r="M126" s="149" t="n">
        <ns0:f>IF(AND(B126="开局",OR(D126="固定颜色盒",D126="单向收纳盒")),J126,0)</ns0:f>
        <ns0:v>0</ns0:v>
      </ns0:c>
      <ns0:c r="N126" s="149" t="n">
        <ns0:f>IF(AND(B126="开局",OR(D126="数字盖盒",D126="普通冰冻盒",D126="数字冰冻盒",D126="数字冰冻单颗暂存盒")),J126,0)</ns0:f>
        <ns0:v>0</ns0:v>
      </ns0:c>
      <ns0:c r="O126" s="145" t="str">
        <ns0:f>IF(AND(E126&gt;0,E126=INT(E126),G126&gt;=0,G126&lt;=F126,G126=INT(G126),OR(AND(F126=1,OR(D126="单颗暂存盒",D126="数字冰冻单颗暂存盒")),AND(F126=4,NOT(OR(D126="单颗暂存盒",D126="数字冰冻单颗暂存盒")))),IF(OR(D126="数字盖盒",D126="数字冰冻盒",D126="数字冰冻单颗暂存盒"),AND(H126&gt;=1,H126=INT(H126)),H126=0),IF(B126="开局",AND(IF(OR(D126="数字盖盒",D126="普通冰冻盒",D126="数字冰冻盒",D126="炸弹盒",D126="底部置顶盒"),OR(G126=3,G126=4),TRUE),IF(OR(D126="单向收纳盒",D126="单颗暂存盒",D126="数字冰冻单颗暂存盒"),OR(G126=0,G126=1),TRUE),IF(OR(D126="固定颜色盒",D126="广告锁定周转盒"),G126=0,TRUE)),TRUE)),"通过","需调整")</ns0:f>
        <ns0:v>通过</ns0:v>
      </ns0:c>
      <ns0:c r="P126" s="145" t="str">
        <ns0:v>确认方案装量</ns0:v>
      </ns0:c>
      <ns0:c r="Q126" s="145" t="str">
        <ns0:v>普通盒容量4；单颗盒容量1；广告周转不计免费空间</ns0:v>
      </ns0:c>
      <ns0:c r="R126" s="149" t="n">
        <ns0:f>E126*H126</ns0:f>
        <ns0:v>0</ns0:v>
      </ns0:c>
    </ns0:row>
    <ns0:row r="127" ht="21" customHeight="1">
      <ns0:c r="A127" s="150" t="n">
        <ns0:v>25</ns0:v>
      </ns0:c>
      <ns0:c r="B127" s="147" t="str">
        <ns0:v>开局</ns0:v>
      </ns0:c>
      <ns0:c r="C127" s="147" t="str">
        <ns0:v>WAVE-025-04</ns0:v>
      </ns0:c>
      <ns0:c r="D127" s="147" t="str">
        <ns0:v>单颗暂存盒</ns0:v>
      </ns0:c>
      <ns0:c r="E127" s="152" t="n">
        <ns0:v>1</ns0:v>
      </ns0:c>
      <ns0:c r="F127" s="152" t="n">
        <ns0:v>1</ns0:v>
      </ns0:c>
      <ns0:c r="G127" s="152" t="n">
        <ns0:v>0</ns0:v>
      </ns0:c>
      <ns0:c r="H127" s="152" t="n">
        <ns0:v>0</ns0:v>
      </ns0:c>
      <ns0:c r="I127" s="150" t="n">
        <ns0:f>E127*G127</ns0:f>
        <ns0:v>0</ns0:v>
      </ns0:c>
      <ns0:c r="J127" s="150" t="n">
        <ns0:f>E127*(F127-G127)</ns0:f>
        <ns0:v>1</ns0:v>
      </ns0:c>
      <ns0:c r="K127" s="150" t="n">
        <ns0:f>IF(AND(B127="开局",G127=0,OR(D127="普通盒",D127="单颗暂存盒")),J127,0)</ns0:f>
        <ns0:v>1</ns0:v>
      </ns0:c>
      <ns0:c r="L127" s="150" t="n">
        <ns0:f>IF(AND(B127="开局",G127&gt;0,OR(D127="普通盒",D127="底部置顶盒",D127="炸弹盒")),J127,0)</ns0:f>
        <ns0:v>0</ns0:v>
      </ns0:c>
      <ns0:c r="M127" s="150" t="n">
        <ns0:f>IF(AND(B127="开局",OR(D127="固定颜色盒",D127="单向收纳盒")),J127,0)</ns0:f>
        <ns0:v>0</ns0:v>
      </ns0:c>
      <ns0:c r="N127" s="150" t="n">
        <ns0:f>IF(AND(B127="开局",OR(D127="数字盖盒",D127="普通冰冻盒",D127="数字冰冻盒",D127="数字冰冻单颗暂存盒")),J127,0)</ns0:f>
        <ns0:v>0</ns0:v>
      </ns0:c>
      <ns0:c r="O127" s="147" t="str">
        <ns0:f>IF(AND(E127&gt;0,E127=INT(E127),G127&gt;=0,G127&lt;=F127,G127=INT(G127),OR(AND(F127=1,OR(D127="单颗暂存盒",D127="数字冰冻单颗暂存盒")),AND(F127=4,NOT(OR(D127="单颗暂存盒",D127="数字冰冻单颗暂存盒")))),IF(OR(D127="数字盖盒",D127="数字冰冻盒",D127="数字冰冻单颗暂存盒"),AND(H127&gt;=1,H127=INT(H127)),H127=0),IF(B127="开局",AND(IF(OR(D127="数字盖盒",D127="普通冰冻盒",D127="数字冰冻盒",D127="炸弹盒",D127="底部置顶盒"),OR(G127=3,G127=4),TRUE),IF(OR(D127="单向收纳盒",D127="单颗暂存盒",D127="数字冰冻单颗暂存盒"),OR(G127=0,G127=1),TRUE),IF(OR(D127="固定颜色盒",D127="广告锁定周转盒"),G127=0,TRUE)),TRUE)),"通过","需调整")</ns0:f>
        <ns0:v>通过</ns0:v>
      </ns0:c>
      <ns0:c r="P127" s="147" t="str">
        <ns0:v>确认方案装量</ns0:v>
      </ns0:c>
      <ns0:c r="Q127" s="147" t="str">
        <ns0:v>普通盒容量4；单颗盒容量1；广告周转不计免费空间</ns0:v>
      </ns0:c>
      <ns0:c r="R127" s="150" t="n">
        <ns0:f>E127*H127</ns0:f>
        <ns0:v>0</ns0:v>
      </ns0:c>
    </ns0:row>
    <ns0:row r="128" ht="21" customHeight="1">
      <ns0:c r="A128" s="149" t="n">
        <ns0:v>25</ns0:v>
      </ns0:c>
      <ns0:c r="B128" s="145" t="str">
        <ns0:v>开局</ns0:v>
      </ns0:c>
      <ns0:c r="C128" s="145" t="str">
        <ns0:v>WAVE-025-05</ns0:v>
      </ns0:c>
      <ns0:c r="D128" s="145" t="str">
        <ns0:v>广告锁定周转盒</ns0:v>
      </ns0:c>
      <ns0:c r="E128" s="152" t="n">
        <ns0:v>2</ns0:v>
      </ns0:c>
      <ns0:c r="F128" s="152" t="n">
        <ns0:v>4</ns0:v>
      </ns0:c>
      <ns0:c r="G128" s="152" t="n">
        <ns0:v>0</ns0:v>
      </ns0:c>
      <ns0:c r="H128" s="152" t="n">
        <ns0:v>0</ns0:v>
      </ns0:c>
      <ns0:c r="I128" s="149" t="n">
        <ns0:f>E128*G128</ns0:f>
        <ns0:v>0</ns0:v>
      </ns0:c>
      <ns0:c r="J128" s="149" t="n">
        <ns0:f>E128*(F128-G128)</ns0:f>
        <ns0:v>8</ns0:v>
      </ns0:c>
      <ns0:c r="K128" s="149" t="n">
        <ns0:f>IF(AND(B128="开局",G128=0,OR(D128="普通盒",D128="单颗暂存盒")),J128,0)</ns0:f>
        <ns0:v>0</ns0:v>
      </ns0:c>
      <ns0:c r="L128" s="149" t="n">
        <ns0:f>IF(AND(B128="开局",G128&gt;0,OR(D128="普通盒",D128="底部置顶盒",D128="炸弹盒")),J128,0)</ns0:f>
        <ns0:v>0</ns0:v>
      </ns0:c>
      <ns0:c r="M128" s="149" t="n">
        <ns0:f>IF(AND(B128="开局",OR(D128="固定颜色盒",D128="单向收纳盒")),J128,0)</ns0:f>
        <ns0:v>0</ns0:v>
      </ns0:c>
      <ns0:c r="N128" s="149" t="n">
        <ns0:f>IF(AND(B128="开局",OR(D128="数字盖盒",D128="普通冰冻盒",D128="数字冰冻盒",D128="数字冰冻单颗暂存盒")),J128,0)</ns0:f>
        <ns0:v>0</ns0:v>
      </ns0:c>
      <ns0:c r="O128" s="145" t="str">
        <ns0:f>IF(AND(E128&gt;0,E128=INT(E128),G128&gt;=0,G128&lt;=F128,G128=INT(G128),OR(AND(F128=1,OR(D128="单颗暂存盒",D128="数字冰冻单颗暂存盒")),AND(F128=4,NOT(OR(D128="单颗暂存盒",D128="数字冰冻单颗暂存盒")))),IF(OR(D128="数字盖盒",D128="数字冰冻盒",D128="数字冰冻单颗暂存盒"),AND(H128&gt;=1,H128=INT(H128)),H128=0),IF(B128="开局",AND(IF(OR(D128="数字盖盒",D128="普通冰冻盒",D128="数字冰冻盒",D128="炸弹盒",D128="底部置顶盒"),OR(G128=3,G128=4),TRUE),IF(OR(D128="单向收纳盒",D128="单颗暂存盒",D128="数字冰冻单颗暂存盒"),OR(G128=0,G128=1),TRUE),IF(OR(D128="固定颜色盒",D128="广告锁定周转盒"),G128=0,TRUE)),TRUE)),"通过","需调整")</ns0:f>
        <ns0:v>通过</ns0:v>
      </ns0:c>
      <ns0:c r="P128" s="145" t="str">
        <ns0:v>确认方案装量</ns0:v>
      </ns0:c>
      <ns0:c r="Q128" s="145" t="str">
        <ns0:v>普通盒容量4；单颗盒容量1；广告周转不计免费空间</ns0:v>
      </ns0:c>
      <ns0:c r="R128" s="149" t="n">
        <ns0:f>E128*H128</ns0:f>
        <ns0:v>0</ns0:v>
      </ns0:c>
    </ns0:row>
    <ns0:row r="129" ht="21" customHeight="1">
      <ns0:c r="A129" s="150" t="n">
        <ns0:v>26</ns0:v>
      </ns0:c>
      <ns0:c r="B129" s="147" t="str">
        <ns0:v>开局</ns0:v>
      </ns0:c>
      <ns0:c r="C129" s="147" t="str">
        <ns0:v>WAVE-026-01</ns0:v>
      </ns0:c>
      <ns0:c r="D129" s="147" t="str">
        <ns0:v>普通盒</ns0:v>
      </ns0:c>
      <ns0:c r="E129" s="152" t="n">
        <ns0:v>12</ns0:v>
      </ns0:c>
      <ns0:c r="F129" s="152" t="n">
        <ns0:v>4</ns0:v>
      </ns0:c>
      <ns0:c r="G129" s="152" t="n">
        <ns0:v>4</ns0:v>
      </ns0:c>
      <ns0:c r="H129" s="152" t="n">
        <ns0:v>0</ns0:v>
      </ns0:c>
      <ns0:c r="I129" s="150" t="n">
        <ns0:f>E129*G129</ns0:f>
        <ns0:v>48</ns0:v>
      </ns0:c>
      <ns0:c r="J129" s="150" t="n">
        <ns0:f>E129*(F129-G129)</ns0:f>
        <ns0:v>0</ns0:v>
      </ns0:c>
      <ns0:c r="K129" s="150" t="n">
        <ns0:f>IF(AND(B129="开局",G129=0,OR(D129="普通盒",D129="单颗暂存盒")),J129,0)</ns0:f>
        <ns0:v>0</ns0:v>
      </ns0:c>
      <ns0:c r="L129" s="150" t="n">
        <ns0:f>IF(AND(B129="开局",G129&gt;0,OR(D129="普通盒",D129="底部置顶盒",D129="炸弹盒")),J129,0)</ns0:f>
        <ns0:v>0</ns0:v>
      </ns0:c>
      <ns0:c r="M129" s="150" t="n">
        <ns0:f>IF(AND(B129="开局",OR(D129="固定颜色盒",D129="单向收纳盒")),J129,0)</ns0:f>
        <ns0:v>0</ns0:v>
      </ns0:c>
      <ns0:c r="N129" s="150" t="n">
        <ns0:f>IF(AND(B129="开局",OR(D129="数字盖盒",D129="普通冰冻盒",D129="数字冰冻盒",D129="数字冰冻单颗暂存盒")),J129,0)</ns0:f>
        <ns0:v>0</ns0:v>
      </ns0:c>
      <ns0:c r="O129" s="147" t="str">
        <ns0:f>IF(AND(E129&gt;0,E129=INT(E129),G129&gt;=0,G129&lt;=F129,G129=INT(G129),OR(AND(F129=1,OR(D129="单颗暂存盒",D129="数字冰冻单颗暂存盒")),AND(F129=4,NOT(OR(D129="单颗暂存盒",D129="数字冰冻单颗暂存盒")))),IF(OR(D129="数字盖盒",D129="数字冰冻盒",D129="数字冰冻单颗暂存盒"),AND(H129&gt;=1,H129=INT(H129)),H129=0),IF(B129="开局",AND(IF(OR(D129="数字盖盒",D129="普通冰冻盒",D129="数字冰冻盒",D129="炸弹盒",D129="底部置顶盒"),OR(G129=3,G129=4),TRUE),IF(OR(D129="单向收纳盒",D129="单颗暂存盒",D129="数字冰冻单颗暂存盒"),OR(G129=0,G129=1),TRUE),IF(OR(D129="固定颜色盒",D129="广告锁定周转盒"),G129=0,TRUE)),TRUE)),"通过","需调整")</ns0:f>
        <ns0:v>通过</ns0:v>
      </ns0:c>
      <ns0:c r="P129" s="147" t="str">
        <ns0:v>确认方案装量</ns0:v>
      </ns0:c>
      <ns0:c r="Q129" s="147" t="str">
        <ns0:v>层序JSON:{"reference":"2026-10-05 用户确认21—30关难度与装量方案；层序自顶向下","slots":[{"group_id":"WAVE-026-01","layers":[0,2,5,8]},{"group_id":"WAVE-026-01","layers":[6,0,4,0]},{"group_id":"WAVE-026-01","layers":[4,6,3,12]},{"group_id":"WAVE-026-01","layers":[3,0,8,12]},{"group_id":"WAVE-026-01","layers":[12,5,12,3]},{"group_id":"WAVE-026-01","layers":[2,0,6,5]},{"group_id":"WAVE-026-02","layers":[3,12,2]},{"group_id":"WAVE-026-01","layers":[2,12,3,6]},{"group_id":"WAVE-026-06","layers":[3]},{"group_id":"WAVE-026-03","layers":[6,8]},{"group_id":"WAVE-026-02","layers":[12,6,8]},{"group_id":"WAVE-026-01","layers":[6,4,3,4]},{"group_id":"WAVE-026-01","layers":[0,5,8,8]},{"group_id":"WAVE-026-01","layers":[5,3,8,4]},{"group_id":"WAVE-026-02","layers":[12,5,0]},{"group_id":"WAVE-026-01","layers":[4,8,8,8]},{"group_id":"WAVE-026-05","layers":[6,2,5,4]},{"group_id":"WAVE-026-01","layers":[5,0,2,8]},{"group_id":"WAVE-026-04","layers":[]}],"stock":[{"group_id":"WAVE-026-08","layers":[2,2,4,8]}],"demand_sequences":[[5,3,6,4,2,8,5,0,12],[6,8,4,3,12,0,2,8]]}</ns0:v>
      </ns0:c>
      <ns0:c r="R129" s="150" t="n">
        <ns0:f>E129*H129</ns0:f>
        <ns0:v>0</ns0:v>
      </ns0:c>
    </ns0:row>
    <ns0:row r="130" ht="21" customHeight="1">
      <ns0:c r="A130" s="149" t="n">
        <ns0:v>26</ns0:v>
      </ns0:c>
      <ns0:c r="B130" s="145" t="str">
        <ns0:v>开局</ns0:v>
      </ns0:c>
      <ns0:c r="C130" s="145" t="str">
        <ns0:v>WAVE-026-02</ns0:v>
      </ns0:c>
      <ns0:c r="D130" s="145" t="str">
        <ns0:v>普通盒</ns0:v>
      </ns0:c>
      <ns0:c r="E130" s="152" t="n">
        <ns0:v>3</ns0:v>
      </ns0:c>
      <ns0:c r="F130" s="152" t="n">
        <ns0:v>4</ns0:v>
      </ns0:c>
      <ns0:c r="G130" s="152" t="n">
        <ns0:v>3</ns0:v>
      </ns0:c>
      <ns0:c r="H130" s="152" t="n">
        <ns0:v>0</ns0:v>
      </ns0:c>
      <ns0:c r="I130" s="149" t="n">
        <ns0:f>E130*G130</ns0:f>
        <ns0:v>9</ns0:v>
      </ns0:c>
      <ns0:c r="J130" s="149" t="n">
        <ns0:f>E130*(F130-G130)</ns0:f>
        <ns0:v>3</ns0:v>
      </ns0:c>
      <ns0:c r="K130" s="149" t="n">
        <ns0:f>IF(AND(B130="开局",G130=0,OR(D130="普通盒",D130="单颗暂存盒")),J130,0)</ns0:f>
        <ns0:v>0</ns0:v>
      </ns0:c>
      <ns0:c r="L130" s="149" t="n">
        <ns0:f>IF(AND(B130="开局",G130&gt;0,OR(D130="普通盒",D130="底部置顶盒",D130="炸弹盒")),J130,0)</ns0:f>
        <ns0:v>3</ns0:v>
      </ns0:c>
      <ns0:c r="M130" s="149" t="n">
        <ns0:f>IF(AND(B130="开局",OR(D130="固定颜色盒",D130="单向收纳盒")),J130,0)</ns0:f>
        <ns0:v>0</ns0:v>
      </ns0:c>
      <ns0:c r="N130" s="149" t="n">
        <ns0:f>IF(AND(B130="开局",OR(D130="数字盖盒",D130="普通冰冻盒",D130="数字冰冻盒",D130="数字冰冻单颗暂存盒")),J130,0)</ns0:f>
        <ns0:v>0</ns0:v>
      </ns0:c>
      <ns0:c r="O130" s="145" t="str">
        <ns0:f>IF(AND(E130&gt;0,E130=INT(E130),G130&gt;=0,G130&lt;=F130,G130=INT(G130),OR(AND(F130=1,OR(D130="单颗暂存盒",D130="数字冰冻单颗暂存盒")),AND(F130=4,NOT(OR(D130="单颗暂存盒",D130="数字冰冻单颗暂存盒")))),IF(OR(D130="数字盖盒",D130="数字冰冻盒",D130="数字冰冻单颗暂存盒"),AND(H130&gt;=1,H130=INT(H130)),H130=0),IF(B130="开局",AND(IF(OR(D130="数字盖盒",D130="普通冰冻盒",D130="数字冰冻盒",D130="炸弹盒",D130="底部置顶盒"),OR(G130=3,G130=4),TRUE),IF(OR(D130="单向收纳盒",D130="单颗暂存盒",D130="数字冰冻单颗暂存盒"),OR(G130=0,G130=1),TRUE),IF(OR(D130="固定颜色盒",D130="广告锁定周转盒"),G130=0,TRUE)),TRUE)),"通过","需调整")</ns0:f>
        <ns0:v>通过</ns0:v>
      </ns0:c>
      <ns0:c r="P130" s="145" t="str">
        <ns0:v>确认方案装量</ns0:v>
      </ns0:c>
      <ns0:c r="Q130" s="145" t="str">
        <ns0:v>普通盒容量4；单颗盒容量1；广告周转不计免费空间</ns0:v>
      </ns0:c>
      <ns0:c r="R130" s="149" t="n">
        <ns0:f>E130*H130</ns0:f>
        <ns0:v>0</ns0:v>
      </ns0:c>
    </ns0:row>
    <ns0:row r="131" ht="21" customHeight="1">
      <ns0:c r="A131" s="150" t="n">
        <ns0:v>26</ns0:v>
      </ns0:c>
      <ns0:c r="B131" s="147" t="str">
        <ns0:v>开局</ns0:v>
      </ns0:c>
      <ns0:c r="C131" s="147" t="str">
        <ns0:v>WAVE-026-03</ns0:v>
      </ns0:c>
      <ns0:c r="D131" s="147" t="str">
        <ns0:v>普通盒</ns0:v>
      </ns0:c>
      <ns0:c r="E131" s="152" t="n">
        <ns0:v>1</ns0:v>
      </ns0:c>
      <ns0:c r="F131" s="152" t="n">
        <ns0:v>4</ns0:v>
      </ns0:c>
      <ns0:c r="G131" s="152" t="n">
        <ns0:v>2</ns0:v>
      </ns0:c>
      <ns0:c r="H131" s="152" t="n">
        <ns0:v>0</ns0:v>
      </ns0:c>
      <ns0:c r="I131" s="150" t="n">
        <ns0:f>E131*G131</ns0:f>
        <ns0:v>2</ns0:v>
      </ns0:c>
      <ns0:c r="J131" s="150" t="n">
        <ns0:f>E131*(F131-G131)</ns0:f>
        <ns0:v>2</ns0:v>
      </ns0:c>
      <ns0:c r="K131" s="150" t="n">
        <ns0:f>IF(AND(B131="开局",G131=0,OR(D131="普通盒",D131="单颗暂存盒")),J131,0)</ns0:f>
        <ns0:v>0</ns0:v>
      </ns0:c>
      <ns0:c r="L131" s="150" t="n">
        <ns0:f>IF(AND(B131="开局",G131&gt;0,OR(D131="普通盒",D131="底部置顶盒",D131="炸弹盒")),J131,0)</ns0:f>
        <ns0:v>2</ns0:v>
      </ns0:c>
      <ns0:c r="M131" s="150" t="n">
        <ns0:f>IF(AND(B131="开局",OR(D131="固定颜色盒",D131="单向收纳盒")),J131,0)</ns0:f>
        <ns0:v>0</ns0:v>
      </ns0:c>
      <ns0:c r="N131" s="150" t="n">
        <ns0:f>IF(AND(B131="开局",OR(D131="数字盖盒",D131="普通冰冻盒",D131="数字冰冻盒",D131="数字冰冻单颗暂存盒")),J131,0)</ns0:f>
        <ns0:v>0</ns0:v>
      </ns0:c>
      <ns0:c r="O131" s="147" t="str">
        <ns0:f>IF(AND(E131&gt;0,E131=INT(E131),G131&gt;=0,G131&lt;=F131,G131=INT(G131),OR(AND(F131=1,OR(D131="单颗暂存盒",D131="数字冰冻单颗暂存盒")),AND(F131=4,NOT(OR(D131="单颗暂存盒",D131="数字冰冻单颗暂存盒")))),IF(OR(D131="数字盖盒",D131="数字冰冻盒",D131="数字冰冻单颗暂存盒"),AND(H131&gt;=1,H131=INT(H131)),H131=0),IF(B131="开局",AND(IF(OR(D131="数字盖盒",D131="普通冰冻盒",D131="数字冰冻盒",D131="炸弹盒",D131="底部置顶盒"),OR(G131=3,G131=4),TRUE),IF(OR(D131="单向收纳盒",D131="单颗暂存盒",D131="数字冰冻单颗暂存盒"),OR(G131=0,G131=1),TRUE),IF(OR(D131="固定颜色盒",D131="广告锁定周转盒"),G131=0,TRUE)),TRUE)),"通过","需调整")</ns0:f>
        <ns0:v>通过</ns0:v>
      </ns0:c>
      <ns0:c r="P131" s="147" t="str">
        <ns0:v>确认方案装量</ns0:v>
      </ns0:c>
      <ns0:c r="Q131" s="147" t="str">
        <ns0:v>普通盒容量4；单颗盒容量1；广告周转不计免费空间</ns0:v>
      </ns0:c>
      <ns0:c r="R131" s="150" t="n">
        <ns0:f>E131*H131</ns0:f>
        <ns0:v>0</ns0:v>
      </ns0:c>
    </ns0:row>
    <ns0:row r="132" ht="21" customHeight="1">
      <ns0:c r="A132" s="149" t="n">
        <ns0:v>26</ns0:v>
      </ns0:c>
      <ns0:c r="B132" s="145" t="str">
        <ns0:v>开局</ns0:v>
      </ns0:c>
      <ns0:c r="C132" s="145" t="str">
        <ns0:v>WAVE-026-04</ns0:v>
      </ns0:c>
      <ns0:c r="D132" s="145" t="str">
        <ns0:v>普通盒</ns0:v>
      </ns0:c>
      <ns0:c r="E132" s="152" t="n">
        <ns0:v>1</ns0:v>
      </ns0:c>
      <ns0:c r="F132" s="152" t="n">
        <ns0:v>4</ns0:v>
      </ns0:c>
      <ns0:c r="G132" s="152" t="n">
        <ns0:v>0</ns0:v>
      </ns0:c>
      <ns0:c r="H132" s="152" t="n">
        <ns0:v>0</ns0:v>
      </ns0:c>
      <ns0:c r="I132" s="149" t="n">
        <ns0:f>E132*G132</ns0:f>
        <ns0:v>0</ns0:v>
      </ns0:c>
      <ns0:c r="J132" s="149" t="n">
        <ns0:f>E132*(F132-G132)</ns0:f>
        <ns0:v>4</ns0:v>
      </ns0:c>
      <ns0:c r="K132" s="149" t="n">
        <ns0:f>IF(AND(B132="开局",G132=0,OR(D132="普通盒",D132="单颗暂存盒")),J132,0)</ns0:f>
        <ns0:v>4</ns0:v>
      </ns0:c>
      <ns0:c r="L132" s="149" t="n">
        <ns0:f>IF(AND(B132="开局",G132&gt;0,OR(D132="普通盒",D132="底部置顶盒",D132="炸弹盒")),J132,0)</ns0:f>
        <ns0:v>0</ns0:v>
      </ns0:c>
      <ns0:c r="M132" s="149" t="n">
        <ns0:f>IF(AND(B132="开局",OR(D132="固定颜色盒",D132="单向收纳盒")),J132,0)</ns0:f>
        <ns0:v>0</ns0:v>
      </ns0:c>
      <ns0:c r="N132" s="149" t="n">
        <ns0:f>IF(AND(B132="开局",OR(D132="数字盖盒",D132="普通冰冻盒",D132="数字冰冻盒",D132="数字冰冻单颗暂存盒")),J132,0)</ns0:f>
        <ns0:v>0</ns0:v>
      </ns0:c>
      <ns0:c r="O132" s="145" t="str">
        <ns0:f>IF(AND(E132&gt;0,E132=INT(E132),G132&gt;=0,G132&lt;=F132,G132=INT(G132),OR(AND(F132=1,OR(D132="单颗暂存盒",D132="数字冰冻单颗暂存盒")),AND(F132=4,NOT(OR(D132="单颗暂存盒",D132="数字冰冻单颗暂存盒")))),IF(OR(D132="数字盖盒",D132="数字冰冻盒",D132="数字冰冻单颗暂存盒"),AND(H132&gt;=1,H132=INT(H132)),H132=0),IF(B132="开局",AND(IF(OR(D132="数字盖盒",D132="普通冰冻盒",D132="数字冰冻盒",D132="炸弹盒",D132="底部置顶盒"),OR(G132=3,G132=4),TRUE),IF(OR(D132="单向收纳盒",D132="单颗暂存盒",D132="数字冰冻单颗暂存盒"),OR(G132=0,G132=1),TRUE),IF(OR(D132="固定颜色盒",D132="广告锁定周转盒"),G132=0,TRUE)),TRUE)),"通过","需调整")</ns0:f>
        <ns0:v>通过</ns0:v>
      </ns0:c>
      <ns0:c r="P132" s="145" t="str">
        <ns0:v>确认方案装量</ns0:v>
      </ns0:c>
      <ns0:c r="Q132" s="145" t="str">
        <ns0:v>普通盒容量4；单颗盒容量1；广告周转不计免费空间</ns0:v>
      </ns0:c>
      <ns0:c r="R132" s="149" t="n">
        <ns0:f>E132*H132</ns0:f>
        <ns0:v>0</ns0:v>
      </ns0:c>
    </ns0:row>
    <ns0:row r="133" ht="21" customHeight="1">
      <ns0:c r="A133" s="150" t="n">
        <ns0:v>26</ns0:v>
      </ns0:c>
      <ns0:c r="B133" s="147" t="str">
        <ns0:v>开局</ns0:v>
      </ns0:c>
      <ns0:c r="C133" s="147" t="str">
        <ns0:v>WAVE-026-05</ns0:v>
      </ns0:c>
      <ns0:c r="D133" s="147" t="str">
        <ns0:v>普通冰冻盒</ns0:v>
      </ns0:c>
      <ns0:c r="E133" s="152" t="n">
        <ns0:v>1</ns0:v>
      </ns0:c>
      <ns0:c r="F133" s="152" t="n">
        <ns0:v>4</ns0:v>
      </ns0:c>
      <ns0:c r="G133" s="152" t="n">
        <ns0:v>4</ns0:v>
      </ns0:c>
      <ns0:c r="H133" s="152" t="n">
        <ns0:v>0</ns0:v>
      </ns0:c>
      <ns0:c r="I133" s="150" t="n">
        <ns0:f>E133*G133</ns0:f>
        <ns0:v>4</ns0:v>
      </ns0:c>
      <ns0:c r="J133" s="150" t="n">
        <ns0:f>E133*(F133-G133)</ns0:f>
        <ns0:v>0</ns0:v>
      </ns0:c>
      <ns0:c r="K133" s="150" t="n">
        <ns0:f>IF(AND(B133="开局",G133=0,OR(D133="普通盒",D133="单颗暂存盒")),J133,0)</ns0:f>
        <ns0:v>0</ns0:v>
      </ns0:c>
      <ns0:c r="L133" s="150" t="n">
        <ns0:f>IF(AND(B133="开局",G133&gt;0,OR(D133="普通盒",D133="底部置顶盒",D133="炸弹盒")),J133,0)</ns0:f>
        <ns0:v>0</ns0:v>
      </ns0:c>
      <ns0:c r="M133" s="150" t="n">
        <ns0:f>IF(AND(B133="开局",OR(D133="固定颜色盒",D133="单向收纳盒")),J133,0)</ns0:f>
        <ns0:v>0</ns0:v>
      </ns0:c>
      <ns0:c r="N133" s="150" t="n">
        <ns0:f>IF(AND(B133="开局",OR(D133="数字盖盒",D133="普通冰冻盒",D133="数字冰冻盒",D133="数字冰冻单颗暂存盒")),J133,0)</ns0:f>
        <ns0:v>0</ns0:v>
      </ns0:c>
      <ns0:c r="O133" s="147" t="str">
        <ns0:f>IF(AND(E133&gt;0,E133=INT(E133),G133&gt;=0,G133&lt;=F133,G133=INT(G133),OR(AND(F133=1,OR(D133="单颗暂存盒",D133="数字冰冻单颗暂存盒")),AND(F133=4,NOT(OR(D133="单颗暂存盒",D133="数字冰冻单颗暂存盒")))),IF(OR(D133="数字盖盒",D133="数字冰冻盒",D133="数字冰冻单颗暂存盒"),AND(H133&gt;=1,H133=INT(H133)),H133=0),IF(B133="开局",AND(IF(OR(D133="数字盖盒",D133="普通冰冻盒",D133="数字冰冻盒",D133="炸弹盒",D133="底部置顶盒"),OR(G133=3,G133=4),TRUE),IF(OR(D133="单向收纳盒",D133="单颗暂存盒",D133="数字冰冻单颗暂存盒"),OR(G133=0,G133=1),TRUE),IF(OR(D133="固定颜色盒",D133="广告锁定周转盒"),G133=0,TRUE)),TRUE)),"通过","需调整")</ns0:f>
        <ns0:v>通过</ns0:v>
      </ns0:c>
      <ns0:c r="P133" s="147" t="str">
        <ns0:v>确认方案装量</ns0:v>
      </ns0:c>
      <ns0:c r="Q133" s="147" t="str">
        <ns0:v>普通盒容量4；单颗盒容量1；广告周转不计免费空间</ns0:v>
      </ns0:c>
      <ns0:c r="R133" s="150" t="n">
        <ns0:f>E133*H133</ns0:f>
        <ns0:v>0</ns0:v>
      </ns0:c>
    </ns0:row>
    <ns0:row r="134" ht="21" customHeight="1">
      <ns0:c r="A134" s="149" t="n">
        <ns0:v>26</ns0:v>
      </ns0:c>
      <ns0:c r="B134" s="145" t="str">
        <ns0:v>开局</ns0:v>
      </ns0:c>
      <ns0:c r="C134" s="145" t="str">
        <ns0:v>WAVE-026-06</ns0:v>
      </ns0:c>
      <ns0:c r="D134" s="145" t="str">
        <ns0:v>单颗暂存盒</ns0:v>
      </ns0:c>
      <ns0:c r="E134" s="152" t="n">
        <ns0:v>1</ns0:v>
      </ns0:c>
      <ns0:c r="F134" s="152" t="n">
        <ns0:v>1</ns0:v>
      </ns0:c>
      <ns0:c r="G134" s="152" t="n">
        <ns0:v>1</ns0:v>
      </ns0:c>
      <ns0:c r="H134" s="152" t="n">
        <ns0:v>0</ns0:v>
      </ns0:c>
      <ns0:c r="I134" s="149" t="n">
        <ns0:f>E134*G134</ns0:f>
        <ns0:v>1</ns0:v>
      </ns0:c>
      <ns0:c r="J134" s="149" t="n">
        <ns0:f>E134*(F134-G134)</ns0:f>
        <ns0:v>0</ns0:v>
      </ns0:c>
      <ns0:c r="K134" s="149" t="n">
        <ns0:f>IF(AND(B134="开局",G134=0,OR(D134="普通盒",D134="单颗暂存盒")),J134,0)</ns0:f>
        <ns0:v>0</ns0:v>
      </ns0:c>
      <ns0:c r="L134" s="149" t="n">
        <ns0:f>IF(AND(B134="开局",G134&gt;0,OR(D134="普通盒",D134="底部置顶盒",D134="炸弹盒")),J134,0)</ns0:f>
        <ns0:v>0</ns0:v>
      </ns0:c>
      <ns0:c r="M134" s="149" t="n">
        <ns0:f>IF(AND(B134="开局",OR(D134="固定颜色盒",D134="单向收纳盒")),J134,0)</ns0:f>
        <ns0:v>0</ns0:v>
      </ns0:c>
      <ns0:c r="N134" s="149" t="n">
        <ns0:f>IF(AND(B134="开局",OR(D134="数字盖盒",D134="普通冰冻盒",D134="数字冰冻盒",D134="数字冰冻单颗暂存盒")),J134,0)</ns0:f>
        <ns0:v>0</ns0:v>
      </ns0:c>
      <ns0:c r="O134" s="145" t="str">
        <ns0:f>IF(AND(E134&gt;0,E134=INT(E134),G134&gt;=0,G134&lt;=F134,G134=INT(G134),OR(AND(F134=1,OR(D134="单颗暂存盒",D134="数字冰冻单颗暂存盒")),AND(F134=4,NOT(OR(D134="单颗暂存盒",D134="数字冰冻单颗暂存盒")))),IF(OR(D134="数字盖盒",D134="数字冰冻盒",D134="数字冰冻单颗暂存盒"),AND(H134&gt;=1,H134=INT(H134)),H134=0),IF(B134="开局",AND(IF(OR(D134="数字盖盒",D134="普通冰冻盒",D134="数字冰冻盒",D134="炸弹盒",D134="底部置顶盒"),OR(G134=3,G134=4),TRUE),IF(OR(D134="单向收纳盒",D134="单颗暂存盒",D134="数字冰冻单颗暂存盒"),OR(G134=0,G134=1),TRUE),IF(OR(D134="固定颜色盒",D134="广告锁定周转盒"),G134=0,TRUE)),TRUE)),"通过","需调整")</ns0:f>
        <ns0:v>通过</ns0:v>
      </ns0:c>
      <ns0:c r="P134" s="145" t="str">
        <ns0:v>确认方案装量</ns0:v>
      </ns0:c>
      <ns0:c r="Q134" s="145" t="str">
        <ns0:v>普通盒容量4；单颗盒容量1；广告周转不计免费空间</ns0:v>
      </ns0:c>
      <ns0:c r="R134" s="149" t="n">
        <ns0:f>E134*H134</ns0:f>
        <ns0:v>0</ns0:v>
      </ns0:c>
    </ns0:row>
    <ns0:row r="135" ht="21" customHeight="1">
      <ns0:c r="A135" s="150" t="n">
        <ns0:v>26</ns0:v>
      </ns0:c>
      <ns0:c r="B135" s="147" t="str">
        <ns0:v>开局</ns0:v>
      </ns0:c>
      <ns0:c r="C135" s="147" t="str">
        <ns0:v>WAVE-026-07</ns0:v>
      </ns0:c>
      <ns0:c r="D135" s="147" t="str">
        <ns0:v>广告锁定周转盒</ns0:v>
      </ns0:c>
      <ns0:c r="E135" s="152" t="n">
        <ns0:v>2</ns0:v>
      </ns0:c>
      <ns0:c r="F135" s="152" t="n">
        <ns0:v>4</ns0:v>
      </ns0:c>
      <ns0:c r="G135" s="152" t="n">
        <ns0:v>0</ns0:v>
      </ns0:c>
      <ns0:c r="H135" s="152" t="n">
        <ns0:v>0</ns0:v>
      </ns0:c>
      <ns0:c r="I135" s="150" t="n">
        <ns0:f>E135*G135</ns0:f>
        <ns0:v>0</ns0:v>
      </ns0:c>
      <ns0:c r="J135" s="150" t="n">
        <ns0:f>E135*(F135-G135)</ns0:f>
        <ns0:v>8</ns0:v>
      </ns0:c>
      <ns0:c r="K135" s="150" t="n">
        <ns0:f>IF(AND(B135="开局",G135=0,OR(D135="普通盒",D135="单颗暂存盒")),J135,0)</ns0:f>
        <ns0:v>0</ns0:v>
      </ns0:c>
      <ns0:c r="L135" s="150" t="n">
        <ns0:f>IF(AND(B135="开局",G135&gt;0,OR(D135="普通盒",D135="底部置顶盒",D135="炸弹盒")),J135,0)</ns0:f>
        <ns0:v>0</ns0:v>
      </ns0:c>
      <ns0:c r="M135" s="150" t="n">
        <ns0:f>IF(AND(B135="开局",OR(D135="固定颜色盒",D135="单向收纳盒")),J135,0)</ns0:f>
        <ns0:v>0</ns0:v>
      </ns0:c>
      <ns0:c r="N135" s="150" t="n">
        <ns0:f>IF(AND(B135="开局",OR(D135="数字盖盒",D135="普通冰冻盒",D135="数字冰冻盒",D135="数字冰冻单颗暂存盒")),J135,0)</ns0:f>
        <ns0:v>0</ns0:v>
      </ns0:c>
      <ns0:c r="O135" s="147" t="str">
        <ns0:f>IF(AND(E135&gt;0,E135=INT(E135),G135&gt;=0,G135&lt;=F135,G135=INT(G135),OR(AND(F135=1,OR(D135="单颗暂存盒",D135="数字冰冻单颗暂存盒")),AND(F135=4,NOT(OR(D135="单颗暂存盒",D135="数字冰冻单颗暂存盒")))),IF(OR(D135="数字盖盒",D135="数字冰冻盒",D135="数字冰冻单颗暂存盒"),AND(H135&gt;=1,H135=INT(H135)),H135=0),IF(B135="开局",AND(IF(OR(D135="数字盖盒",D135="普通冰冻盒",D135="数字冰冻盒",D135="炸弹盒",D135="底部置顶盒"),OR(G135=3,G135=4),TRUE),IF(OR(D135="单向收纳盒",D135="单颗暂存盒",D135="数字冰冻单颗暂存盒"),OR(G135=0,G135=1),TRUE),IF(OR(D135="固定颜色盒",D135="广告锁定周转盒"),G135=0,TRUE)),TRUE)),"通过","需调整")</ns0:f>
        <ns0:v>通过</ns0:v>
      </ns0:c>
      <ns0:c r="P135" s="147" t="str">
        <ns0:v>确认方案装量</ns0:v>
      </ns0:c>
      <ns0:c r="Q135" s="147" t="str">
        <ns0:v>普通盒容量4；单颗盒容量1；广告周转不计免费空间</ns0:v>
      </ns0:c>
      <ns0:c r="R135" s="150" t="n">
        <ns0:f>E135*H135</ns0:f>
        <ns0:v>0</ns0:v>
      </ns0:c>
    </ns0:row>
    <ns0:row r="136" ht="21" customHeight="1">
      <ns0:c r="A136" s="149" t="n">
        <ns0:v>26</ns0:v>
      </ns0:c>
      <ns0:c r="B136" s="145" t="str">
        <ns0:v>备货</ns0:v>
      </ns0:c>
      <ns0:c r="C136" s="145" t="str">
        <ns0:v>WAVE-026-08</ns0:v>
      </ns0:c>
      <ns0:c r="D136" s="145" t="str">
        <ns0:v>普通盒</ns0:v>
      </ns0:c>
      <ns0:c r="E136" s="152" t="n">
        <ns0:v>1</ns0:v>
      </ns0:c>
      <ns0:c r="F136" s="152" t="n">
        <ns0:v>4</ns0:v>
      </ns0:c>
      <ns0:c r="G136" s="152" t="n">
        <ns0:v>4</ns0:v>
      </ns0:c>
      <ns0:c r="H136" s="152" t="n">
        <ns0:v>0</ns0:v>
      </ns0:c>
      <ns0:c r="I136" s="149" t="n">
        <ns0:f>E136*G136</ns0:f>
        <ns0:v>4</ns0:v>
      </ns0:c>
      <ns0:c r="J136" s="149" t="n">
        <ns0:f>E136*(F136-G136)</ns0:f>
        <ns0:v>0</ns0:v>
      </ns0:c>
      <ns0:c r="K136" s="149" t="n">
        <ns0:f>IF(AND(B136="开局",G136=0,OR(D136="普通盒",D136="单颗暂存盒")),J136,0)</ns0:f>
        <ns0:v>0</ns0:v>
      </ns0:c>
      <ns0:c r="L136" s="149" t="n">
        <ns0:f>IF(AND(B136="开局",G136&gt;0,OR(D136="普通盒",D136="底部置顶盒",D136="炸弹盒")),J136,0)</ns0:f>
        <ns0:v>0</ns0:v>
      </ns0:c>
      <ns0:c r="M136" s="149" t="n">
        <ns0:f>IF(AND(B136="开局",OR(D136="固定颜色盒",D136="单向收纳盒")),J136,0)</ns0:f>
        <ns0:v>0</ns0:v>
      </ns0:c>
      <ns0:c r="N136" s="149" t="n">
        <ns0:f>IF(AND(B136="开局",OR(D136="数字盖盒",D136="普通冰冻盒",D136="数字冰冻盒",D136="数字冰冻单颗暂存盒")),J136,0)</ns0:f>
        <ns0:v>0</ns0:v>
      </ns0:c>
      <ns0:c r="O136" s="145" t="str">
        <ns0:f>IF(AND(E136&gt;0,E136=INT(E136),G136&gt;=0,G136&lt;=F136,G136=INT(G136),OR(AND(F136=1,OR(D136="单颗暂存盒",D136="数字冰冻单颗暂存盒")),AND(F136=4,NOT(OR(D136="单颗暂存盒",D136="数字冰冻单颗暂存盒")))),IF(OR(D136="数字盖盒",D136="数字冰冻盒",D136="数字冰冻单颗暂存盒"),AND(H136&gt;=1,H136=INT(H136)),H136=0),IF(B136="开局",AND(IF(OR(D136="数字盖盒",D136="普通冰冻盒",D136="数字冰冻盒",D136="炸弹盒",D136="底部置顶盒"),OR(G136=3,G136=4),TRUE),IF(OR(D136="单向收纳盒",D136="单颗暂存盒",D136="数字冰冻单颗暂存盒"),OR(G136=0,G136=1),TRUE),IF(OR(D136="固定颜色盒",D136="广告锁定周转盒"),G136=0,TRUE)),TRUE)),"通过","需调整")</ns0:f>
        <ns0:v>通过</ns0:v>
      </ns0:c>
      <ns0:c r="P136" s="145" t="str">
        <ns0:v>确认方案装量</ns0:v>
      </ns0:c>
      <ns0:c r="Q136" s="145" t="str">
        <ns0:v>普通盒容量4；单颗盒容量1；广告周转不计免费空间</ns0:v>
      </ns0:c>
      <ns0:c r="R136" s="149" t="n">
        <ns0:f>E136*H136</ns0:f>
        <ns0:v>0</ns0:v>
      </ns0:c>
    </ns0:row>
    <ns0:row r="137" ht="21" customHeight="1">
      <ns0:c r="A137" s="150" t="n">
        <ns0:v>27</ns0:v>
      </ns0:c>
      <ns0:c r="B137" s="147" t="str">
        <ns0:v>开局</ns0:v>
      </ns0:c>
      <ns0:c r="C137" s="147" t="str">
        <ns0:v>WAVE-027-01</ns0:v>
      </ns0:c>
      <ns0:c r="D137" s="147" t="str">
        <ns0:v>普通盒</ns0:v>
      </ns0:c>
      <ns0:c r="E137" s="152" t="n">
        <ns0:v>12</ns0:v>
      </ns0:c>
      <ns0:c r="F137" s="152" t="n">
        <ns0:v>4</ns0:v>
      </ns0:c>
      <ns0:c r="G137" s="152" t="n">
        <ns0:v>4</ns0:v>
      </ns0:c>
      <ns0:c r="H137" s="152" t="n">
        <ns0:v>0</ns0:v>
      </ns0:c>
      <ns0:c r="I137" s="150" t="n">
        <ns0:f>E137*G137</ns0:f>
        <ns0:v>48</ns0:v>
      </ns0:c>
      <ns0:c r="J137" s="150" t="n">
        <ns0:f>E137*(F137-G137)</ns0:f>
        <ns0:v>0</ns0:v>
      </ns0:c>
      <ns0:c r="K137" s="150" t="n">
        <ns0:f>IF(AND(B137="开局",G137=0,OR(D137="普通盒",D137="单颗暂存盒")),J137,0)</ns0:f>
        <ns0:v>0</ns0:v>
      </ns0:c>
      <ns0:c r="L137" s="150" t="n">
        <ns0:f>IF(AND(B137="开局",G137&gt;0,OR(D137="普通盒",D137="底部置顶盒",D137="炸弹盒")),J137,0)</ns0:f>
        <ns0:v>0</ns0:v>
      </ns0:c>
      <ns0:c r="M137" s="150" t="n">
        <ns0:f>IF(AND(B137="开局",OR(D137="固定颜色盒",D137="单向收纳盒")),J137,0)</ns0:f>
        <ns0:v>0</ns0:v>
      </ns0:c>
      <ns0:c r="N137" s="150" t="n">
        <ns0:f>IF(AND(B137="开局",OR(D137="数字盖盒",D137="普通冰冻盒",D137="数字冰冻盒",D137="数字冰冻单颗暂存盒")),J137,0)</ns0:f>
        <ns0:v>0</ns0:v>
      </ns0:c>
      <ns0:c r="O137" s="147" t="str">
        <ns0:f>IF(AND(E137&gt;0,E137=INT(E137),G137&gt;=0,G137&lt;=F137,G137=INT(G137),OR(AND(F137=1,OR(D137="单颗暂存盒",D137="数字冰冻单颗暂存盒")),AND(F137=4,NOT(OR(D137="单颗暂存盒",D137="数字冰冻单颗暂存盒")))),IF(OR(D137="数字盖盒",D137="数字冰冻盒",D137="数字冰冻单颗暂存盒"),AND(H137&gt;=1,H137=INT(H137)),H137=0),IF(B137="开局",AND(IF(OR(D137="数字盖盒",D137="普通冰冻盒",D137="数字冰冻盒",D137="炸弹盒",D137="底部置顶盒"),OR(G137=3,G137=4),TRUE),IF(OR(D137="单向收纳盒",D137="单颗暂存盒",D137="数字冰冻单颗暂存盒"),OR(G137=0,G137=1),TRUE),IF(OR(D137="固定颜色盒",D137="广告锁定周转盒"),G137=0,TRUE)),TRUE)),"通过","需调整")</ns0:f>
        <ns0:v>通过</ns0:v>
      </ns0:c>
      <ns0:c r="P137" s="147" t="str">
        <ns0:v>确认方案装量</ns0:v>
      </ns0:c>
      <ns0:c r="Q137" s="147" t="str">
        <ns0:v>层序JSON:{"reference":"2026-10-05 用户确认21—30关难度与装量方案；层序自顶向下","slots":[{"group_id":"WAVE-027-02","layers":[12,6,2]},{"group_id":"WAVE-027-05","layers":[3,8,3,2]},{"group_id":"WAVE-027-01","layers":[2,12,3,0]},{"group_id":"WAVE-027-01","layers":[6,12,5,8]},{"group_id":"WAVE-027-01","layers":[2,3,0,8]},{"group_id":"WAVE-027-01","layers":[3,8,4,0]},{"group_id":"WAVE-027-01","layers":[3,8,5,0]},{"group_id":"WAVE-027-01","layers":[3,4,4,5]},{"group_id":"WAVE-027-02","layers":[5,12,4]},{"group_id":"WAVE-027-01","layers":[2,6,4,2]},{"group_id":"WAVE-027-04","layers":[4,6,0,6]},{"group_id":"WAVE-027-01","layers":[8,2,5,8]},{"group_id":"WAVE-027-01","layers":[0,12,2,0]},{"group_id":"WAVE-027-03","layers":[8,12]},{"group_id":"WAVE-027-01","layers":[6,4,6,0]},{"group_id":"WAVE-027-01","layers":[12,6,4,8]},{"group_id":"WAVE-027-03","layers":[6,12]},{"group_id":"WAVE-027-01","layers":[6,5,6,2]},{"group_id":"WAVE-027-03","layers":[2,8]},{"group_id":"WAVE-027-06","layers":[]}],"stock":[{"group_id":"WAVE-027-08","layers":[2,6,5,3]},{"group_id":"WAVE-027-08","layers":[5,8,8,2]}],"demand_sequences":[[8,0,3,2,2,6,8,5,2,12],[8,4,6,6,3,4,5,0,12]]}</ns0:v>
      </ns0:c>
      <ns0:c r="R137" s="150" t="n">
        <ns0:f>E137*H137</ns0:f>
        <ns0:v>0</ns0:v>
      </ns0:c>
    </ns0:row>
    <ns0:row r="138" ht="21" customHeight="1">
      <ns0:c r="A138" s="149" t="n">
        <ns0:v>27</ns0:v>
      </ns0:c>
      <ns0:c r="B138" s="145" t="str">
        <ns0:v>开局</ns0:v>
      </ns0:c>
      <ns0:c r="C138" s="145" t="str">
        <ns0:v>WAVE-027-02</ns0:v>
      </ns0:c>
      <ns0:c r="D138" s="145" t="str">
        <ns0:v>普通盒</ns0:v>
      </ns0:c>
      <ns0:c r="E138" s="152" t="n">
        <ns0:v>2</ns0:v>
      </ns0:c>
      <ns0:c r="F138" s="152" t="n">
        <ns0:v>4</ns0:v>
      </ns0:c>
      <ns0:c r="G138" s="152" t="n">
        <ns0:v>3</ns0:v>
      </ns0:c>
      <ns0:c r="H138" s="152" t="n">
        <ns0:v>0</ns0:v>
      </ns0:c>
      <ns0:c r="I138" s="149" t="n">
        <ns0:f>E138*G138</ns0:f>
        <ns0:v>6</ns0:v>
      </ns0:c>
      <ns0:c r="J138" s="149" t="n">
        <ns0:f>E138*(F138-G138)</ns0:f>
        <ns0:v>2</ns0:v>
      </ns0:c>
      <ns0:c r="K138" s="149" t="n">
        <ns0:f>IF(AND(B138="开局",G138=0,OR(D138="普通盒",D138="单颗暂存盒")),J138,0)</ns0:f>
        <ns0:v>0</ns0:v>
      </ns0:c>
      <ns0:c r="L138" s="149" t="n">
        <ns0:f>IF(AND(B138="开局",G138&gt;0,OR(D138="普通盒",D138="底部置顶盒",D138="炸弹盒")),J138,0)</ns0:f>
        <ns0:v>2</ns0:v>
      </ns0:c>
      <ns0:c r="M138" s="149" t="n">
        <ns0:f>IF(AND(B138="开局",OR(D138="固定颜色盒",D138="单向收纳盒")),J138,0)</ns0:f>
        <ns0:v>0</ns0:v>
      </ns0:c>
      <ns0:c r="N138" s="149" t="n">
        <ns0:f>IF(AND(B138="开局",OR(D138="数字盖盒",D138="普通冰冻盒",D138="数字冰冻盒",D138="数字冰冻单颗暂存盒")),J138,0)</ns0:f>
        <ns0:v>0</ns0:v>
      </ns0:c>
      <ns0:c r="O138" s="145" t="str">
        <ns0:f>IF(AND(E138&gt;0,E138=INT(E138),G138&gt;=0,G138&lt;=F138,G138=INT(G138),OR(AND(F138=1,OR(D138="单颗暂存盒",D138="数字冰冻单颗暂存盒")),AND(F138=4,NOT(OR(D138="单颗暂存盒",D138="数字冰冻单颗暂存盒")))),IF(OR(D138="数字盖盒",D138="数字冰冻盒",D138="数字冰冻单颗暂存盒"),AND(H138&gt;=1,H138=INT(H138)),H138=0),IF(B138="开局",AND(IF(OR(D138="数字盖盒",D138="普通冰冻盒",D138="数字冰冻盒",D138="炸弹盒",D138="底部置顶盒"),OR(G138=3,G138=4),TRUE),IF(OR(D138="单向收纳盒",D138="单颗暂存盒",D138="数字冰冻单颗暂存盒"),OR(G138=0,G138=1),TRUE),IF(OR(D138="固定颜色盒",D138="广告锁定周转盒"),G138=0,TRUE)),TRUE)),"通过","需调整")</ns0:f>
        <ns0:v>通过</ns0:v>
      </ns0:c>
      <ns0:c r="P138" s="145" t="str">
        <ns0:v>确认方案装量</ns0:v>
      </ns0:c>
      <ns0:c r="Q138" s="145" t="str">
        <ns0:v>普通盒容量4；单颗盒容量1；广告周转不计免费空间</ns0:v>
      </ns0:c>
      <ns0:c r="R138" s="149" t="n">
        <ns0:f>E138*H138</ns0:f>
        <ns0:v>0</ns0:v>
      </ns0:c>
    </ns0:row>
    <ns0:row r="139" ht="21" customHeight="1">
      <ns0:c r="A139" s="150" t="n">
        <ns0:v>27</ns0:v>
      </ns0:c>
      <ns0:c r="B139" s="147" t="str">
        <ns0:v>开局</ns0:v>
      </ns0:c>
      <ns0:c r="C139" s="147" t="str">
        <ns0:v>WAVE-027-03</ns0:v>
      </ns0:c>
      <ns0:c r="D139" s="147" t="str">
        <ns0:v>普通盒</ns0:v>
      </ns0:c>
      <ns0:c r="E139" s="152" t="n">
        <ns0:v>3</ns0:v>
      </ns0:c>
      <ns0:c r="F139" s="152" t="n">
        <ns0:v>4</ns0:v>
      </ns0:c>
      <ns0:c r="G139" s="152" t="n">
        <ns0:v>2</ns0:v>
      </ns0:c>
      <ns0:c r="H139" s="152" t="n">
        <ns0:v>0</ns0:v>
      </ns0:c>
      <ns0:c r="I139" s="150" t="n">
        <ns0:f>E139*G139</ns0:f>
        <ns0:v>6</ns0:v>
      </ns0:c>
      <ns0:c r="J139" s="150" t="n">
        <ns0:f>E139*(F139-G139)</ns0:f>
        <ns0:v>6</ns0:v>
      </ns0:c>
      <ns0:c r="K139" s="150" t="n">
        <ns0:f>IF(AND(B139="开局",G139=0,OR(D139="普通盒",D139="单颗暂存盒")),J139,0)</ns0:f>
        <ns0:v>0</ns0:v>
      </ns0:c>
      <ns0:c r="L139" s="150" t="n">
        <ns0:f>IF(AND(B139="开局",G139&gt;0,OR(D139="普通盒",D139="底部置顶盒",D139="炸弹盒")),J139,0)</ns0:f>
        <ns0:v>6</ns0:v>
      </ns0:c>
      <ns0:c r="M139" s="150" t="n">
        <ns0:f>IF(AND(B139="开局",OR(D139="固定颜色盒",D139="单向收纳盒")),J139,0)</ns0:f>
        <ns0:v>0</ns0:v>
      </ns0:c>
      <ns0:c r="N139" s="150" t="n">
        <ns0:f>IF(AND(B139="开局",OR(D139="数字盖盒",D139="普通冰冻盒",D139="数字冰冻盒",D139="数字冰冻单颗暂存盒")),J139,0)</ns0:f>
        <ns0:v>0</ns0:v>
      </ns0:c>
      <ns0:c r="O139" s="147" t="str">
        <ns0:f>IF(AND(E139&gt;0,E139=INT(E139),G139&gt;=0,G139&lt;=F139,G139=INT(G139),OR(AND(F139=1,OR(D139="单颗暂存盒",D139="数字冰冻单颗暂存盒")),AND(F139=4,NOT(OR(D139="单颗暂存盒",D139="数字冰冻单颗暂存盒")))),IF(OR(D139="数字盖盒",D139="数字冰冻盒",D139="数字冰冻单颗暂存盒"),AND(H139&gt;=1,H139=INT(H139)),H139=0),IF(B139="开局",AND(IF(OR(D139="数字盖盒",D139="普通冰冻盒",D139="数字冰冻盒",D139="炸弹盒",D139="底部置顶盒"),OR(G139=3,G139=4),TRUE),IF(OR(D139="单向收纳盒",D139="单颗暂存盒",D139="数字冰冻单颗暂存盒"),OR(G139=0,G139=1),TRUE),IF(OR(D139="固定颜色盒",D139="广告锁定周转盒"),G139=0,TRUE)),TRUE)),"通过","需调整")</ns0:f>
        <ns0:v>通过</ns0:v>
      </ns0:c>
      <ns0:c r="P139" s="147" t="str">
        <ns0:v>确认方案装量</ns0:v>
      </ns0:c>
      <ns0:c r="Q139" s="147" t="str">
        <ns0:v>普通盒容量4；单颗盒容量1；广告周转不计免费空间</ns0:v>
      </ns0:c>
      <ns0:c r="R139" s="150" t="n">
        <ns0:f>E139*H139</ns0:f>
        <ns0:v>0</ns0:v>
      </ns0:c>
    </ns0:row>
    <ns0:row r="140" ht="21" customHeight="1">
      <ns0:c r="A140" s="149" t="n">
        <ns0:v>27</ns0:v>
      </ns0:c>
      <ns0:c r="B140" s="145" t="str">
        <ns0:v>开局</ns0:v>
      </ns0:c>
      <ns0:c r="C140" s="145" t="str">
        <ns0:v>WAVE-027-04</ns0:v>
      </ns0:c>
      <ns0:c r="D140" s="145" t="str">
        <ns0:v>普通冰冻盒</ns0:v>
      </ns0:c>
      <ns0:c r="E140" s="152" t="n">
        <ns0:v>1</ns0:v>
      </ns0:c>
      <ns0:c r="F140" s="152" t="n">
        <ns0:v>4</ns0:v>
      </ns0:c>
      <ns0:c r="G140" s="152" t="n">
        <ns0:v>4</ns0:v>
      </ns0:c>
      <ns0:c r="H140" s="152" t="n">
        <ns0:v>0</ns0:v>
      </ns0:c>
      <ns0:c r="I140" s="149" t="n">
        <ns0:f>E140*G140</ns0:f>
        <ns0:v>4</ns0:v>
      </ns0:c>
      <ns0:c r="J140" s="149" t="n">
        <ns0:f>E140*(F140-G140)</ns0:f>
        <ns0:v>0</ns0:v>
      </ns0:c>
      <ns0:c r="K140" s="149" t="n">
        <ns0:f>IF(AND(B140="开局",G140=0,OR(D140="普通盒",D140="单颗暂存盒")),J140,0)</ns0:f>
        <ns0:v>0</ns0:v>
      </ns0:c>
      <ns0:c r="L140" s="149" t="n">
        <ns0:f>IF(AND(B140="开局",G140&gt;0,OR(D140="普通盒",D140="底部置顶盒",D140="炸弹盒")),J140,0)</ns0:f>
        <ns0:v>0</ns0:v>
      </ns0:c>
      <ns0:c r="M140" s="149" t="n">
        <ns0:f>IF(AND(B140="开局",OR(D140="固定颜色盒",D140="单向收纳盒")),J140,0)</ns0:f>
        <ns0:v>0</ns0:v>
      </ns0:c>
      <ns0:c r="N140" s="149" t="n">
        <ns0:f>IF(AND(B140="开局",OR(D140="数字盖盒",D140="普通冰冻盒",D140="数字冰冻盒",D140="数字冰冻单颗暂存盒")),J140,0)</ns0:f>
        <ns0:v>0</ns0:v>
      </ns0:c>
      <ns0:c r="O140" s="145" t="str">
        <ns0:f>IF(AND(E140&gt;0,E140=INT(E140),G140&gt;=0,G140&lt;=F140,G140=INT(G140),OR(AND(F140=1,OR(D140="单颗暂存盒",D140="数字冰冻单颗暂存盒")),AND(F140=4,NOT(OR(D140="单颗暂存盒",D140="数字冰冻单颗暂存盒")))),IF(OR(D140="数字盖盒",D140="数字冰冻盒",D140="数字冰冻单颗暂存盒"),AND(H140&gt;=1,H140=INT(H140)),H140=0),IF(B140="开局",AND(IF(OR(D140="数字盖盒",D140="普通冰冻盒",D140="数字冰冻盒",D140="炸弹盒",D140="底部置顶盒"),OR(G140=3,G140=4),TRUE),IF(OR(D140="单向收纳盒",D140="单颗暂存盒",D140="数字冰冻单颗暂存盒"),OR(G140=0,G140=1),TRUE),IF(OR(D140="固定颜色盒",D140="广告锁定周转盒"),G140=0,TRUE)),TRUE)),"通过","需调整")</ns0:f>
        <ns0:v>通过</ns0:v>
      </ns0:c>
      <ns0:c r="P140" s="145" t="str">
        <ns0:v>确认方案装量</ns0:v>
      </ns0:c>
      <ns0:c r="Q140" s="145" t="str">
        <ns0:v>普通盒容量4；单颗盒容量1；广告周转不计免费空间</ns0:v>
      </ns0:c>
      <ns0:c r="R140" s="149" t="n">
        <ns0:f>E140*H140</ns0:f>
        <ns0:v>0</ns0:v>
      </ns0:c>
    </ns0:row>
    <ns0:row r="141" ht="21" customHeight="1">
      <ns0:c r="A141" s="150" t="n">
        <ns0:v>27</ns0:v>
      </ns0:c>
      <ns0:c r="B141" s="147" t="str">
        <ns0:v>开局</ns0:v>
      </ns0:c>
      <ns0:c r="C141" s="147" t="str">
        <ns0:v>WAVE-027-05</ns0:v>
      </ns0:c>
      <ns0:c r="D141" s="147" t="str">
        <ns0:v>数字盖盒</ns0:v>
      </ns0:c>
      <ns0:c r="E141" s="152" t="n">
        <ns0:v>1</ns0:v>
      </ns0:c>
      <ns0:c r="F141" s="152" t="n">
        <ns0:v>4</ns0:v>
      </ns0:c>
      <ns0:c r="G141" s="152" t="n">
        <ns0:v>4</ns0:v>
      </ns0:c>
      <ns0:c r="H141" s="152" t="n">
        <ns0:v>1</ns0:v>
      </ns0:c>
      <ns0:c r="I141" s="150" t="n">
        <ns0:f>E141*G141</ns0:f>
        <ns0:v>4</ns0:v>
      </ns0:c>
      <ns0:c r="J141" s="150" t="n">
        <ns0:f>E141*(F141-G141)</ns0:f>
        <ns0:v>0</ns0:v>
      </ns0:c>
      <ns0:c r="K141" s="150" t="n">
        <ns0:f>IF(AND(B141="开局",G141=0,OR(D141="普通盒",D141="单颗暂存盒")),J141,0)</ns0:f>
        <ns0:v>0</ns0:v>
      </ns0:c>
      <ns0:c r="L141" s="150" t="n">
        <ns0:f>IF(AND(B141="开局",G141&gt;0,OR(D141="普通盒",D141="底部置顶盒",D141="炸弹盒")),J141,0)</ns0:f>
        <ns0:v>0</ns0:v>
      </ns0:c>
      <ns0:c r="M141" s="150" t="n">
        <ns0:f>IF(AND(B141="开局",OR(D141="固定颜色盒",D141="单向收纳盒")),J141,0)</ns0:f>
        <ns0:v>0</ns0:v>
      </ns0:c>
      <ns0:c r="N141" s="150" t="n">
        <ns0:f>IF(AND(B141="开局",OR(D141="数字盖盒",D141="普通冰冻盒",D141="数字冰冻盒",D141="数字冰冻单颗暂存盒")),J141,0)</ns0:f>
        <ns0:v>0</ns0:v>
      </ns0:c>
      <ns0:c r="O141" s="147" t="str">
        <ns0:f>IF(AND(E141&gt;0,E141=INT(E141),G141&gt;=0,G141&lt;=F141,G141=INT(G141),OR(AND(F141=1,OR(D141="单颗暂存盒",D141="数字冰冻单颗暂存盒")),AND(F141=4,NOT(OR(D141="单颗暂存盒",D141="数字冰冻单颗暂存盒")))),IF(OR(D141="数字盖盒",D141="数字冰冻盒",D141="数字冰冻单颗暂存盒"),AND(H141&gt;=1,H141=INT(H141)),H141=0),IF(B141="开局",AND(IF(OR(D141="数字盖盒",D141="普通冰冻盒",D141="数字冰冻盒",D141="炸弹盒",D141="底部置顶盒"),OR(G141=3,G141=4),TRUE),IF(OR(D141="单向收纳盒",D141="单颗暂存盒",D141="数字冰冻单颗暂存盒"),OR(G141=0,G141=1),TRUE),IF(OR(D141="固定颜色盒",D141="广告锁定周转盒"),G141=0,TRUE)),TRUE)),"通过","需调整")</ns0:f>
        <ns0:v>通过</ns0:v>
      </ns0:c>
      <ns0:c r="P141" s="147" t="str">
        <ns0:v>确认方案装量</ns0:v>
      </ns0:c>
      <ns0:c r="Q141" s="147" t="str">
        <ns0:v>普通盒容量4；单颗盒容量1；广告周转不计免费空间</ns0:v>
      </ns0:c>
      <ns0:c r="R141" s="150" t="n">
        <ns0:f>E141*H141</ns0:f>
        <ns0:v>1</ns0:v>
      </ns0:c>
    </ns0:row>
    <ns0:row r="142" ht="21" customHeight="1">
      <ns0:c r="A142" s="149" t="n">
        <ns0:v>27</ns0:v>
      </ns0:c>
      <ns0:c r="B142" s="145" t="str">
        <ns0:v>开局</ns0:v>
      </ns0:c>
      <ns0:c r="C142" s="145" t="str">
        <ns0:v>WAVE-027-06</ns0:v>
      </ns0:c>
      <ns0:c r="D142" s="145" t="str">
        <ns0:v>单颗暂存盒</ns0:v>
      </ns0:c>
      <ns0:c r="E142" s="152" t="n">
        <ns0:v>1</ns0:v>
      </ns0:c>
      <ns0:c r="F142" s="152" t="n">
        <ns0:v>1</ns0:v>
      </ns0:c>
      <ns0:c r="G142" s="152" t="n">
        <ns0:v>0</ns0:v>
      </ns0:c>
      <ns0:c r="H142" s="152" t="n">
        <ns0:v>0</ns0:v>
      </ns0:c>
      <ns0:c r="I142" s="149" t="n">
        <ns0:f>E142*G142</ns0:f>
        <ns0:v>0</ns0:v>
      </ns0:c>
      <ns0:c r="J142" s="149" t="n">
        <ns0:f>E142*(F142-G142)</ns0:f>
        <ns0:v>1</ns0:v>
      </ns0:c>
      <ns0:c r="K142" s="149" t="n">
        <ns0:f>IF(AND(B142="开局",G142=0,OR(D142="普通盒",D142="单颗暂存盒")),J142,0)</ns0:f>
        <ns0:v>1</ns0:v>
      </ns0:c>
      <ns0:c r="L142" s="149" t="n">
        <ns0:f>IF(AND(B142="开局",G142&gt;0,OR(D142="普通盒",D142="底部置顶盒",D142="炸弹盒")),J142,0)</ns0:f>
        <ns0:v>0</ns0:v>
      </ns0:c>
      <ns0:c r="M142" s="149" t="n">
        <ns0:f>IF(AND(B142="开局",OR(D142="固定颜色盒",D142="单向收纳盒")),J142,0)</ns0:f>
        <ns0:v>0</ns0:v>
      </ns0:c>
      <ns0:c r="N142" s="149" t="n">
        <ns0:f>IF(AND(B142="开局",OR(D142="数字盖盒",D142="普通冰冻盒",D142="数字冰冻盒",D142="数字冰冻单颗暂存盒")),J142,0)</ns0:f>
        <ns0:v>0</ns0:v>
      </ns0:c>
      <ns0:c r="O142" s="145" t="str">
        <ns0:f>IF(AND(E142&gt;0,E142=INT(E142),G142&gt;=0,G142&lt;=F142,G142=INT(G142),OR(AND(F142=1,OR(D142="单颗暂存盒",D142="数字冰冻单颗暂存盒")),AND(F142=4,NOT(OR(D142="单颗暂存盒",D142="数字冰冻单颗暂存盒")))),IF(OR(D142="数字盖盒",D142="数字冰冻盒",D142="数字冰冻单颗暂存盒"),AND(H142&gt;=1,H142=INT(H142)),H142=0),IF(B142="开局",AND(IF(OR(D142="数字盖盒",D142="普通冰冻盒",D142="数字冰冻盒",D142="炸弹盒",D142="底部置顶盒"),OR(G142=3,G142=4),TRUE),IF(OR(D142="单向收纳盒",D142="单颗暂存盒",D142="数字冰冻单颗暂存盒"),OR(G142=0,G142=1),TRUE),IF(OR(D142="固定颜色盒",D142="广告锁定周转盒"),G142=0,TRUE)),TRUE)),"通过","需调整")</ns0:f>
        <ns0:v>通过</ns0:v>
      </ns0:c>
      <ns0:c r="P142" s="145" t="str">
        <ns0:v>确认方案装量</ns0:v>
      </ns0:c>
      <ns0:c r="Q142" s="145" t="str">
        <ns0:v>普通盒容量4；单颗盒容量1；广告周转不计免费空间</ns0:v>
      </ns0:c>
      <ns0:c r="R142" s="149" t="n">
        <ns0:f>E142*H142</ns0:f>
        <ns0:v>0</ns0:v>
      </ns0:c>
    </ns0:row>
    <ns0:row r="143" ht="21" customHeight="1">
      <ns0:c r="A143" s="150" t="n">
        <ns0:v>27</ns0:v>
      </ns0:c>
      <ns0:c r="B143" s="147" t="str">
        <ns0:v>开局</ns0:v>
      </ns0:c>
      <ns0:c r="C143" s="147" t="str">
        <ns0:v>WAVE-027-07</ns0:v>
      </ns0:c>
      <ns0:c r="D143" s="147" t="str">
        <ns0:v>广告锁定周转盒</ns0:v>
      </ns0:c>
      <ns0:c r="E143" s="152" t="n">
        <ns0:v>2</ns0:v>
      </ns0:c>
      <ns0:c r="F143" s="152" t="n">
        <ns0:v>4</ns0:v>
      </ns0:c>
      <ns0:c r="G143" s="152" t="n">
        <ns0:v>0</ns0:v>
      </ns0:c>
      <ns0:c r="H143" s="152" t="n">
        <ns0:v>0</ns0:v>
      </ns0:c>
      <ns0:c r="I143" s="150" t="n">
        <ns0:f>E143*G143</ns0:f>
        <ns0:v>0</ns0:v>
      </ns0:c>
      <ns0:c r="J143" s="150" t="n">
        <ns0:f>E143*(F143-G143)</ns0:f>
        <ns0:v>8</ns0:v>
      </ns0:c>
      <ns0:c r="K143" s="150" t="n">
        <ns0:f>IF(AND(B143="开局",G143=0,OR(D143="普通盒",D143="单颗暂存盒")),J143,0)</ns0:f>
        <ns0:v>0</ns0:v>
      </ns0:c>
      <ns0:c r="L143" s="150" t="n">
        <ns0:f>IF(AND(B143="开局",G143&gt;0,OR(D143="普通盒",D143="底部置顶盒",D143="炸弹盒")),J143,0)</ns0:f>
        <ns0:v>0</ns0:v>
      </ns0:c>
      <ns0:c r="M143" s="150" t="n">
        <ns0:f>IF(AND(B143="开局",OR(D143="固定颜色盒",D143="单向收纳盒")),J143,0)</ns0:f>
        <ns0:v>0</ns0:v>
      </ns0:c>
      <ns0:c r="N143" s="150" t="n">
        <ns0:f>IF(AND(B143="开局",OR(D143="数字盖盒",D143="普通冰冻盒",D143="数字冰冻盒",D143="数字冰冻单颗暂存盒")),J143,0)</ns0:f>
        <ns0:v>0</ns0:v>
      </ns0:c>
      <ns0:c r="O143" s="147" t="str">
        <ns0:f>IF(AND(E143&gt;0,E143=INT(E143),G143&gt;=0,G143&lt;=F143,G143=INT(G143),OR(AND(F143=1,OR(D143="单颗暂存盒",D143="数字冰冻单颗暂存盒")),AND(F143=4,NOT(OR(D143="单颗暂存盒",D143="数字冰冻单颗暂存盒")))),IF(OR(D143="数字盖盒",D143="数字冰冻盒",D143="数字冰冻单颗暂存盒"),AND(H143&gt;=1,H143=INT(H143)),H143=0),IF(B143="开局",AND(IF(OR(D143="数字盖盒",D143="普通冰冻盒",D143="数字冰冻盒",D143="炸弹盒",D143="底部置顶盒"),OR(G143=3,G143=4),TRUE),IF(OR(D143="单向收纳盒",D143="单颗暂存盒",D143="数字冰冻单颗暂存盒"),OR(G143=0,G143=1),TRUE),IF(OR(D143="固定颜色盒",D143="广告锁定周转盒"),G143=0,TRUE)),TRUE)),"通过","需调整")</ns0:f>
        <ns0:v>通过</ns0:v>
      </ns0:c>
      <ns0:c r="P143" s="147" t="str">
        <ns0:v>确认方案装量</ns0:v>
      </ns0:c>
      <ns0:c r="Q143" s="147" t="str">
        <ns0:v>普通盒容量4；单颗盒容量1；广告周转不计免费空间</ns0:v>
      </ns0:c>
      <ns0:c r="R143" s="150" t="n">
        <ns0:f>E143*H143</ns0:f>
        <ns0:v>0</ns0:v>
      </ns0:c>
    </ns0:row>
    <ns0:row r="144" ht="21" customHeight="1">
      <ns0:c r="A144" s="149" t="n">
        <ns0:v>27</ns0:v>
      </ns0:c>
      <ns0:c r="B144" s="145" t="str">
        <ns0:v>备货</ns0:v>
      </ns0:c>
      <ns0:c r="C144" s="145" t="str">
        <ns0:v>WAVE-027-08</ns0:v>
      </ns0:c>
      <ns0:c r="D144" s="145" t="str">
        <ns0:v>普通盒</ns0:v>
      </ns0:c>
      <ns0:c r="E144" s="152" t="n">
        <ns0:v>2</ns0:v>
      </ns0:c>
      <ns0:c r="F144" s="152" t="n">
        <ns0:v>4</ns0:v>
      </ns0:c>
      <ns0:c r="G144" s="152" t="n">
        <ns0:v>4</ns0:v>
      </ns0:c>
      <ns0:c r="H144" s="152" t="n">
        <ns0:v>0</ns0:v>
      </ns0:c>
      <ns0:c r="I144" s="149" t="n">
        <ns0:f>E144*G144</ns0:f>
        <ns0:v>8</ns0:v>
      </ns0:c>
      <ns0:c r="J144" s="149" t="n">
        <ns0:f>E144*(F144-G144)</ns0:f>
        <ns0:v>0</ns0:v>
      </ns0:c>
      <ns0:c r="K144" s="149" t="n">
        <ns0:f>IF(AND(B144="开局",G144=0,OR(D144="普通盒",D144="单颗暂存盒")),J144,0)</ns0:f>
        <ns0:v>0</ns0:v>
      </ns0:c>
      <ns0:c r="L144" s="149" t="n">
        <ns0:f>IF(AND(B144="开局",G144&gt;0,OR(D144="普通盒",D144="底部置顶盒",D144="炸弹盒")),J144,0)</ns0:f>
        <ns0:v>0</ns0:v>
      </ns0:c>
      <ns0:c r="M144" s="149" t="n">
        <ns0:f>IF(AND(B144="开局",OR(D144="固定颜色盒",D144="单向收纳盒")),J144,0)</ns0:f>
        <ns0:v>0</ns0:v>
      </ns0:c>
      <ns0:c r="N144" s="149" t="n">
        <ns0:f>IF(AND(B144="开局",OR(D144="数字盖盒",D144="普通冰冻盒",D144="数字冰冻盒",D144="数字冰冻单颗暂存盒")),J144,0)</ns0:f>
        <ns0:v>0</ns0:v>
      </ns0:c>
      <ns0:c r="O144" s="145" t="str">
        <ns0:f>IF(AND(E144&gt;0,E144=INT(E144),G144&gt;=0,G144&lt;=F144,G144=INT(G144),OR(AND(F144=1,OR(D144="单颗暂存盒",D144="数字冰冻单颗暂存盒")),AND(F144=4,NOT(OR(D144="单颗暂存盒",D144="数字冰冻单颗暂存盒")))),IF(OR(D144="数字盖盒",D144="数字冰冻盒",D144="数字冰冻单颗暂存盒"),AND(H144&gt;=1,H144=INT(H144)),H144=0),IF(B144="开局",AND(IF(OR(D144="数字盖盒",D144="普通冰冻盒",D144="数字冰冻盒",D144="炸弹盒",D144="底部置顶盒"),OR(G144=3,G144=4),TRUE),IF(OR(D144="单向收纳盒",D144="单颗暂存盒",D144="数字冰冻单颗暂存盒"),OR(G144=0,G144=1),TRUE),IF(OR(D144="固定颜色盒",D144="广告锁定周转盒"),G144=0,TRUE)),TRUE)),"通过","需调整")</ns0:f>
        <ns0:v>通过</ns0:v>
      </ns0:c>
      <ns0:c r="P144" s="145" t="str">
        <ns0:v>确认方案装量</ns0:v>
      </ns0:c>
      <ns0:c r="Q144" s="145" t="str">
        <ns0:v>普通盒容量4；单颗盒容量1；广告周转不计免费空间</ns0:v>
      </ns0:c>
      <ns0:c r="R144" s="149" t="n">
        <ns0:f>E144*H144</ns0:f>
        <ns0:v>0</ns0:v>
      </ns0:c>
    </ns0:row>
    <ns0:row r="145" ht="21" customHeight="1">
      <ns0:c r="A145" s="150" t="n">
        <ns0:v>28</ns0:v>
      </ns0:c>
      <ns0:c r="B145" s="147" t="str">
        <ns0:v>开局</ns0:v>
      </ns0:c>
      <ns0:c r="C145" s="147" t="str">
        <ns0:v>WAVE-028-01</ns0:v>
      </ns0:c>
      <ns0:c r="D145" s="147" t="str">
        <ns0:v>普通盒</ns0:v>
      </ns0:c>
      <ns0:c r="E145" s="152" t="n">
        <ns0:v>14</ns0:v>
      </ns0:c>
      <ns0:c r="F145" s="152" t="n">
        <ns0:v>4</ns0:v>
      </ns0:c>
      <ns0:c r="G145" s="152" t="n">
        <ns0:v>4</ns0:v>
      </ns0:c>
      <ns0:c r="H145" s="152" t="n">
        <ns0:v>0</ns0:v>
      </ns0:c>
      <ns0:c r="I145" s="150" t="n">
        <ns0:f>E145*G145</ns0:f>
        <ns0:v>56</ns0:v>
      </ns0:c>
      <ns0:c r="J145" s="150" t="n">
        <ns0:f>E145*(F145-G145)</ns0:f>
        <ns0:v>0</ns0:v>
      </ns0:c>
      <ns0:c r="K145" s="150" t="n">
        <ns0:f>IF(AND(B145="开局",G145=0,OR(D145="普通盒",D145="单颗暂存盒")),J145,0)</ns0:f>
        <ns0:v>0</ns0:v>
      </ns0:c>
      <ns0:c r="L145" s="150" t="n">
        <ns0:f>IF(AND(B145="开局",G145&gt;0,OR(D145="普通盒",D145="底部置顶盒",D145="炸弹盒")),J145,0)</ns0:f>
        <ns0:v>0</ns0:v>
      </ns0:c>
      <ns0:c r="M145" s="150" t="n">
        <ns0:f>IF(AND(B145="开局",OR(D145="固定颜色盒",D145="单向收纳盒")),J145,0)</ns0:f>
        <ns0:v>0</ns0:v>
      </ns0:c>
      <ns0:c r="N145" s="150" t="n">
        <ns0:f>IF(AND(B145="开局",OR(D145="数字盖盒",D145="普通冰冻盒",D145="数字冰冻盒",D145="数字冰冻单颗暂存盒")),J145,0)</ns0:f>
        <ns0:v>0</ns0:v>
      </ns0:c>
      <ns0:c r="O145" s="147" t="str">
        <ns0:f>IF(AND(E145&gt;0,E145=INT(E145),G145&gt;=0,G145&lt;=F145,G145=INT(G145),OR(AND(F145=1,OR(D145="单颗暂存盒",D145="数字冰冻单颗暂存盒")),AND(F145=4,NOT(OR(D145="单颗暂存盒",D145="数字冰冻单颗暂存盒")))),IF(OR(D145="数字盖盒",D145="数字冰冻盒",D145="数字冰冻单颗暂存盒"),AND(H145&gt;=1,H145=INT(H145)),H145=0),IF(B145="开局",AND(IF(OR(D145="数字盖盒",D145="普通冰冻盒",D145="数字冰冻盒",D145="炸弹盒",D145="底部置顶盒"),OR(G145=3,G145=4),TRUE),IF(OR(D145="单向收纳盒",D145="单颗暂存盒",D145="数字冰冻单颗暂存盒"),OR(G145=0,G145=1),TRUE),IF(OR(D145="固定颜色盒",D145="广告锁定周转盒"),G145=0,TRUE)),TRUE)),"通过","需调整")</ns0:f>
        <ns0:v>通过</ns0:v>
      </ns0:c>
      <ns0:c r="P145" s="147" t="str">
        <ns0:v>确认方案装量</ns0:v>
      </ns0:c>
      <ns0:c r="Q145" s="147" t="str">
        <ns0:v>层序JSON:{"reference":"2026-10-05 用户确认21—30关难度与装量方案；层序自顶向下","slots":[{"group_id":"WAVE-028-01","layers":[12,5,0,4]},{"group_id":"WAVE-028-01","layers":[3,0,2,2]},{"group_id":"WAVE-028-01","layers":[3,5,8,2]},{"group_id":"WAVE-028-03","layers":[8,12,0,3]},{"group_id":"WAVE-028-01","layers":[12,6,8,12]},{"group_id":"WAVE-028-01","layers":[2,8,3,4]},{"group_id":"WAVE-028-01","layers":[4,4,5,0]},{"group_id":"WAVE-028-01","layers":[6,4,3,6]},{"group_id":"WAVE-028-01","layers":[0,0,6,12]},{"group_id":"WAVE-028-01","layers":[6,8,2,12]},{"group_id":"WAVE-028-01","layers":[8,2,8,2]},{"group_id":"WAVE-028-01","layers":[12,5,0,5]},{"group_id":"WAVE-028-01","layers":[0,12,6,6]},{"group_id":"WAVE-028-01","layers":[4,2,5,4]},{"group_id":"WAVE-028-01","layers":[6,3,4,3]},{"group_id":"WAVE-028-04","layers":[]},{"group_id":"WAVE-028-02","layers":[]},{"group_id":"WAVE-028-02","layers":[]}],"stock":[{"group_id":"WAVE-028-06","layers":[5,5,8,3]}],"demand_sequences":[[6,3,5,5,6,12,8,8],[0,12,4,2,2,4,3,0]]}</ns0:v>
      </ns0:c>
      <ns0:c r="R145" s="150" t="n">
        <ns0:f>E145*H145</ns0:f>
        <ns0:v>0</ns0:v>
      </ns0:c>
    </ns0:row>
    <ns0:row r="146" ht="21" customHeight="1">
      <ns0:c r="A146" s="149" t="n">
        <ns0:v>28</ns0:v>
      </ns0:c>
      <ns0:c r="B146" s="145" t="str">
        <ns0:v>开局</ns0:v>
      </ns0:c>
      <ns0:c r="C146" s="145" t="str">
        <ns0:v>WAVE-028-02</ns0:v>
      </ns0:c>
      <ns0:c r="D146" s="145" t="str">
        <ns0:v>普通盒</ns0:v>
      </ns0:c>
      <ns0:c r="E146" s="152" t="n">
        <ns0:v>2</ns0:v>
      </ns0:c>
      <ns0:c r="F146" s="152" t="n">
        <ns0:v>4</ns0:v>
      </ns0:c>
      <ns0:c r="G146" s="152" t="n">
        <ns0:v>0</ns0:v>
      </ns0:c>
      <ns0:c r="H146" s="152" t="n">
        <ns0:v>0</ns0:v>
      </ns0:c>
      <ns0:c r="I146" s="149" t="n">
        <ns0:f>E146*G146</ns0:f>
        <ns0:v>0</ns0:v>
      </ns0:c>
      <ns0:c r="J146" s="149" t="n">
        <ns0:f>E146*(F146-G146)</ns0:f>
        <ns0:v>8</ns0:v>
      </ns0:c>
      <ns0:c r="K146" s="149" t="n">
        <ns0:f>IF(AND(B146="开局",G146=0,OR(D146="普通盒",D146="单颗暂存盒")),J146,0)</ns0:f>
        <ns0:v>8</ns0:v>
      </ns0:c>
      <ns0:c r="L146" s="149" t="n">
        <ns0:f>IF(AND(B146="开局",G146&gt;0,OR(D146="普通盒",D146="底部置顶盒",D146="炸弹盒")),J146,0)</ns0:f>
        <ns0:v>0</ns0:v>
      </ns0:c>
      <ns0:c r="M146" s="149" t="n">
        <ns0:f>IF(AND(B146="开局",OR(D146="固定颜色盒",D146="单向收纳盒")),J146,0)</ns0:f>
        <ns0:v>0</ns0:v>
      </ns0:c>
      <ns0:c r="N146" s="149" t="n">
        <ns0:f>IF(AND(B146="开局",OR(D146="数字盖盒",D146="普通冰冻盒",D146="数字冰冻盒",D146="数字冰冻单颗暂存盒")),J146,0)</ns0:f>
        <ns0:v>0</ns0:v>
      </ns0:c>
      <ns0:c r="O146" s="145" t="str">
        <ns0:f>IF(AND(E146&gt;0,E146=INT(E146),G146&gt;=0,G146&lt;=F146,G146=INT(G146),OR(AND(F146=1,OR(D146="单颗暂存盒",D146="数字冰冻单颗暂存盒")),AND(F146=4,NOT(OR(D146="单颗暂存盒",D146="数字冰冻单颗暂存盒")))),IF(OR(D146="数字盖盒",D146="数字冰冻盒",D146="数字冰冻单颗暂存盒"),AND(H146&gt;=1,H146=INT(H146)),H146=0),IF(B146="开局",AND(IF(OR(D146="数字盖盒",D146="普通冰冻盒",D146="数字冰冻盒",D146="炸弹盒",D146="底部置顶盒"),OR(G146=3,G146=4),TRUE),IF(OR(D146="单向收纳盒",D146="单颗暂存盒",D146="数字冰冻单颗暂存盒"),OR(G146=0,G146=1),TRUE),IF(OR(D146="固定颜色盒",D146="广告锁定周转盒"),G146=0,TRUE)),TRUE)),"通过","需调整")</ns0:f>
        <ns0:v>通过</ns0:v>
      </ns0:c>
      <ns0:c r="P146" s="145" t="str">
        <ns0:v>确认方案装量</ns0:v>
      </ns0:c>
      <ns0:c r="Q146" s="145" t="str">
        <ns0:v>普通盒容量4；单颗盒容量1；广告周转不计免费空间</ns0:v>
      </ns0:c>
      <ns0:c r="R146" s="149" t="n">
        <ns0:f>E146*H146</ns0:f>
        <ns0:v>0</ns0:v>
      </ns0:c>
    </ns0:row>
    <ns0:row r="147" ht="21" customHeight="1">
      <ns0:c r="A147" s="150" t="n">
        <ns0:v>28</ns0:v>
      </ns0:c>
      <ns0:c r="B147" s="147" t="str">
        <ns0:v>开局</ns0:v>
      </ns0:c>
      <ns0:c r="C147" s="147" t="str">
        <ns0:v>WAVE-028-03</ns0:v>
      </ns0:c>
      <ns0:c r="D147" s="147" t="str">
        <ns0:v>普通冰冻盒</ns0:v>
      </ns0:c>
      <ns0:c r="E147" s="152" t="n">
        <ns0:v>1</ns0:v>
      </ns0:c>
      <ns0:c r="F147" s="152" t="n">
        <ns0:v>4</ns0:v>
      </ns0:c>
      <ns0:c r="G147" s="152" t="n">
        <ns0:v>4</ns0:v>
      </ns0:c>
      <ns0:c r="H147" s="152" t="n">
        <ns0:v>0</ns0:v>
      </ns0:c>
      <ns0:c r="I147" s="150" t="n">
        <ns0:f>E147*G147</ns0:f>
        <ns0:v>4</ns0:v>
      </ns0:c>
      <ns0:c r="J147" s="150" t="n">
        <ns0:f>E147*(F147-G147)</ns0:f>
        <ns0:v>0</ns0:v>
      </ns0:c>
      <ns0:c r="K147" s="150" t="n">
        <ns0:f>IF(AND(B147="开局",G147=0,OR(D147="普通盒",D147="单颗暂存盒")),J147,0)</ns0:f>
        <ns0:v>0</ns0:v>
      </ns0:c>
      <ns0:c r="L147" s="150" t="n">
        <ns0:f>IF(AND(B147="开局",G147&gt;0,OR(D147="普通盒",D147="底部置顶盒",D147="炸弹盒")),J147,0)</ns0:f>
        <ns0:v>0</ns0:v>
      </ns0:c>
      <ns0:c r="M147" s="150" t="n">
        <ns0:f>IF(AND(B147="开局",OR(D147="固定颜色盒",D147="单向收纳盒")),J147,0)</ns0:f>
        <ns0:v>0</ns0:v>
      </ns0:c>
      <ns0:c r="N147" s="150" t="n">
        <ns0:f>IF(AND(B147="开局",OR(D147="数字盖盒",D147="普通冰冻盒",D147="数字冰冻盒",D147="数字冰冻单颗暂存盒")),J147,0)</ns0:f>
        <ns0:v>0</ns0:v>
      </ns0:c>
      <ns0:c r="O147" s="147" t="str">
        <ns0:f>IF(AND(E147&gt;0,E147=INT(E147),G147&gt;=0,G147&lt;=F147,G147=INT(G147),OR(AND(F147=1,OR(D147="单颗暂存盒",D147="数字冰冻单颗暂存盒")),AND(F147=4,NOT(OR(D147="单颗暂存盒",D147="数字冰冻单颗暂存盒")))),IF(OR(D147="数字盖盒",D147="数字冰冻盒",D147="数字冰冻单颗暂存盒"),AND(H147&gt;=1,H147=INT(H147)),H147=0),IF(B147="开局",AND(IF(OR(D147="数字盖盒",D147="普通冰冻盒",D147="数字冰冻盒",D147="炸弹盒",D147="底部置顶盒"),OR(G147=3,G147=4),TRUE),IF(OR(D147="单向收纳盒",D147="单颗暂存盒",D147="数字冰冻单颗暂存盒"),OR(G147=0,G147=1),TRUE),IF(OR(D147="固定颜色盒",D147="广告锁定周转盒"),G147=0,TRUE)),TRUE)),"通过","需调整")</ns0:f>
        <ns0:v>通过</ns0:v>
      </ns0:c>
      <ns0:c r="P147" s="147" t="str">
        <ns0:v>确认方案装量</ns0:v>
      </ns0:c>
      <ns0:c r="Q147" s="147" t="str">
        <ns0:v>普通盒容量4；单颗盒容量1；广告周转不计免费空间</ns0:v>
      </ns0:c>
      <ns0:c r="R147" s="150" t="n">
        <ns0:f>E147*H147</ns0:f>
        <ns0:v>0</ns0:v>
      </ns0:c>
    </ns0:row>
    <ns0:row r="148" ht="21" customHeight="1">
      <ns0:c r="A148" s="149" t="n">
        <ns0:v>28</ns0:v>
      </ns0:c>
      <ns0:c r="B148" s="145" t="str">
        <ns0:v>开局</ns0:v>
      </ns0:c>
      <ns0:c r="C148" s="145" t="str">
        <ns0:v>WAVE-028-04</ns0:v>
      </ns0:c>
      <ns0:c r="D148" s="145" t="str">
        <ns0:v>单颗暂存盒</ns0:v>
      </ns0:c>
      <ns0:c r="E148" s="152" t="n">
        <ns0:v>1</ns0:v>
      </ns0:c>
      <ns0:c r="F148" s="152" t="n">
        <ns0:v>1</ns0:v>
      </ns0:c>
      <ns0:c r="G148" s="152" t="n">
        <ns0:v>0</ns0:v>
      </ns0:c>
      <ns0:c r="H148" s="152" t="n">
        <ns0:v>0</ns0:v>
      </ns0:c>
      <ns0:c r="I148" s="149" t="n">
        <ns0:f>E148*G148</ns0:f>
        <ns0:v>0</ns0:v>
      </ns0:c>
      <ns0:c r="J148" s="149" t="n">
        <ns0:f>E148*(F148-G148)</ns0:f>
        <ns0:v>1</ns0:v>
      </ns0:c>
      <ns0:c r="K148" s="149" t="n">
        <ns0:f>IF(AND(B148="开局",G148=0,OR(D148="普通盒",D148="单颗暂存盒")),J148,0)</ns0:f>
        <ns0:v>1</ns0:v>
      </ns0:c>
      <ns0:c r="L148" s="149" t="n">
        <ns0:f>IF(AND(B148="开局",G148&gt;0,OR(D148="普通盒",D148="底部置顶盒",D148="炸弹盒")),J148,0)</ns0:f>
        <ns0:v>0</ns0:v>
      </ns0:c>
      <ns0:c r="M148" s="149" t="n">
        <ns0:f>IF(AND(B148="开局",OR(D148="固定颜色盒",D148="单向收纳盒")),J148,0)</ns0:f>
        <ns0:v>0</ns0:v>
      </ns0:c>
      <ns0:c r="N148" s="149" t="n">
        <ns0:f>IF(AND(B148="开局",OR(D148="数字盖盒",D148="普通冰冻盒",D148="数字冰冻盒",D148="数字冰冻单颗暂存盒")),J148,0)</ns0:f>
        <ns0:v>0</ns0:v>
      </ns0:c>
      <ns0:c r="O148" s="145" t="str">
        <ns0:f>IF(AND(E148&gt;0,E148=INT(E148),G148&gt;=0,G148&lt;=F148,G148=INT(G148),OR(AND(F148=1,OR(D148="单颗暂存盒",D148="数字冰冻单颗暂存盒")),AND(F148=4,NOT(OR(D148="单颗暂存盒",D148="数字冰冻单颗暂存盒")))),IF(OR(D148="数字盖盒",D148="数字冰冻盒",D148="数字冰冻单颗暂存盒"),AND(H148&gt;=1,H148=INT(H148)),H148=0),IF(B148="开局",AND(IF(OR(D148="数字盖盒",D148="普通冰冻盒",D148="数字冰冻盒",D148="炸弹盒",D148="底部置顶盒"),OR(G148=3,G148=4),TRUE),IF(OR(D148="单向收纳盒",D148="单颗暂存盒",D148="数字冰冻单颗暂存盒"),OR(G148=0,G148=1),TRUE),IF(OR(D148="固定颜色盒",D148="广告锁定周转盒"),G148=0,TRUE)),TRUE)),"通过","需调整")</ns0:f>
        <ns0:v>通过</ns0:v>
      </ns0:c>
      <ns0:c r="P148" s="145" t="str">
        <ns0:v>确认方案装量</ns0:v>
      </ns0:c>
      <ns0:c r="Q148" s="145" t="str">
        <ns0:v>普通盒容量4；单颗盒容量1；广告周转不计免费空间</ns0:v>
      </ns0:c>
      <ns0:c r="R148" s="149" t="n">
        <ns0:f>E148*H148</ns0:f>
        <ns0:v>0</ns0:v>
      </ns0:c>
    </ns0:row>
    <ns0:row r="149" ht="21" customHeight="1">
      <ns0:c r="A149" s="150" t="n">
        <ns0:v>28</ns0:v>
      </ns0:c>
      <ns0:c r="B149" s="147" t="str">
        <ns0:v>开局</ns0:v>
      </ns0:c>
      <ns0:c r="C149" s="147" t="str">
        <ns0:v>WAVE-028-05</ns0:v>
      </ns0:c>
      <ns0:c r="D149" s="147" t="str">
        <ns0:v>广告锁定周转盒</ns0:v>
      </ns0:c>
      <ns0:c r="E149" s="152" t="n">
        <ns0:v>2</ns0:v>
      </ns0:c>
      <ns0:c r="F149" s="152" t="n">
        <ns0:v>4</ns0:v>
      </ns0:c>
      <ns0:c r="G149" s="152" t="n">
        <ns0:v>0</ns0:v>
      </ns0:c>
      <ns0:c r="H149" s="152" t="n">
        <ns0:v>0</ns0:v>
      </ns0:c>
      <ns0:c r="I149" s="150" t="n">
        <ns0:f>E149*G149</ns0:f>
        <ns0:v>0</ns0:v>
      </ns0:c>
      <ns0:c r="J149" s="150" t="n">
        <ns0:f>E149*(F149-G149)</ns0:f>
        <ns0:v>8</ns0:v>
      </ns0:c>
      <ns0:c r="K149" s="150" t="n">
        <ns0:f>IF(AND(B149="开局",G149=0,OR(D149="普通盒",D149="单颗暂存盒")),J149,0)</ns0:f>
        <ns0:v>0</ns0:v>
      </ns0:c>
      <ns0:c r="L149" s="150" t="n">
        <ns0:f>IF(AND(B149="开局",G149&gt;0,OR(D149="普通盒",D149="底部置顶盒",D149="炸弹盒")),J149,0)</ns0:f>
        <ns0:v>0</ns0:v>
      </ns0:c>
      <ns0:c r="M149" s="150" t="n">
        <ns0:f>IF(AND(B149="开局",OR(D149="固定颜色盒",D149="单向收纳盒")),J149,0)</ns0:f>
        <ns0:v>0</ns0:v>
      </ns0:c>
      <ns0:c r="N149" s="150" t="n">
        <ns0:f>IF(AND(B149="开局",OR(D149="数字盖盒",D149="普通冰冻盒",D149="数字冰冻盒",D149="数字冰冻单颗暂存盒")),J149,0)</ns0:f>
        <ns0:v>0</ns0:v>
      </ns0:c>
      <ns0:c r="O149" s="147" t="str">
        <ns0:f>IF(AND(E149&gt;0,E149=INT(E149),G149&gt;=0,G149&lt;=F149,G149=INT(G149),OR(AND(F149=1,OR(D149="单颗暂存盒",D149="数字冰冻单颗暂存盒")),AND(F149=4,NOT(OR(D149="单颗暂存盒",D149="数字冰冻单颗暂存盒")))),IF(OR(D149="数字盖盒",D149="数字冰冻盒",D149="数字冰冻单颗暂存盒"),AND(H149&gt;=1,H149=INT(H149)),H149=0),IF(B149="开局",AND(IF(OR(D149="数字盖盒",D149="普通冰冻盒",D149="数字冰冻盒",D149="炸弹盒",D149="底部置顶盒"),OR(G149=3,G149=4),TRUE),IF(OR(D149="单向收纳盒",D149="单颗暂存盒",D149="数字冰冻单颗暂存盒"),OR(G149=0,G149=1),TRUE),IF(OR(D149="固定颜色盒",D149="广告锁定周转盒"),G149=0,TRUE)),TRUE)),"通过","需调整")</ns0:f>
        <ns0:v>通过</ns0:v>
      </ns0:c>
      <ns0:c r="P149" s="147" t="str">
        <ns0:v>确认方案装量</ns0:v>
      </ns0:c>
      <ns0:c r="Q149" s="147" t="str">
        <ns0:v>普通盒容量4；单颗盒容量1；广告周转不计免费空间</ns0:v>
      </ns0:c>
      <ns0:c r="R149" s="150" t="n">
        <ns0:f>E149*H149</ns0:f>
        <ns0:v>0</ns0:v>
      </ns0:c>
    </ns0:row>
    <ns0:row r="150" ht="21" customHeight="1">
      <ns0:c r="A150" s="149" t="n">
        <ns0:v>28</ns0:v>
      </ns0:c>
      <ns0:c r="B150" s="145" t="str">
        <ns0:v>备货</ns0:v>
      </ns0:c>
      <ns0:c r="C150" s="145" t="str">
        <ns0:v>WAVE-028-06</ns0:v>
      </ns0:c>
      <ns0:c r="D150" s="145" t="str">
        <ns0:v>普通盒</ns0:v>
      </ns0:c>
      <ns0:c r="E150" s="152" t="n">
        <ns0:v>1</ns0:v>
      </ns0:c>
      <ns0:c r="F150" s="152" t="n">
        <ns0:v>4</ns0:v>
      </ns0:c>
      <ns0:c r="G150" s="152" t="n">
        <ns0:v>4</ns0:v>
      </ns0:c>
      <ns0:c r="H150" s="152" t="n">
        <ns0:v>0</ns0:v>
      </ns0:c>
      <ns0:c r="I150" s="149" t="n">
        <ns0:f>E150*G150</ns0:f>
        <ns0:v>4</ns0:v>
      </ns0:c>
      <ns0:c r="J150" s="149" t="n">
        <ns0:f>E150*(F150-G150)</ns0:f>
        <ns0:v>0</ns0:v>
      </ns0:c>
      <ns0:c r="K150" s="149" t="n">
        <ns0:f>IF(AND(B150="开局",G150=0,OR(D150="普通盒",D150="单颗暂存盒")),J150,0)</ns0:f>
        <ns0:v>0</ns0:v>
      </ns0:c>
      <ns0:c r="L150" s="149" t="n">
        <ns0:f>IF(AND(B150="开局",G150&gt;0,OR(D150="普通盒",D150="底部置顶盒",D150="炸弹盒")),J150,0)</ns0:f>
        <ns0:v>0</ns0:v>
      </ns0:c>
      <ns0:c r="M150" s="149" t="n">
        <ns0:f>IF(AND(B150="开局",OR(D150="固定颜色盒",D150="单向收纳盒")),J150,0)</ns0:f>
        <ns0:v>0</ns0:v>
      </ns0:c>
      <ns0:c r="N150" s="149" t="n">
        <ns0:f>IF(AND(B150="开局",OR(D150="数字盖盒",D150="普通冰冻盒",D150="数字冰冻盒",D150="数字冰冻单颗暂存盒")),J150,0)</ns0:f>
        <ns0:v>0</ns0:v>
      </ns0:c>
      <ns0:c r="O150" s="145" t="str">
        <ns0:f>IF(AND(E150&gt;0,E150=INT(E150),G150&gt;=0,G150&lt;=F150,G150=INT(G150),OR(AND(F150=1,OR(D150="单颗暂存盒",D150="数字冰冻单颗暂存盒")),AND(F150=4,NOT(OR(D150="单颗暂存盒",D150="数字冰冻单颗暂存盒")))),IF(OR(D150="数字盖盒",D150="数字冰冻盒",D150="数字冰冻单颗暂存盒"),AND(H150&gt;=1,H150=INT(H150)),H150=0),IF(B150="开局",AND(IF(OR(D150="数字盖盒",D150="普通冰冻盒",D150="数字冰冻盒",D150="炸弹盒",D150="底部置顶盒"),OR(G150=3,G150=4),TRUE),IF(OR(D150="单向收纳盒",D150="单颗暂存盒",D150="数字冰冻单颗暂存盒"),OR(G150=0,G150=1),TRUE),IF(OR(D150="固定颜色盒",D150="广告锁定周转盒"),G150=0,TRUE)),TRUE)),"通过","需调整")</ns0:f>
        <ns0:v>通过</ns0:v>
      </ns0:c>
      <ns0:c r="P150" s="145" t="str">
        <ns0:v>确认方案装量</ns0:v>
      </ns0:c>
      <ns0:c r="Q150" s="145" t="str">
        <ns0:v>普通盒容量4；单颗盒容量1；广告周转不计免费空间</ns0:v>
      </ns0:c>
      <ns0:c r="R150" s="149" t="n">
        <ns0:f>E150*H150</ns0:f>
        <ns0:v>0</ns0:v>
      </ns0:c>
    </ns0:row>
    <ns0:row r="151" ht="21" customHeight="1">
      <ns0:c r="A151" s="150" t="n">
        <ns0:v>29</ns0:v>
      </ns0:c>
      <ns0:c r="B151" s="147" t="str">
        <ns0:v>开局</ns0:v>
      </ns0:c>
      <ns0:c r="C151" s="147" t="str">
        <ns0:v>WAVE-029-01</ns0:v>
      </ns0:c>
      <ns0:c r="D151" s="147" t="str">
        <ns0:v>普通盒</ns0:v>
      </ns0:c>
      <ns0:c r="E151" s="152" t="n">
        <ns0:v>10</ns0:v>
      </ns0:c>
      <ns0:c r="F151" s="152" t="n">
        <ns0:v>4</ns0:v>
      </ns0:c>
      <ns0:c r="G151" s="152" t="n">
        <ns0:v>4</ns0:v>
      </ns0:c>
      <ns0:c r="H151" s="152" t="n">
        <ns0:v>0</ns0:v>
      </ns0:c>
      <ns0:c r="I151" s="150" t="n">
        <ns0:f>E151*G151</ns0:f>
        <ns0:v>40</ns0:v>
      </ns0:c>
      <ns0:c r="J151" s="150" t="n">
        <ns0:f>E151*(F151-G151)</ns0:f>
        <ns0:v>0</ns0:v>
      </ns0:c>
      <ns0:c r="K151" s="150" t="n">
        <ns0:f>IF(AND(B151="开局",G151=0,OR(D151="普通盒",D151="单颗暂存盒")),J151,0)</ns0:f>
        <ns0:v>0</ns0:v>
      </ns0:c>
      <ns0:c r="L151" s="150" t="n">
        <ns0:f>IF(AND(B151="开局",G151&gt;0,OR(D151="普通盒",D151="底部置顶盒",D151="炸弹盒")),J151,0)</ns0:f>
        <ns0:v>0</ns0:v>
      </ns0:c>
      <ns0:c r="M151" s="150" t="n">
        <ns0:f>IF(AND(B151="开局",OR(D151="固定颜色盒",D151="单向收纳盒")),J151,0)</ns0:f>
        <ns0:v>0</ns0:v>
      </ns0:c>
      <ns0:c r="N151" s="150" t="n">
        <ns0:f>IF(AND(B151="开局",OR(D151="数字盖盒",D151="普通冰冻盒",D151="数字冰冻盒",D151="数字冰冻单颗暂存盒")),J151,0)</ns0:f>
        <ns0:v>0</ns0:v>
      </ns0:c>
      <ns0:c r="O151" s="147" t="str">
        <ns0:f>IF(AND(E151&gt;0,E151=INT(E151),G151&gt;=0,G151&lt;=F151,G151=INT(G151),OR(AND(F151=1,OR(D151="单颗暂存盒",D151="数字冰冻单颗暂存盒")),AND(F151=4,NOT(OR(D151="单颗暂存盒",D151="数字冰冻单颗暂存盒")))),IF(OR(D151="数字盖盒",D151="数字冰冻盒",D151="数字冰冻单颗暂存盒"),AND(H151&gt;=1,H151=INT(H151)),H151=0),IF(B151="开局",AND(IF(OR(D151="数字盖盒",D151="普通冰冻盒",D151="数字冰冻盒",D151="炸弹盒",D151="底部置顶盒"),OR(G151=3,G151=4),TRUE),IF(OR(D151="单向收纳盒",D151="单颗暂存盒",D151="数字冰冻单颗暂存盒"),OR(G151=0,G151=1),TRUE),IF(OR(D151="固定颜色盒",D151="广告锁定周转盒"),G151=0,TRUE)),TRUE)),"通过","需调整")</ns0:f>
        <ns0:v>通过</ns0:v>
      </ns0:c>
      <ns0:c r="P151" s="147" t="str">
        <ns0:v>确认方案装量</ns0:v>
      </ns0:c>
      <ns0:c r="Q151" s="147" t="str">
        <ns0:v>层序JSON:{"reference":"2026-10-05 用户确认21—30关难度与装量方案；层序自顶向下","slots":[{"group_id":"WAVE-029-01","layers":[2,3,3,4]},{"group_id":"WAVE-029-05","layers":[4,4,2,6]},{"group_id":"WAVE-029-01","layers":[2,8,6,5]},{"group_id":"WAVE-029-02","layers":[2,4,3]},{"group_id":"WAVE-029-03","layers":[6,5]},{"group_id":"WAVE-029-03","layers":[12,2]},{"group_id":"WAVE-029-02","layers":[8,4,12]},{"group_id":"WAVE-029-02","layers":[8,2,5]},{"group_id":"WAVE-029-01","layers":[8,0,5,0]},{"group_id":"WAVE-029-01","layers":[0,2,8,3]},{"group_id":"WAVE-029-01","layers":[3,6,0,12]},{"group_id":"WAVE-029-03","layers":[4,12]},{"group_id":"WAVE-029-01","layers":[12,3,6,12]},{"group_id":"WAVE-029-07","layers":[3]},{"group_id":"WAVE-029-04","layers":[4,8,5,12]},{"group_id":"WAVE-029-06","layers":[4,6,4,8]},{"group_id":"WAVE-029-01","layers":[5,3,5,0]},{"group_id":"WAVE-029-01","layers":[0,8,0,4]},{"group_id":"WAVE-029-01","layers":[6,12,0,5]},{"group_id":"WAVE-029-01","layers":[4,6,2,4]}],"stock":[],"demand_sequences":[[4,2,4,12,8,4,12,2,0],[3,6,5,5,0,6,8,3]]}</ns0:v>
      </ns0:c>
      <ns0:c r="R151" s="150" t="n">
        <ns0:f>E151*H151</ns0:f>
        <ns0:v>0</ns0:v>
      </ns0:c>
    </ns0:row>
    <ns0:row r="152" ht="21" customHeight="1">
      <ns0:c r="A152" s="149" t="n">
        <ns0:v>29</ns0:v>
      </ns0:c>
      <ns0:c r="B152" s="145" t="str">
        <ns0:v>开局</ns0:v>
      </ns0:c>
      <ns0:c r="C152" s="145" t="str">
        <ns0:v>WAVE-029-02</ns0:v>
      </ns0:c>
      <ns0:c r="D152" s="145" t="str">
        <ns0:v>普通盒</ns0:v>
      </ns0:c>
      <ns0:c r="E152" s="152" t="n">
        <ns0:v>3</ns0:v>
      </ns0:c>
      <ns0:c r="F152" s="152" t="n">
        <ns0:v>4</ns0:v>
      </ns0:c>
      <ns0:c r="G152" s="152" t="n">
        <ns0:v>3</ns0:v>
      </ns0:c>
      <ns0:c r="H152" s="152" t="n">
        <ns0:v>0</ns0:v>
      </ns0:c>
      <ns0:c r="I152" s="149" t="n">
        <ns0:f>E152*G152</ns0:f>
        <ns0:v>9</ns0:v>
      </ns0:c>
      <ns0:c r="J152" s="149" t="n">
        <ns0:f>E152*(F152-G152)</ns0:f>
        <ns0:v>3</ns0:v>
      </ns0:c>
      <ns0:c r="K152" s="149" t="n">
        <ns0:f>IF(AND(B152="开局",G152=0,OR(D152="普通盒",D152="单颗暂存盒")),J152,0)</ns0:f>
        <ns0:v>0</ns0:v>
      </ns0:c>
      <ns0:c r="L152" s="149" t="n">
        <ns0:f>IF(AND(B152="开局",G152&gt;0,OR(D152="普通盒",D152="底部置顶盒",D152="炸弹盒")),J152,0)</ns0:f>
        <ns0:v>3</ns0:v>
      </ns0:c>
      <ns0:c r="M152" s="149" t="n">
        <ns0:f>IF(AND(B152="开局",OR(D152="固定颜色盒",D152="单向收纳盒")),J152,0)</ns0:f>
        <ns0:v>0</ns0:v>
      </ns0:c>
      <ns0:c r="N152" s="149" t="n">
        <ns0:f>IF(AND(B152="开局",OR(D152="数字盖盒",D152="普通冰冻盒",D152="数字冰冻盒",D152="数字冰冻单颗暂存盒")),J152,0)</ns0:f>
        <ns0:v>0</ns0:v>
      </ns0:c>
      <ns0:c r="O152" s="145" t="str">
        <ns0:f>IF(AND(E152&gt;0,E152=INT(E152),G152&gt;=0,G152&lt;=F152,G152=INT(G152),OR(AND(F152=1,OR(D152="单颗暂存盒",D152="数字冰冻单颗暂存盒")),AND(F152=4,NOT(OR(D152="单颗暂存盒",D152="数字冰冻单颗暂存盒")))),IF(OR(D152="数字盖盒",D152="数字冰冻盒",D152="数字冰冻单颗暂存盒"),AND(H152&gt;=1,H152=INT(H152)),H152=0),IF(B152="开局",AND(IF(OR(D152="数字盖盒",D152="普通冰冻盒",D152="数字冰冻盒",D152="炸弹盒",D152="底部置顶盒"),OR(G152=3,G152=4),TRUE),IF(OR(D152="单向收纳盒",D152="单颗暂存盒",D152="数字冰冻单颗暂存盒"),OR(G152=0,G152=1),TRUE),IF(OR(D152="固定颜色盒",D152="广告锁定周转盒"),G152=0,TRUE)),TRUE)),"通过","需调整")</ns0:f>
        <ns0:v>通过</ns0:v>
      </ns0:c>
      <ns0:c r="P152" s="145" t="str">
        <ns0:v>确认方案装量</ns0:v>
      </ns0:c>
      <ns0:c r="Q152" s="145" t="str">
        <ns0:v>普通盒容量4；单颗盒容量1；广告周转不计免费空间</ns0:v>
      </ns0:c>
      <ns0:c r="R152" s="149" t="n">
        <ns0:f>E152*H152</ns0:f>
        <ns0:v>0</ns0:v>
      </ns0:c>
    </ns0:row>
    <ns0:row r="153" ht="21" customHeight="1">
      <ns0:c r="A153" s="150" t="n">
        <ns0:v>29</ns0:v>
      </ns0:c>
      <ns0:c r="B153" s="147" t="str">
        <ns0:v>开局</ns0:v>
      </ns0:c>
      <ns0:c r="C153" s="147" t="str">
        <ns0:v>WAVE-029-03</ns0:v>
      </ns0:c>
      <ns0:c r="D153" s="147" t="str">
        <ns0:v>普通盒</ns0:v>
      </ns0:c>
      <ns0:c r="E153" s="152" t="n">
        <ns0:v>3</ns0:v>
      </ns0:c>
      <ns0:c r="F153" s="152" t="n">
        <ns0:v>4</ns0:v>
      </ns0:c>
      <ns0:c r="G153" s="152" t="n">
        <ns0:v>2</ns0:v>
      </ns0:c>
      <ns0:c r="H153" s="152" t="n">
        <ns0:v>0</ns0:v>
      </ns0:c>
      <ns0:c r="I153" s="150" t="n">
        <ns0:f>E153*G153</ns0:f>
        <ns0:v>6</ns0:v>
      </ns0:c>
      <ns0:c r="J153" s="150" t="n">
        <ns0:f>E153*(F153-G153)</ns0:f>
        <ns0:v>6</ns0:v>
      </ns0:c>
      <ns0:c r="K153" s="150" t="n">
        <ns0:f>IF(AND(B153="开局",G153=0,OR(D153="普通盒",D153="单颗暂存盒")),J153,0)</ns0:f>
        <ns0:v>0</ns0:v>
      </ns0:c>
      <ns0:c r="L153" s="150" t="n">
        <ns0:f>IF(AND(B153="开局",G153&gt;0,OR(D153="普通盒",D153="底部置顶盒",D153="炸弹盒")),J153,0)</ns0:f>
        <ns0:v>6</ns0:v>
      </ns0:c>
      <ns0:c r="M153" s="150" t="n">
        <ns0:f>IF(AND(B153="开局",OR(D153="固定颜色盒",D153="单向收纳盒")),J153,0)</ns0:f>
        <ns0:v>0</ns0:v>
      </ns0:c>
      <ns0:c r="N153" s="150" t="n">
        <ns0:f>IF(AND(B153="开局",OR(D153="数字盖盒",D153="普通冰冻盒",D153="数字冰冻盒",D153="数字冰冻单颗暂存盒")),J153,0)</ns0:f>
        <ns0:v>0</ns0:v>
      </ns0:c>
      <ns0:c r="O153" s="147" t="str">
        <ns0:f>IF(AND(E153&gt;0,E153=INT(E153),G153&gt;=0,G153&lt;=F153,G153=INT(G153),OR(AND(F153=1,OR(D153="单颗暂存盒",D153="数字冰冻单颗暂存盒")),AND(F153=4,NOT(OR(D153="单颗暂存盒",D153="数字冰冻单颗暂存盒")))),IF(OR(D153="数字盖盒",D153="数字冰冻盒",D153="数字冰冻单颗暂存盒"),AND(H153&gt;=1,H153=INT(H153)),H153=0),IF(B153="开局",AND(IF(OR(D153="数字盖盒",D153="普通冰冻盒",D153="数字冰冻盒",D153="炸弹盒",D153="底部置顶盒"),OR(G153=3,G153=4),TRUE),IF(OR(D153="单向收纳盒",D153="单颗暂存盒",D153="数字冰冻单颗暂存盒"),OR(G153=0,G153=1),TRUE),IF(OR(D153="固定颜色盒",D153="广告锁定周转盒"),G153=0,TRUE)),TRUE)),"通过","需调整")</ns0:f>
        <ns0:v>通过</ns0:v>
      </ns0:c>
      <ns0:c r="P153" s="147" t="str">
        <ns0:v>确认方案装量</ns0:v>
      </ns0:c>
      <ns0:c r="Q153" s="147" t="str">
        <ns0:v>普通盒容量4；单颗盒容量1；广告周转不计免费空间</ns0:v>
      </ns0:c>
      <ns0:c r="R153" s="150" t="n">
        <ns0:f>E153*H153</ns0:f>
        <ns0:v>0</ns0:v>
      </ns0:c>
    </ns0:row>
    <ns0:row r="154" ht="21" customHeight="1">
      <ns0:c r="A154" s="149" t="n">
        <ns0:v>29</ns0:v>
      </ns0:c>
      <ns0:c r="B154" s="145" t="str">
        <ns0:v>开局</ns0:v>
      </ns0:c>
      <ns0:c r="C154" s="145" t="str">
        <ns0:v>WAVE-029-04</ns0:v>
      </ns0:c>
      <ns0:c r="D154" s="145" t="str">
        <ns0:v>普通冰冻盒</ns0:v>
      </ns0:c>
      <ns0:c r="E154" s="152" t="n">
        <ns0:v>1</ns0:v>
      </ns0:c>
      <ns0:c r="F154" s="152" t="n">
        <ns0:v>4</ns0:v>
      </ns0:c>
      <ns0:c r="G154" s="152" t="n">
        <ns0:v>4</ns0:v>
      </ns0:c>
      <ns0:c r="H154" s="152" t="n">
        <ns0:v>0</ns0:v>
      </ns0:c>
      <ns0:c r="I154" s="149" t="n">
        <ns0:f>E154*G154</ns0:f>
        <ns0:v>4</ns0:v>
      </ns0:c>
      <ns0:c r="J154" s="149" t="n">
        <ns0:f>E154*(F154-G154)</ns0:f>
        <ns0:v>0</ns0:v>
      </ns0:c>
      <ns0:c r="K154" s="149" t="n">
        <ns0:f>IF(AND(B154="开局",G154=0,OR(D154="普通盒",D154="单颗暂存盒")),J154,0)</ns0:f>
        <ns0:v>0</ns0:v>
      </ns0:c>
      <ns0:c r="L154" s="149" t="n">
        <ns0:f>IF(AND(B154="开局",G154&gt;0,OR(D154="普通盒",D154="底部置顶盒",D154="炸弹盒")),J154,0)</ns0:f>
        <ns0:v>0</ns0:v>
      </ns0:c>
      <ns0:c r="M154" s="149" t="n">
        <ns0:f>IF(AND(B154="开局",OR(D154="固定颜色盒",D154="单向收纳盒")),J154,0)</ns0:f>
        <ns0:v>0</ns0:v>
      </ns0:c>
      <ns0:c r="N154" s="149" t="n">
        <ns0:f>IF(AND(B154="开局",OR(D154="数字盖盒",D154="普通冰冻盒",D154="数字冰冻盒",D154="数字冰冻单颗暂存盒")),J154,0)</ns0:f>
        <ns0:v>0</ns0:v>
      </ns0:c>
      <ns0:c r="O154" s="145" t="str">
        <ns0:f>IF(AND(E154&gt;0,E154=INT(E154),G154&gt;=0,G154&lt;=F154,G154=INT(G154),OR(AND(F154=1,OR(D154="单颗暂存盒",D154="数字冰冻单颗暂存盒")),AND(F154=4,NOT(OR(D154="单颗暂存盒",D154="数字冰冻单颗暂存盒")))),IF(OR(D154="数字盖盒",D154="数字冰冻盒",D154="数字冰冻单颗暂存盒"),AND(H154&gt;=1,H154=INT(H154)),H154=0),IF(B154="开局",AND(IF(OR(D154="数字盖盒",D154="普通冰冻盒",D154="数字冰冻盒",D154="炸弹盒",D154="底部置顶盒"),OR(G154=3,G154=4),TRUE),IF(OR(D154="单向收纳盒",D154="单颗暂存盒",D154="数字冰冻单颗暂存盒"),OR(G154=0,G154=1),TRUE),IF(OR(D154="固定颜色盒",D154="广告锁定周转盒"),G154=0,TRUE)),TRUE)),"通过","需调整")</ns0:f>
        <ns0:v>通过</ns0:v>
      </ns0:c>
      <ns0:c r="P154" s="145" t="str">
        <ns0:v>确认方案装量</ns0:v>
      </ns0:c>
      <ns0:c r="Q154" s="145" t="str">
        <ns0:v>普通盒容量4；单颗盒容量1；广告周转不计免费空间</ns0:v>
      </ns0:c>
      <ns0:c r="R154" s="149" t="n">
        <ns0:f>E154*H154</ns0:f>
        <ns0:v>0</ns0:v>
      </ns0:c>
    </ns0:row>
    <ns0:row r="155" ht="21" customHeight="1">
      <ns0:c r="A155" s="150" t="n">
        <ns0:v>29</ns0:v>
      </ns0:c>
      <ns0:c r="B155" s="147" t="str">
        <ns0:v>开局</ns0:v>
      </ns0:c>
      <ns0:c r="C155" s="147" t="str">
        <ns0:v>WAVE-029-05</ns0:v>
      </ns0:c>
      <ns0:c r="D155" s="147" t="str">
        <ns0:v>普通冰冻盒</ns0:v>
      </ns0:c>
      <ns0:c r="E155" s="152" t="n">
        <ns0:v>1</ns0:v>
      </ns0:c>
      <ns0:c r="F155" s="152" t="n">
        <ns0:v>4</ns0:v>
      </ns0:c>
      <ns0:c r="G155" s="152" t="n">
        <ns0:v>4</ns0:v>
      </ns0:c>
      <ns0:c r="H155" s="152" t="n">
        <ns0:v>0</ns0:v>
      </ns0:c>
      <ns0:c r="I155" s="150" t="n">
        <ns0:f>E155*G155</ns0:f>
        <ns0:v>4</ns0:v>
      </ns0:c>
      <ns0:c r="J155" s="150" t="n">
        <ns0:f>E155*(F155-G155)</ns0:f>
        <ns0:v>0</ns0:v>
      </ns0:c>
      <ns0:c r="K155" s="150" t="n">
        <ns0:f>IF(AND(B155="开局",G155=0,OR(D155="普通盒",D155="单颗暂存盒")),J155,0)</ns0:f>
        <ns0:v>0</ns0:v>
      </ns0:c>
      <ns0:c r="L155" s="150" t="n">
        <ns0:f>IF(AND(B155="开局",G155&gt;0,OR(D155="普通盒",D155="底部置顶盒",D155="炸弹盒")),J155,0)</ns0:f>
        <ns0:v>0</ns0:v>
      </ns0:c>
      <ns0:c r="M155" s="150" t="n">
        <ns0:f>IF(AND(B155="开局",OR(D155="固定颜色盒",D155="单向收纳盒")),J155,0)</ns0:f>
        <ns0:v>0</ns0:v>
      </ns0:c>
      <ns0:c r="N155" s="150" t="n">
        <ns0:f>IF(AND(B155="开局",OR(D155="数字盖盒",D155="普通冰冻盒",D155="数字冰冻盒",D155="数字冰冻单颗暂存盒")),J155,0)</ns0:f>
        <ns0:v>0</ns0:v>
      </ns0:c>
      <ns0:c r="O155" s="147" t="str">
        <ns0:f>IF(AND(E155&gt;0,E155=INT(E155),G155&gt;=0,G155&lt;=F155,G155=INT(G155),OR(AND(F155=1,OR(D155="单颗暂存盒",D155="数字冰冻单颗暂存盒")),AND(F155=4,NOT(OR(D155="单颗暂存盒",D155="数字冰冻单颗暂存盒")))),IF(OR(D155="数字盖盒",D155="数字冰冻盒",D155="数字冰冻单颗暂存盒"),AND(H155&gt;=1,H155=INT(H155)),H155=0),IF(B155="开局",AND(IF(OR(D155="数字盖盒",D155="普通冰冻盒",D155="数字冰冻盒",D155="炸弹盒",D155="底部置顶盒"),OR(G155=3,G155=4),TRUE),IF(OR(D155="单向收纳盒",D155="单颗暂存盒",D155="数字冰冻单颗暂存盒"),OR(G155=0,G155=1),TRUE),IF(OR(D155="固定颜色盒",D155="广告锁定周转盒"),G155=0,TRUE)),TRUE)),"通过","需调整")</ns0:f>
        <ns0:v>通过</ns0:v>
      </ns0:c>
      <ns0:c r="P155" s="147" t="str">
        <ns0:v>确认方案装量</ns0:v>
      </ns0:c>
      <ns0:c r="Q155" s="147" t="str">
        <ns0:v>普通盒容量4；单颗盒容量1；广告周转不计免费空间</ns0:v>
      </ns0:c>
      <ns0:c r="R155" s="150" t="n">
        <ns0:f>E155*H155</ns0:f>
        <ns0:v>0</ns0:v>
      </ns0:c>
    </ns0:row>
    <ns0:row r="156" ht="21" customHeight="1">
      <ns0:c r="A156" s="149" t="n">
        <ns0:v>29</ns0:v>
      </ns0:c>
      <ns0:c r="B156" s="145" t="str">
        <ns0:v>开局</ns0:v>
      </ns0:c>
      <ns0:c r="C156" s="145" t="str">
        <ns0:v>WAVE-029-06</ns0:v>
      </ns0:c>
      <ns0:c r="D156" s="145" t="str">
        <ns0:v>数字盖盒</ns0:v>
      </ns0:c>
      <ns0:c r="E156" s="152" t="n">
        <ns0:v>1</ns0:v>
      </ns0:c>
      <ns0:c r="F156" s="152" t="n">
        <ns0:v>4</ns0:v>
      </ns0:c>
      <ns0:c r="G156" s="152" t="n">
        <ns0:v>4</ns0:v>
      </ns0:c>
      <ns0:c r="H156" s="152" t="n">
        <ns0:v>2</ns0:v>
      </ns0:c>
      <ns0:c r="I156" s="149" t="n">
        <ns0:f>E156*G156</ns0:f>
        <ns0:v>4</ns0:v>
      </ns0:c>
      <ns0:c r="J156" s="149" t="n">
        <ns0:f>E156*(F156-G156)</ns0:f>
        <ns0:v>0</ns0:v>
      </ns0:c>
      <ns0:c r="K156" s="149" t="n">
        <ns0:f>IF(AND(B156="开局",G156=0,OR(D156="普通盒",D156="单颗暂存盒")),J156,0)</ns0:f>
        <ns0:v>0</ns0:v>
      </ns0:c>
      <ns0:c r="L156" s="149" t="n">
        <ns0:f>IF(AND(B156="开局",G156&gt;0,OR(D156="普通盒",D156="底部置顶盒",D156="炸弹盒")),J156,0)</ns0:f>
        <ns0:v>0</ns0:v>
      </ns0:c>
      <ns0:c r="M156" s="149" t="n">
        <ns0:f>IF(AND(B156="开局",OR(D156="固定颜色盒",D156="单向收纳盒")),J156,0)</ns0:f>
        <ns0:v>0</ns0:v>
      </ns0:c>
      <ns0:c r="N156" s="149" t="n">
        <ns0:f>IF(AND(B156="开局",OR(D156="数字盖盒",D156="普通冰冻盒",D156="数字冰冻盒",D156="数字冰冻单颗暂存盒")),J156,0)</ns0:f>
        <ns0:v>0</ns0:v>
      </ns0:c>
      <ns0:c r="O156" s="145" t="str">
        <ns0:f>IF(AND(E156&gt;0,E156=INT(E156),G156&gt;=0,G156&lt;=F156,G156=INT(G156),OR(AND(F156=1,OR(D156="单颗暂存盒",D156="数字冰冻单颗暂存盒")),AND(F156=4,NOT(OR(D156="单颗暂存盒",D156="数字冰冻单颗暂存盒")))),IF(OR(D156="数字盖盒",D156="数字冰冻盒",D156="数字冰冻单颗暂存盒"),AND(H156&gt;=1,H156=INT(H156)),H156=0),IF(B156="开局",AND(IF(OR(D156="数字盖盒",D156="普通冰冻盒",D156="数字冰冻盒",D156="炸弹盒",D156="底部置顶盒"),OR(G156=3,G156=4),TRUE),IF(OR(D156="单向收纳盒",D156="单颗暂存盒",D156="数字冰冻单颗暂存盒"),OR(G156=0,G156=1),TRUE),IF(OR(D156="固定颜色盒",D156="广告锁定周转盒"),G156=0,TRUE)),TRUE)),"通过","需调整")</ns0:f>
        <ns0:v>通过</ns0:v>
      </ns0:c>
      <ns0:c r="P156" s="145" t="str">
        <ns0:v>确认方案装量</ns0:v>
      </ns0:c>
      <ns0:c r="Q156" s="145" t="str">
        <ns0:v>普通盒容量4；单颗盒容量1；广告周转不计免费空间</ns0:v>
      </ns0:c>
      <ns0:c r="R156" s="149" t="n">
        <ns0:f>E156*H156</ns0:f>
        <ns0:v>2</ns0:v>
      </ns0:c>
    </ns0:row>
    <ns0:row r="157" ht="21" customHeight="1">
      <ns0:c r="A157" s="150" t="n">
        <ns0:v>29</ns0:v>
      </ns0:c>
      <ns0:c r="B157" s="147" t="str">
        <ns0:v>开局</ns0:v>
      </ns0:c>
      <ns0:c r="C157" s="147" t="str">
        <ns0:v>WAVE-029-07</ns0:v>
      </ns0:c>
      <ns0:c r="D157" s="147" t="str">
        <ns0:v>单颗暂存盒</ns0:v>
      </ns0:c>
      <ns0:c r="E157" s="152" t="n">
        <ns0:v>1</ns0:v>
      </ns0:c>
      <ns0:c r="F157" s="152" t="n">
        <ns0:v>1</ns0:v>
      </ns0:c>
      <ns0:c r="G157" s="152" t="n">
        <ns0:v>1</ns0:v>
      </ns0:c>
      <ns0:c r="H157" s="152" t="n">
        <ns0:v>0</ns0:v>
      </ns0:c>
      <ns0:c r="I157" s="150" t="n">
        <ns0:f>E157*G157</ns0:f>
        <ns0:v>1</ns0:v>
      </ns0:c>
      <ns0:c r="J157" s="150" t="n">
        <ns0:f>E157*(F157-G157)</ns0:f>
        <ns0:v>0</ns0:v>
      </ns0:c>
      <ns0:c r="K157" s="150" t="n">
        <ns0:f>IF(AND(B157="开局",G157=0,OR(D157="普通盒",D157="单颗暂存盒")),J157,0)</ns0:f>
        <ns0:v>0</ns0:v>
      </ns0:c>
      <ns0:c r="L157" s="150" t="n">
        <ns0:f>IF(AND(B157="开局",G157&gt;0,OR(D157="普通盒",D157="底部置顶盒",D157="炸弹盒")),J157,0)</ns0:f>
        <ns0:v>0</ns0:v>
      </ns0:c>
      <ns0:c r="M157" s="150" t="n">
        <ns0:f>IF(AND(B157="开局",OR(D157="固定颜色盒",D157="单向收纳盒")),J157,0)</ns0:f>
        <ns0:v>0</ns0:v>
      </ns0:c>
      <ns0:c r="N157" s="150" t="n">
        <ns0:f>IF(AND(B157="开局",OR(D157="数字盖盒",D157="普通冰冻盒",D157="数字冰冻盒",D157="数字冰冻单颗暂存盒")),J157,0)</ns0:f>
        <ns0:v>0</ns0:v>
      </ns0:c>
      <ns0:c r="O157" s="147" t="str">
        <ns0:f>IF(AND(E157&gt;0,E157=INT(E157),G157&gt;=0,G157&lt;=F157,G157=INT(G157),OR(AND(F157=1,OR(D157="单颗暂存盒",D157="数字冰冻单颗暂存盒")),AND(F157=4,NOT(OR(D157="单颗暂存盒",D157="数字冰冻单颗暂存盒")))),IF(OR(D157="数字盖盒",D157="数字冰冻盒",D157="数字冰冻单颗暂存盒"),AND(H157&gt;=1,H157=INT(H157)),H157=0),IF(B157="开局",AND(IF(OR(D157="数字盖盒",D157="普通冰冻盒",D157="数字冰冻盒",D157="炸弹盒",D157="底部置顶盒"),OR(G157=3,G157=4),TRUE),IF(OR(D157="单向收纳盒",D157="单颗暂存盒",D157="数字冰冻单颗暂存盒"),OR(G157=0,G157=1),TRUE),IF(OR(D157="固定颜色盒",D157="广告锁定周转盒"),G157=0,TRUE)),TRUE)),"通过","需调整")</ns0:f>
        <ns0:v>通过</ns0:v>
      </ns0:c>
      <ns0:c r="P157" s="147" t="str">
        <ns0:v>确认方案装量</ns0:v>
      </ns0:c>
      <ns0:c r="Q157" s="147" t="str">
        <ns0:v>普通盒容量4；单颗盒容量1；广告周转不计免费空间</ns0:v>
      </ns0:c>
      <ns0:c r="R157" s="150" t="n">
        <ns0:f>E157*H157</ns0:f>
        <ns0:v>0</ns0:v>
      </ns0:c>
    </ns0:row>
    <ns0:row r="158" ht="21" customHeight="1">
      <ns0:c r="A158" s="149" t="n">
        <ns0:v>29</ns0:v>
      </ns0:c>
      <ns0:c r="B158" s="145" t="str">
        <ns0:v>开局</ns0:v>
      </ns0:c>
      <ns0:c r="C158" s="145" t="str">
        <ns0:v>WAVE-029-08</ns0:v>
      </ns0:c>
      <ns0:c r="D158" s="145" t="str">
        <ns0:v>广告锁定周转盒</ns0:v>
      </ns0:c>
      <ns0:c r="E158" s="152" t="n">
        <ns0:v>2</ns0:v>
      </ns0:c>
      <ns0:c r="F158" s="152" t="n">
        <ns0:v>4</ns0:v>
      </ns0:c>
      <ns0:c r="G158" s="152" t="n">
        <ns0:v>0</ns0:v>
      </ns0:c>
      <ns0:c r="H158" s="152" t="n">
        <ns0:v>0</ns0:v>
      </ns0:c>
      <ns0:c r="I158" s="149" t="n">
        <ns0:f>E158*G158</ns0:f>
        <ns0:v>0</ns0:v>
      </ns0:c>
      <ns0:c r="J158" s="149" t="n">
        <ns0:f>E158*(F158-G158)</ns0:f>
        <ns0:v>8</ns0:v>
      </ns0:c>
      <ns0:c r="K158" s="149" t="n">
        <ns0:f>IF(AND(B158="开局",G158=0,OR(D158="普通盒",D158="单颗暂存盒")),J158,0)</ns0:f>
        <ns0:v>0</ns0:v>
      </ns0:c>
      <ns0:c r="L158" s="149" t="n">
        <ns0:f>IF(AND(B158="开局",G158&gt;0,OR(D158="普通盒",D158="底部置顶盒",D158="炸弹盒")),J158,0)</ns0:f>
        <ns0:v>0</ns0:v>
      </ns0:c>
      <ns0:c r="M158" s="149" t="n">
        <ns0:f>IF(AND(B158="开局",OR(D158="固定颜色盒",D158="单向收纳盒")),J158,0)</ns0:f>
        <ns0:v>0</ns0:v>
      </ns0:c>
      <ns0:c r="N158" s="149" t="n">
        <ns0:f>IF(AND(B158="开局",OR(D158="数字盖盒",D158="普通冰冻盒",D158="数字冰冻盒",D158="数字冰冻单颗暂存盒")),J158,0)</ns0:f>
        <ns0:v>0</ns0:v>
      </ns0:c>
      <ns0:c r="O158" s="145" t="str">
        <ns0:f>IF(AND(E158&gt;0,E158=INT(E158),G158&gt;=0,G158&lt;=F158,G158=INT(G158),OR(AND(F158=1,OR(D158="单颗暂存盒",D158="数字冰冻单颗暂存盒")),AND(F158=4,NOT(OR(D158="单颗暂存盒",D158="数字冰冻单颗暂存盒")))),IF(OR(D158="数字盖盒",D158="数字冰冻盒",D158="数字冰冻单颗暂存盒"),AND(H158&gt;=1,H158=INT(H158)),H158=0),IF(B158="开局",AND(IF(OR(D158="数字盖盒",D158="普通冰冻盒",D158="数字冰冻盒",D158="炸弹盒",D158="底部置顶盒"),OR(G158=3,G158=4),TRUE),IF(OR(D158="单向收纳盒",D158="单颗暂存盒",D158="数字冰冻单颗暂存盒"),OR(G158=0,G158=1),TRUE),IF(OR(D158="固定颜色盒",D158="广告锁定周转盒"),G158=0,TRUE)),TRUE)),"通过","需调整")</ns0:f>
        <ns0:v>通过</ns0:v>
      </ns0:c>
      <ns0:c r="P158" s="145" t="str">
        <ns0:v>确认方案装量</ns0:v>
      </ns0:c>
      <ns0:c r="Q158" s="145" t="str">
        <ns0:v>普通盒容量4；单颗盒容量1；广告周转不计免费空间</ns0:v>
      </ns0:c>
      <ns0:c r="R158" s="149" t="n">
        <ns0:f>E158*H158</ns0:f>
        <ns0:v>0</ns0:v>
      </ns0:c>
    </ns0:row>
    <ns0:row r="159" ht="21" customHeight="1">
      <ns0:c r="A159" s="150" t="n">
        <ns0:v>30</ns0:v>
      </ns0:c>
      <ns0:c r="B159" s="147" t="str">
        <ns0:v>开局</ns0:v>
      </ns0:c>
      <ns0:c r="C159" s="147" t="str">
        <ns0:v>WAVE-030-01</ns0:v>
      </ns0:c>
      <ns0:c r="D159" s="147" t="str">
        <ns0:v>普通盒</ns0:v>
      </ns0:c>
      <ns0:c r="E159" s="152" t="n">
        <ns0:v>12</ns0:v>
      </ns0:c>
      <ns0:c r="F159" s="152" t="n">
        <ns0:v>4</ns0:v>
      </ns0:c>
      <ns0:c r="G159" s="152" t="n">
        <ns0:v>4</ns0:v>
      </ns0:c>
      <ns0:c r="H159" s="152" t="n">
        <ns0:v>0</ns0:v>
      </ns0:c>
      <ns0:c r="I159" s="150" t="n">
        <ns0:f>E159*G159</ns0:f>
        <ns0:v>48</ns0:v>
      </ns0:c>
      <ns0:c r="J159" s="150" t="n">
        <ns0:f>E159*(F159-G159)</ns0:f>
        <ns0:v>0</ns0:v>
      </ns0:c>
      <ns0:c r="K159" s="150" t="n">
        <ns0:f>IF(AND(B159="开局",G159=0,OR(D159="普通盒",D159="单颗暂存盒")),J159,0)</ns0:f>
        <ns0:v>0</ns0:v>
      </ns0:c>
      <ns0:c r="L159" s="150" t="n">
        <ns0:f>IF(AND(B159="开局",G159&gt;0,OR(D159="普通盒",D159="底部置顶盒",D159="炸弹盒")),J159,0)</ns0:f>
        <ns0:v>0</ns0:v>
      </ns0:c>
      <ns0:c r="M159" s="150" t="n">
        <ns0:f>IF(AND(B159="开局",OR(D159="固定颜色盒",D159="单向收纳盒")),J159,0)</ns0:f>
        <ns0:v>0</ns0:v>
      </ns0:c>
      <ns0:c r="N159" s="150" t="n">
        <ns0:f>IF(AND(B159="开局",OR(D159="数字盖盒",D159="普通冰冻盒",D159="数字冰冻盒",D159="数字冰冻单颗暂存盒")),J159,0)</ns0:f>
        <ns0:v>0</ns0:v>
      </ns0:c>
      <ns0:c r="O159" s="147" t="str">
        <ns0:f>IF(AND(E159&gt;0,E159=INT(E159),G159&gt;=0,G159&lt;=F159,G159=INT(G159),OR(AND(F159=1,OR(D159="单颗暂存盒",D159="数字冰冻单颗暂存盒")),AND(F159=4,NOT(OR(D159="单颗暂存盒",D159="数字冰冻单颗暂存盒")))),IF(OR(D159="数字盖盒",D159="数字冰冻盒",D159="数字冰冻单颗暂存盒"),AND(H159&gt;=1,H159=INT(H159)),H159=0),IF(B159="开局",AND(IF(OR(D159="数字盖盒",D159="普通冰冻盒",D159="数字冰冻盒",D159="炸弹盒",D159="底部置顶盒"),OR(G159=3,G159=4),TRUE),IF(OR(D159="单向收纳盒",D159="单颗暂存盒",D159="数字冰冻单颗暂存盒"),OR(G159=0,G159=1),TRUE),IF(OR(D159="固定颜色盒",D159="广告锁定周转盒"),G159=0,TRUE)),TRUE)),"通过","需调整")</ns0:f>
        <ns0:v>通过</ns0:v>
      </ns0:c>
      <ns0:c r="P159" s="147" t="str">
        <ns0:v>确认方案装量</ns0:v>
      </ns0:c>
      <ns0:c r="Q159" s="147" t="str">
        <ns0:v>层序JSON:{"reference":"2026-10-05 用户确认21—30关难度与装量方案；层序自顶向下","slots":[{"group_id":"WAVE-030-03","layers":[2,12]},{"group_id":"WAVE-030-06","layers":[3,8,0,6]},{"group_id":"WAVE-030-01","layers":[3,8,5,8]},{"group_id":"WAVE-030-01","layers":[4,5,8,8]},{"group_id":"WAVE-030-01","layers":[0,5,0,3]},{"group_id":"WAVE-030-01","layers":[12,0,3,4]},{"group_id":"WAVE-030-01","layers":[4,5,3,6]},{"group_id":"WAVE-030-02","layers":[5,2,6]},{"group_id":"WAVE-030-01","layers":[12,8,2,5]},{"group_id":"WAVE-030-02","layers":[5,5,12]},{"group_id":"WAVE-030-01","layers":[2,4,4,2]},{"group_id":"WAVE-030-05","layers":[12,12,6,0]},{"group_id":"WAVE-030-01","layers":[8,6,2,4]},{"group_id":"WAVE-030-01","layers":[4,6,6,0]},{"group_id":"WAVE-030-01","layers":[3,12,3,8]},{"group_id":"WAVE-030-01","layers":[3,0,4,6]},{"group_id":"WAVE-030-01","layers":[12,0,2,2]},{"group_id":"WAVE-030-07","layers":[]},{"group_id":"WAVE-030-04","layers":[]}],"stock":[],"demand_sequences":[[12,8,3,6,3,4,12,0],[5,2,8,2,4,6,5,0]]}</ns0:v>
      </ns0:c>
      <ns0:c r="R159" s="150" t="n">
        <ns0:f>E159*H159</ns0:f>
        <ns0:v>0</ns0:v>
      </ns0:c>
    </ns0:row>
    <ns0:row r="160" ht="21" customHeight="1">
      <ns0:c r="A160" s="149" t="n">
        <ns0:v>30</ns0:v>
      </ns0:c>
      <ns0:c r="B160" s="145" t="str">
        <ns0:v>开局</ns0:v>
      </ns0:c>
      <ns0:c r="C160" s="145" t="str">
        <ns0:v>WAVE-030-02</ns0:v>
      </ns0:c>
      <ns0:c r="D160" s="145" t="str">
        <ns0:v>普通盒</ns0:v>
      </ns0:c>
      <ns0:c r="E160" s="152" t="n">
        <ns0:v>2</ns0:v>
      </ns0:c>
      <ns0:c r="F160" s="152" t="n">
        <ns0:v>4</ns0:v>
      </ns0:c>
      <ns0:c r="G160" s="152" t="n">
        <ns0:v>3</ns0:v>
      </ns0:c>
      <ns0:c r="H160" s="152" t="n">
        <ns0:v>0</ns0:v>
      </ns0:c>
      <ns0:c r="I160" s="149" t="n">
        <ns0:f>E160*G160</ns0:f>
        <ns0:v>6</ns0:v>
      </ns0:c>
      <ns0:c r="J160" s="149" t="n">
        <ns0:f>E160*(F160-G160)</ns0:f>
        <ns0:v>2</ns0:v>
      </ns0:c>
      <ns0:c r="K160" s="149" t="n">
        <ns0:f>IF(AND(B160="开局",G160=0,OR(D160="普通盒",D160="单颗暂存盒")),J160,0)</ns0:f>
        <ns0:v>0</ns0:v>
      </ns0:c>
      <ns0:c r="L160" s="149" t="n">
        <ns0:f>IF(AND(B160="开局",G160&gt;0,OR(D160="普通盒",D160="底部置顶盒",D160="炸弹盒")),J160,0)</ns0:f>
        <ns0:v>2</ns0:v>
      </ns0:c>
      <ns0:c r="M160" s="149" t="n">
        <ns0:f>IF(AND(B160="开局",OR(D160="固定颜色盒",D160="单向收纳盒")),J160,0)</ns0:f>
        <ns0:v>0</ns0:v>
      </ns0:c>
      <ns0:c r="N160" s="149" t="n">
        <ns0:f>IF(AND(B160="开局",OR(D160="数字盖盒",D160="普通冰冻盒",D160="数字冰冻盒",D160="数字冰冻单颗暂存盒")),J160,0)</ns0:f>
        <ns0:v>0</ns0:v>
      </ns0:c>
      <ns0:c r="O160" s="145" t="str">
        <ns0:f>IF(AND(E160&gt;0,E160=INT(E160),G160&gt;=0,G160&lt;=F160,G160=INT(G160),OR(AND(F160=1,OR(D160="单颗暂存盒",D160="数字冰冻单颗暂存盒")),AND(F160=4,NOT(OR(D160="单颗暂存盒",D160="数字冰冻单颗暂存盒")))),IF(OR(D160="数字盖盒",D160="数字冰冻盒",D160="数字冰冻单颗暂存盒"),AND(H160&gt;=1,H160=INT(H160)),H160=0),IF(B160="开局",AND(IF(OR(D160="数字盖盒",D160="普通冰冻盒",D160="数字冰冻盒",D160="炸弹盒",D160="底部置顶盒"),OR(G160=3,G160=4),TRUE),IF(OR(D160="单向收纳盒",D160="单颗暂存盒",D160="数字冰冻单颗暂存盒"),OR(G160=0,G160=1),TRUE),IF(OR(D160="固定颜色盒",D160="广告锁定周转盒"),G160=0,TRUE)),TRUE)),"通过","需调整")</ns0:f>
        <ns0:v>通过</ns0:v>
      </ns0:c>
      <ns0:c r="P160" s="145" t="str">
        <ns0:v>确认方案装量</ns0:v>
      </ns0:c>
      <ns0:c r="Q160" s="145" t="str">
        <ns0:v>普通盒容量4；单颗盒容量1；广告周转不计免费空间</ns0:v>
      </ns0:c>
      <ns0:c r="R160" s="149" t="n">
        <ns0:f>E160*H160</ns0:f>
        <ns0:v>0</ns0:v>
      </ns0:c>
    </ns0:row>
    <ns0:row r="161" ht="21" customHeight="1">
      <ns0:c r="A161" s="150" t="n">
        <ns0:v>30</ns0:v>
      </ns0:c>
      <ns0:c r="B161" s="147" t="str">
        <ns0:v>开局</ns0:v>
      </ns0:c>
      <ns0:c r="C161" s="147" t="str">
        <ns0:v>WAVE-030-03</ns0:v>
      </ns0:c>
      <ns0:c r="D161" s="147" t="str">
        <ns0:v>普通盒</ns0:v>
      </ns0:c>
      <ns0:c r="E161" s="152" t="n">
        <ns0:v>1</ns0:v>
      </ns0:c>
      <ns0:c r="F161" s="152" t="n">
        <ns0:v>4</ns0:v>
      </ns0:c>
      <ns0:c r="G161" s="152" t="n">
        <ns0:v>2</ns0:v>
      </ns0:c>
      <ns0:c r="H161" s="152" t="n">
        <ns0:v>0</ns0:v>
      </ns0:c>
      <ns0:c r="I161" s="150" t="n">
        <ns0:f>E161*G161</ns0:f>
        <ns0:v>2</ns0:v>
      </ns0:c>
      <ns0:c r="J161" s="150" t="n">
        <ns0:f>E161*(F161-G161)</ns0:f>
        <ns0:v>2</ns0:v>
      </ns0:c>
      <ns0:c r="K161" s="150" t="n">
        <ns0:f>IF(AND(B161="开局",G161=0,OR(D161="普通盒",D161="单颗暂存盒")),J161,0)</ns0:f>
        <ns0:v>0</ns0:v>
      </ns0:c>
      <ns0:c r="L161" s="150" t="n">
        <ns0:f>IF(AND(B161="开局",G161&gt;0,OR(D161="普通盒",D161="底部置顶盒",D161="炸弹盒")),J161,0)</ns0:f>
        <ns0:v>2</ns0:v>
      </ns0:c>
      <ns0:c r="M161" s="150" t="n">
        <ns0:f>IF(AND(B161="开局",OR(D161="固定颜色盒",D161="单向收纳盒")),J161,0)</ns0:f>
        <ns0:v>0</ns0:v>
      </ns0:c>
      <ns0:c r="N161" s="150" t="n">
        <ns0:f>IF(AND(B161="开局",OR(D161="数字盖盒",D161="普通冰冻盒",D161="数字冰冻盒",D161="数字冰冻单颗暂存盒")),J161,0)</ns0:f>
        <ns0:v>0</ns0:v>
      </ns0:c>
      <ns0:c r="O161" s="147" t="str">
        <ns0:f>IF(AND(E161&gt;0,E161=INT(E161),G161&gt;=0,G161&lt;=F161,G161=INT(G161),OR(AND(F161=1,OR(D161="单颗暂存盒",D161="数字冰冻单颗暂存盒")),AND(F161=4,NOT(OR(D161="单颗暂存盒",D161="数字冰冻单颗暂存盒")))),IF(OR(D161="数字盖盒",D161="数字冰冻盒",D161="数字冰冻单颗暂存盒"),AND(H161&gt;=1,H161=INT(H161)),H161=0),IF(B161="开局",AND(IF(OR(D161="数字盖盒",D161="普通冰冻盒",D161="数字冰冻盒",D161="炸弹盒",D161="底部置顶盒"),OR(G161=3,G161=4),TRUE),IF(OR(D161="单向收纳盒",D161="单颗暂存盒",D161="数字冰冻单颗暂存盒"),OR(G161=0,G161=1),TRUE),IF(OR(D161="固定颜色盒",D161="广告锁定周转盒"),G161=0,TRUE)),TRUE)),"通过","需调整")</ns0:f>
        <ns0:v>通过</ns0:v>
      </ns0:c>
      <ns0:c r="P161" s="147" t="str">
        <ns0:v>确认方案装量</ns0:v>
      </ns0:c>
      <ns0:c r="Q161" s="147" t="str">
        <ns0:v>普通盒容量4；单颗盒容量1；广告周转不计免费空间</ns0:v>
      </ns0:c>
      <ns0:c r="R161" s="150" t="n">
        <ns0:f>E161*H161</ns0:f>
        <ns0:v>0</ns0:v>
      </ns0:c>
    </ns0:row>
    <ns0:row r="162" ht="21" customHeight="1">
      <ns0:c r="A162" s="149" t="n">
        <ns0:v>31</ns0:v>
      </ns0:c>
      <ns0:c r="B162" s="145" t="str">
        <ns0:v>开局</ns0:v>
      </ns0:c>
      <ns0:c r="C162" s="145" t="str">
        <ns0:v>W031-01</ns0:v>
      </ns0:c>
      <ns0:c r="D162" s="145" t="str">
        <ns0:v>普通盒</ns0:v>
      </ns0:c>
      <ns0:c r="E162" s="152" t="n">
        <ns0:v>11</ns0:v>
      </ns0:c>
      <ns0:c r="F162" s="152" t="n">
        <ns0:v>4</ns0:v>
      </ns0:c>
      <ns0:c r="G162" s="152" t="n">
        <ns0:v>4</ns0:v>
      </ns0:c>
      <ns0:c r="H162" s="152" t="n">
        <ns0:v>0</ns0:v>
      </ns0:c>
      <ns0:c r="I162" s="149" t="n">
        <ns0:f>E162*G162</ns0:f>
        <ns0:v>44</ns0:v>
      </ns0:c>
      <ns0:c r="J162" s="149" t="n">
        <ns0:f>E162*(F162-G162)</ns0:f>
        <ns0:v>0</ns0:v>
      </ns0:c>
      <ns0:c r="K162" s="149" t="n">
        <ns0:f>IF(AND(B162="开局",G162=0,OR(D162="普通盒",D162="单颗暂存盒")),J162,0)</ns0:f>
        <ns0:v>0</ns0:v>
      </ns0:c>
      <ns0:c r="L162" s="149" t="n">
        <ns0:f>IF(AND(B162="开局",G162&gt;0,OR(D162="普通盒",D162="底部置顶盒",D162="炸弹盒")),J162,0)</ns0:f>
        <ns0:v>0</ns0:v>
      </ns0:c>
      <ns0:c r="M162" s="149" t="n">
        <ns0:f>IF(AND(B162="开局",OR(D162="固定颜色盒",D162="单向收纳盒")),J162,0)</ns0:f>
        <ns0:v>0</ns0:v>
      </ns0:c>
      <ns0:c r="N162" s="149" t="n">
        <ns0:f>IF(AND(B162="开局",OR(D162="数字盖盒",D162="普通冰冻盒",D162="数字冰冻盒",D162="数字冰冻单颗暂存盒")),J162,0)</ns0:f>
        <ns0:v>0</ns0:v>
      </ns0:c>
      <ns0:c r="O162" s="145" t="str">
        <ns0:f>IF(AND(E162&gt;0,E162=INT(E162),G162&gt;=0,G162&lt;=F162,G162=INT(G162),OR(AND(F162=1,OR(D162="单颗暂存盒",D162="数字冰冻单颗暂存盒")),AND(F162=4,NOT(OR(D162="单颗暂存盒",D162="数字冰冻单颗暂存盒")))),IF(OR(D162="数字盖盒",D162="数字冰冻盒",D162="数字冰冻单颗暂存盒"),AND(H162&gt;=1,H162=INT(H162)),H162=0),IF(B162="开局",AND(IF(OR(D162="数字盖盒",D162="普通冰冻盒",D162="数字冰冻盒",D162="炸弹盒",D162="底部置顶盒"),OR(G162=3,G162=4),TRUE),IF(OR(D162="单向收纳盒",D162="单颗暂存盒",D162="数字冰冻单颗暂存盒"),OR(G162=0,G162=1),TRUE),IF(OR(D162="固定颜色盒",D162="广告锁定周转盒"),G162=0,TRUE)),TRUE)),"通过","需调整")</ns0:f>
        <ns0:v>通过</ns0:v>
      </ns0:c>
      <ns0:c r="P162" s="145" t="str">
        <ns0:v>零空盒阶梯解冻</ns0:v>
      </ns0:c>
      <ns0:c r="Q162" s="145" t="str">
        <ns0:v>层序JSON:{"reference":"已确认的31–40关续接方案；第31关：零空盒阶梯解冻；固定层序与订单，非参考小游戏逐关复刻","slots":[{"group_id":"W031-02","layers":[5,3,8]},{"group_id":"W031-01","layers":[3,6,2,4]},{"group_id":"W031-01","layers":[8,6,5,5]},{"group_id":"W031-04","layers":[3,8,0,5]},{"group_id":"W031-01","layers":[8,4,2,6]},{"group_id":"W031-01","layers":[6,12,2,12]},{"group_id":"W031-03","layers":[12,0]},{"group_id":"W031-01","layers":[6,2,3,4]},{"group_id":"W031-01","layers":[12,6,4,2]},{"group_id":"W031-01","layers":[4,4,12,6]},{"group_id":"W031-01","layers":[2,12,0,8]},{"group_id":"W031-01","layers":[2,5,0,4]},{"group_id":"W031-02","layers":[3,8,2]},{"group_id":"W031-05","layers":[3,6,12,4]},{"group_id":"W031-01","layers":[0,3,0,5]},{"group_id":"W031-03","layers":[8,5]},{"group_id":"W031-03","layers":[8,12]},{"group_id":"W031-01","layers":[3,0,5,0]},{"group_id":"W031-06","layers":[]}],"stock":[],"demand_sequences":[[5,8,6,0,12,8,3,6],[4,12,2,2,5,4,0,3]]}</ns0:v>
      </ns0:c>
      <ns0:c r="R162" s="149" t="n">
        <ns0:f>E162*H162</ns0:f>
        <ns0:v>0</ns0:v>
      </ns0:c>
    </ns0:row>
    <ns0:row r="163" ht="21" customHeight="1">
      <ns0:c r="A163" s="150" t="n">
        <ns0:v>31</ns0:v>
      </ns0:c>
      <ns0:c r="B163" s="147" t="str">
        <ns0:v>开局</ns0:v>
      </ns0:c>
      <ns0:c r="C163" s="147" t="str">
        <ns0:v>W031-02</ns0:v>
      </ns0:c>
      <ns0:c r="D163" s="147" t="str">
        <ns0:v>普通盒</ns0:v>
      </ns0:c>
      <ns0:c r="E163" s="152" t="n">
        <ns0:v>2</ns0:v>
      </ns0:c>
      <ns0:c r="F163" s="152" t="n">
        <ns0:v>4</ns0:v>
      </ns0:c>
      <ns0:c r="G163" s="152" t="n">
        <ns0:v>3</ns0:v>
      </ns0:c>
      <ns0:c r="H163" s="152" t="n">
        <ns0:v>0</ns0:v>
      </ns0:c>
      <ns0:c r="I163" s="150" t="n">
        <ns0:f>E163*G163</ns0:f>
        <ns0:v>6</ns0:v>
      </ns0:c>
      <ns0:c r="J163" s="150" t="n">
        <ns0:f>E163*(F163-G163)</ns0:f>
        <ns0:v>2</ns0:v>
      </ns0:c>
      <ns0:c r="K163" s="150" t="n">
        <ns0:f>IF(AND(B163="开局",G163=0,OR(D163="普通盒",D163="单颗暂存盒")),J163,0)</ns0:f>
        <ns0:v>0</ns0:v>
      </ns0:c>
      <ns0:c r="L163" s="150" t="n">
        <ns0:f>IF(AND(B163="开局",G163&gt;0,OR(D163="普通盒",D163="底部置顶盒",D163="炸弹盒")),J163,0)</ns0:f>
        <ns0:v>2</ns0:v>
      </ns0:c>
      <ns0:c r="M163" s="150" t="n">
        <ns0:f>IF(AND(B163="开局",OR(D163="固定颜色盒",D163="单向收纳盒")),J163,0)</ns0:f>
        <ns0:v>0</ns0:v>
      </ns0:c>
      <ns0:c r="N163" s="150" t="n">
        <ns0:f>IF(AND(B163="开局",OR(D163="数字盖盒",D163="普通冰冻盒",D163="数字冰冻盒",D163="数字冰冻单颗暂存盒")),J163,0)</ns0:f>
        <ns0:v>0</ns0:v>
      </ns0:c>
      <ns0:c r="O163" s="147" t="str">
        <ns0:f>IF(AND(E163&gt;0,E163=INT(E163),G163&gt;=0,G163&lt;=F163,G163=INT(G163),OR(AND(F163=1,OR(D163="单颗暂存盒",D163="数字冰冻单颗暂存盒")),AND(F163=4,NOT(OR(D163="单颗暂存盒",D163="数字冰冻单颗暂存盒")))),IF(OR(D163="数字盖盒",D163="数字冰冻盒",D163="数字冰冻单颗暂存盒"),AND(H163&gt;=1,H163=INT(H163)),H163=0),IF(B163="开局",AND(IF(OR(D163="数字盖盒",D163="普通冰冻盒",D163="数字冰冻盒",D163="炸弹盒",D163="底部置顶盒"),OR(G163=3,G163=4),TRUE),IF(OR(D163="单向收纳盒",D163="单颗暂存盒",D163="数字冰冻单颗暂存盒"),OR(G163=0,G163=1),TRUE),IF(OR(D163="固定颜色盒",D163="广告锁定周转盒"),G163=0,TRUE)),TRUE)),"通过","需调整")</ns0:f>
        <ns0:v>通过</ns0:v>
      </ns0:c>
      <ns0:c r="P163" s="147" t="str">
        <ns0:v>零空盒阶梯解冻</ns0:v>
      </ns0:c>
      <ns0:c r="Q163" s="147" t="str">
        <ns0:v>按本关首组层序JSON复现；不独立随机生成</ns0:v>
      </ns0:c>
      <ns0:c r="R163" s="150" t="n">
        <ns0:f>E163*H163</ns0:f>
        <ns0:v>0</ns0:v>
      </ns0:c>
    </ns0:row>
    <ns0:row r="164" ht="21" customHeight="1">
      <ns0:c r="A164" s="149" t="n">
        <ns0:v>31</ns0:v>
      </ns0:c>
      <ns0:c r="B164" s="145" t="str">
        <ns0:v>开局</ns0:v>
      </ns0:c>
      <ns0:c r="C164" s="145" t="str">
        <ns0:v>W031-03</ns0:v>
      </ns0:c>
      <ns0:c r="D164" s="145" t="str">
        <ns0:v>普通盒</ns0:v>
      </ns0:c>
      <ns0:c r="E164" s="152" t="n">
        <ns0:v>3</ns0:v>
      </ns0:c>
      <ns0:c r="F164" s="152" t="n">
        <ns0:v>4</ns0:v>
      </ns0:c>
      <ns0:c r="G164" s="152" t="n">
        <ns0:v>2</ns0:v>
      </ns0:c>
      <ns0:c r="H164" s="152" t="n">
        <ns0:v>0</ns0:v>
      </ns0:c>
      <ns0:c r="I164" s="149" t="n">
        <ns0:f>E164*G164</ns0:f>
        <ns0:v>6</ns0:v>
      </ns0:c>
      <ns0:c r="J164" s="149" t="n">
        <ns0:f>E164*(F164-G164)</ns0:f>
        <ns0:v>6</ns0:v>
      </ns0:c>
      <ns0:c r="K164" s="149" t="n">
        <ns0:f>IF(AND(B164="开局",G164=0,OR(D164="普通盒",D164="单颗暂存盒")),J164,0)</ns0:f>
        <ns0:v>0</ns0:v>
      </ns0:c>
      <ns0:c r="L164" s="149" t="n">
        <ns0:f>IF(AND(B164="开局",G164&gt;0,OR(D164="普通盒",D164="底部置顶盒",D164="炸弹盒")),J164,0)</ns0:f>
        <ns0:v>6</ns0:v>
      </ns0:c>
      <ns0:c r="M164" s="149" t="n">
        <ns0:f>IF(AND(B164="开局",OR(D164="固定颜色盒",D164="单向收纳盒")),J164,0)</ns0:f>
        <ns0:v>0</ns0:v>
      </ns0:c>
      <ns0:c r="N164" s="149" t="n">
        <ns0:f>IF(AND(B164="开局",OR(D164="数字盖盒",D164="普通冰冻盒",D164="数字冰冻盒",D164="数字冰冻单颗暂存盒")),J164,0)</ns0:f>
        <ns0:v>0</ns0:v>
      </ns0:c>
      <ns0:c r="O164" s="145" t="str">
        <ns0:f>IF(AND(E164&gt;0,E164=INT(E164),G164&gt;=0,G164&lt;=F164,G164=INT(G164),OR(AND(F164=1,OR(D164="单颗暂存盒",D164="数字冰冻单颗暂存盒")),AND(F164=4,NOT(OR(D164="单颗暂存盒",D164="数字冰冻单颗暂存盒")))),IF(OR(D164="数字盖盒",D164="数字冰冻盒",D164="数字冰冻单颗暂存盒"),AND(H164&gt;=1,H164=INT(H164)),H164=0),IF(B164="开局",AND(IF(OR(D164="数字盖盒",D164="普通冰冻盒",D164="数字冰冻盒",D164="炸弹盒",D164="底部置顶盒"),OR(G164=3,G164=4),TRUE),IF(OR(D164="单向收纳盒",D164="单颗暂存盒",D164="数字冰冻单颗暂存盒"),OR(G164=0,G164=1),TRUE),IF(OR(D164="固定颜色盒",D164="广告锁定周转盒"),G164=0,TRUE)),TRUE)),"通过","需调整")</ns0:f>
        <ns0:v>通过</ns0:v>
      </ns0:c>
      <ns0:c r="P164" s="145" t="str">
        <ns0:v>零空盒阶梯解冻</ns0:v>
      </ns0:c>
      <ns0:c r="Q164" s="145" t="str">
        <ns0:v>按本关首组层序JSON复现；不独立随机生成</ns0:v>
      </ns0:c>
      <ns0:c r="R164" s="149" t="n">
        <ns0:f>E164*H164</ns0:f>
        <ns0:v>0</ns0:v>
      </ns0:c>
    </ns0:row>
    <ns0:row r="165" ht="21" customHeight="1">
      <ns0:c r="A165" s="150" t="n">
        <ns0:v>31</ns0:v>
      </ns0:c>
      <ns0:c r="B165" s="147" t="str">
        <ns0:v>开局</ns0:v>
      </ns0:c>
      <ns0:c r="C165" s="147" t="str">
        <ns0:v>W031-04</ns0:v>
      </ns0:c>
      <ns0:c r="D165" s="147" t="str">
        <ns0:v>数字冰冻盒</ns0:v>
      </ns0:c>
      <ns0:c r="E165" s="152" t="n">
        <ns0:v>1</ns0:v>
      </ns0:c>
      <ns0:c r="F165" s="152" t="n">
        <ns0:v>4</ns0:v>
      </ns0:c>
      <ns0:c r="G165" s="152" t="n">
        <ns0:v>4</ns0:v>
      </ns0:c>
      <ns0:c r="H165" s="152" t="n">
        <ns0:v>2</ns0:v>
      </ns0:c>
      <ns0:c r="I165" s="150" t="n">
        <ns0:f>E165*G165</ns0:f>
        <ns0:v>4</ns0:v>
      </ns0:c>
      <ns0:c r="J165" s="150" t="n">
        <ns0:f>E165*(F165-G165)</ns0:f>
        <ns0:v>0</ns0:v>
      </ns0:c>
      <ns0:c r="K165" s="150" t="n">
        <ns0:f>IF(AND(B165="开局",G165=0,OR(D165="普通盒",D165="单颗暂存盒")),J165,0)</ns0:f>
        <ns0:v>0</ns0:v>
      </ns0:c>
      <ns0:c r="L165" s="150" t="n">
        <ns0:f>IF(AND(B165="开局",G165&gt;0,OR(D165="普通盒",D165="底部置顶盒",D165="炸弹盒")),J165,0)</ns0:f>
        <ns0:v>0</ns0:v>
      </ns0:c>
      <ns0:c r="M165" s="150" t="n">
        <ns0:f>IF(AND(B165="开局",OR(D165="固定颜色盒",D165="单向收纳盒")),J165,0)</ns0:f>
        <ns0:v>0</ns0:v>
      </ns0:c>
      <ns0:c r="N165" s="150" t="n">
        <ns0:f>IF(AND(B165="开局",OR(D165="数字盖盒",D165="普通冰冻盒",D165="数字冰冻盒",D165="数字冰冻单颗暂存盒")),J165,0)</ns0:f>
        <ns0:v>0</ns0:v>
      </ns0:c>
      <ns0:c r="O165" s="147" t="str">
        <ns0:f>IF(AND(E165&gt;0,E165=INT(E165),G165&gt;=0,G165&lt;=F165,G165=INT(G165),OR(AND(F165=1,OR(D165="单颗暂存盒",D165="数字冰冻单颗暂存盒")),AND(F165=4,NOT(OR(D165="单颗暂存盒",D165="数字冰冻单颗暂存盒")))),IF(OR(D165="数字盖盒",D165="数字冰冻盒",D165="数字冰冻单颗暂存盒"),AND(H165&gt;=1,H165=INT(H165)),H165=0),IF(B165="开局",AND(IF(OR(D165="数字盖盒",D165="普通冰冻盒",D165="数字冰冻盒",D165="炸弹盒",D165="底部置顶盒"),OR(G165=3,G165=4),TRUE),IF(OR(D165="单向收纳盒",D165="单颗暂存盒",D165="数字冰冻单颗暂存盒"),OR(G165=0,G165=1),TRUE),IF(OR(D165="固定颜色盒",D165="广告锁定周转盒"),G165=0,TRUE)),TRUE)),"通过","需调整")</ns0:f>
        <ns0:v>通过</ns0:v>
      </ns0:c>
      <ns0:c r="P165" s="147" t="str">
        <ns0:v>零空盒阶梯解冻</ns0:v>
      </ns0:c>
      <ns0:c r="Q165" s="147" t="str">
        <ns0:v>按本关首组层序JSON复现；不独立随机生成</ns0:v>
      </ns0:c>
      <ns0:c r="R165" s="150" t="n">
        <ns0:f>E165*H165</ns0:f>
        <ns0:v>2</ns0:v>
      </ns0:c>
    </ns0:row>
    <ns0:row r="166" ht="21" customHeight="1">
      <ns0:c r="A166" s="149" t="n">
        <ns0:v>31</ns0:v>
      </ns0:c>
      <ns0:c r="B166" s="145" t="str">
        <ns0:v>开局</ns0:v>
      </ns0:c>
      <ns0:c r="C166" s="145" t="str">
        <ns0:v>W031-05</ns0:v>
      </ns0:c>
      <ns0:c r="D166" s="145" t="str">
        <ns0:v>数字冰冻盒</ns0:v>
      </ns0:c>
      <ns0:c r="E166" s="152" t="n">
        <ns0:v>1</ns0:v>
      </ns0:c>
      <ns0:c r="F166" s="152" t="n">
        <ns0:v>4</ns0:v>
      </ns0:c>
      <ns0:c r="G166" s="152" t="n">
        <ns0:v>4</ns0:v>
      </ns0:c>
      <ns0:c r="H166" s="152" t="n">
        <ns0:v>1</ns0:v>
      </ns0:c>
      <ns0:c r="I166" s="149" t="n">
        <ns0:f>E166*G166</ns0:f>
        <ns0:v>4</ns0:v>
      </ns0:c>
      <ns0:c r="J166" s="149" t="n">
        <ns0:f>E166*(F166-G166)</ns0:f>
        <ns0:v>0</ns0:v>
      </ns0:c>
      <ns0:c r="K166" s="149" t="n">
        <ns0:f>IF(AND(B166="开局",G166=0,OR(D166="普通盒",D166="单颗暂存盒")),J166,0)</ns0:f>
        <ns0:v>0</ns0:v>
      </ns0:c>
      <ns0:c r="L166" s="149" t="n">
        <ns0:f>IF(AND(B166="开局",G166&gt;0,OR(D166="普通盒",D166="底部置顶盒",D166="炸弹盒")),J166,0)</ns0:f>
        <ns0:v>0</ns0:v>
      </ns0:c>
      <ns0:c r="M166" s="149" t="n">
        <ns0:f>IF(AND(B166="开局",OR(D166="固定颜色盒",D166="单向收纳盒")),J166,0)</ns0:f>
        <ns0:v>0</ns0:v>
      </ns0:c>
      <ns0:c r="N166" s="149" t="n">
        <ns0:f>IF(AND(B166="开局",OR(D166="数字盖盒",D166="普通冰冻盒",D166="数字冰冻盒",D166="数字冰冻单颗暂存盒")),J166,0)</ns0:f>
        <ns0:v>0</ns0:v>
      </ns0:c>
      <ns0:c r="O166" s="145" t="str">
        <ns0:f>IF(AND(E166&gt;0,E166=INT(E166),G166&gt;=0,G166&lt;=F166,G166=INT(G166),OR(AND(F166=1,OR(D166="单颗暂存盒",D166="数字冰冻单颗暂存盒")),AND(F166=4,NOT(OR(D166="单颗暂存盒",D166="数字冰冻单颗暂存盒")))),IF(OR(D166="数字盖盒",D166="数字冰冻盒",D166="数字冰冻单颗暂存盒"),AND(H166&gt;=1,H166=INT(H166)),H166=0),IF(B166="开局",AND(IF(OR(D166="数字盖盒",D166="普通冰冻盒",D166="数字冰冻盒",D166="炸弹盒",D166="底部置顶盒"),OR(G166=3,G166=4),TRUE),IF(OR(D166="单向收纳盒",D166="单颗暂存盒",D166="数字冰冻单颗暂存盒"),OR(G166=0,G166=1),TRUE),IF(OR(D166="固定颜色盒",D166="广告锁定周转盒"),G166=0,TRUE)),TRUE)),"通过","需调整")</ns0:f>
        <ns0:v>通过</ns0:v>
      </ns0:c>
      <ns0:c r="P166" s="145" t="str">
        <ns0:v>零空盒阶梯解冻</ns0:v>
      </ns0:c>
      <ns0:c r="Q166" s="145" t="str">
        <ns0:v>按本关首组层序JSON复现；不独立随机生成</ns0:v>
      </ns0:c>
      <ns0:c r="R166" s="149" t="n">
        <ns0:f>E166*H166</ns0:f>
        <ns0:v>1</ns0:v>
      </ns0:c>
    </ns0:row>
    <ns0:row r="167" ht="21" customHeight="1">
      <ns0:c r="A167" s="150" t="n">
        <ns0:v>31</ns0:v>
      </ns0:c>
      <ns0:c r="B167" s="147" t="str">
        <ns0:v>开局</ns0:v>
      </ns0:c>
      <ns0:c r="C167" s="147" t="str">
        <ns0:v>W031-06</ns0:v>
      </ns0:c>
      <ns0:c r="D167" s="147" t="str">
        <ns0:v>单颗暂存盒</ns0:v>
      </ns0:c>
      <ns0:c r="E167" s="152" t="n">
        <ns0:v>1</ns0:v>
      </ns0:c>
      <ns0:c r="F167" s="152" t="n">
        <ns0:v>1</ns0:v>
      </ns0:c>
      <ns0:c r="G167" s="152" t="n">
        <ns0:v>0</ns0:v>
      </ns0:c>
      <ns0:c r="H167" s="152" t="n">
        <ns0:v>0</ns0:v>
      </ns0:c>
      <ns0:c r="I167" s="150" t="n">
        <ns0:f>E167*G167</ns0:f>
        <ns0:v>0</ns0:v>
      </ns0:c>
      <ns0:c r="J167" s="150" t="n">
        <ns0:f>E167*(F167-G167)</ns0:f>
        <ns0:v>1</ns0:v>
      </ns0:c>
      <ns0:c r="K167" s="150" t="n">
        <ns0:f>IF(AND(B167="开局",G167=0,OR(D167="普通盒",D167="单颗暂存盒")),J167,0)</ns0:f>
        <ns0:v>1</ns0:v>
      </ns0:c>
      <ns0:c r="L167" s="150" t="n">
        <ns0:f>IF(AND(B167="开局",G167&gt;0,OR(D167="普通盒",D167="底部置顶盒",D167="炸弹盒")),J167,0)</ns0:f>
        <ns0:v>0</ns0:v>
      </ns0:c>
      <ns0:c r="M167" s="150" t="n">
        <ns0:f>IF(AND(B167="开局",OR(D167="固定颜色盒",D167="单向收纳盒")),J167,0)</ns0:f>
        <ns0:v>0</ns0:v>
      </ns0:c>
      <ns0:c r="N167" s="150" t="n">
        <ns0:f>IF(AND(B167="开局",OR(D167="数字盖盒",D167="普通冰冻盒",D167="数字冰冻盒",D167="数字冰冻单颗暂存盒")),J167,0)</ns0:f>
        <ns0:v>0</ns0:v>
      </ns0:c>
      <ns0:c r="O167" s="147" t="str">
        <ns0:f>IF(AND(E167&gt;0,E167=INT(E167),G167&gt;=0,G167&lt;=F167,G167=INT(G167),OR(AND(F167=1,OR(D167="单颗暂存盒",D167="数字冰冻单颗暂存盒")),AND(F167=4,NOT(OR(D167="单颗暂存盒",D167="数字冰冻单颗暂存盒")))),IF(OR(D167="数字盖盒",D167="数字冰冻盒",D167="数字冰冻单颗暂存盒"),AND(H167&gt;=1,H167=INT(H167)),H167=0),IF(B167="开局",AND(IF(OR(D167="数字盖盒",D167="普通冰冻盒",D167="数字冰冻盒",D167="炸弹盒",D167="底部置顶盒"),OR(G167=3,G167=4),TRUE),IF(OR(D167="单向收纳盒",D167="单颗暂存盒",D167="数字冰冻单颗暂存盒"),OR(G167=0,G167=1),TRUE),IF(OR(D167="固定颜色盒",D167="广告锁定周转盒"),G167=0,TRUE)),TRUE)),"通过","需调整")</ns0:f>
        <ns0:v>通过</ns0:v>
      </ns0:c>
      <ns0:c r="P167" s="147" t="str">
        <ns0:v>零空盒阶梯解冻</ns0:v>
      </ns0:c>
      <ns0:c r="Q167" s="147" t="str">
        <ns0:v>按本关首组层序JSON复现；不独立随机生成</ns0:v>
      </ns0:c>
      <ns0:c r="R167" s="150" t="n">
        <ns0:f>E167*H167</ns0:f>
        <ns0:v>0</ns0:v>
      </ns0:c>
    </ns0:row>
    <ns0:row r="168" ht="21" customHeight="1">
      <ns0:c r="A168" s="149" t="n">
        <ns0:v>31</ns0:v>
      </ns0:c>
      <ns0:c r="B168" s="145" t="str">
        <ns0:v>开局</ns0:v>
      </ns0:c>
      <ns0:c r="C168" s="145" t="str">
        <ns0:v>W031-07</ns0:v>
      </ns0:c>
      <ns0:c r="D168" s="145" t="str">
        <ns0:v>广告锁定周转盒</ns0:v>
      </ns0:c>
      <ns0:c r="E168" s="152" t="n">
        <ns0:v>2</ns0:v>
      </ns0:c>
      <ns0:c r="F168" s="152" t="n">
        <ns0:v>4</ns0:v>
      </ns0:c>
      <ns0:c r="G168" s="152" t="n">
        <ns0:v>0</ns0:v>
      </ns0:c>
      <ns0:c r="H168" s="152" t="n">
        <ns0:v>0</ns0:v>
      </ns0:c>
      <ns0:c r="I168" s="149" t="n">
        <ns0:f>E168*G168</ns0:f>
        <ns0:v>0</ns0:v>
      </ns0:c>
      <ns0:c r="J168" s="149" t="n">
        <ns0:f>E168*(F168-G168)</ns0:f>
        <ns0:v>8</ns0:v>
      </ns0:c>
      <ns0:c r="K168" s="149" t="n">
        <ns0:f>IF(AND(B168="开局",G168=0,OR(D168="普通盒",D168="单颗暂存盒")),J168,0)</ns0:f>
        <ns0:v>0</ns0:v>
      </ns0:c>
      <ns0:c r="L168" s="149" t="n">
        <ns0:f>IF(AND(B168="开局",G168&gt;0,OR(D168="普通盒",D168="底部置顶盒",D168="炸弹盒")),J168,0)</ns0:f>
        <ns0:v>0</ns0:v>
      </ns0:c>
      <ns0:c r="M168" s="149" t="n">
        <ns0:f>IF(AND(B168="开局",OR(D168="固定颜色盒",D168="单向收纳盒")),J168,0)</ns0:f>
        <ns0:v>0</ns0:v>
      </ns0:c>
      <ns0:c r="N168" s="149" t="n">
        <ns0:f>IF(AND(B168="开局",OR(D168="数字盖盒",D168="普通冰冻盒",D168="数字冰冻盒",D168="数字冰冻单颗暂存盒")),J168,0)</ns0:f>
        <ns0:v>0</ns0:v>
      </ns0:c>
      <ns0:c r="O168" s="145" t="str">
        <ns0:f>IF(AND(E168&gt;0,E168=INT(E168),G168&gt;=0,G168&lt;=F168,G168=INT(G168),OR(AND(F168=1,OR(D168="单颗暂存盒",D168="数字冰冻单颗暂存盒")),AND(F168=4,NOT(OR(D168="单颗暂存盒",D168="数字冰冻单颗暂存盒")))),IF(OR(D168="数字盖盒",D168="数字冰冻盒",D168="数字冰冻单颗暂存盒"),AND(H168&gt;=1,H168=INT(H168)),H168=0),IF(B168="开局",AND(IF(OR(D168="数字盖盒",D168="普通冰冻盒",D168="数字冰冻盒",D168="炸弹盒",D168="底部置顶盒"),OR(G168=3,G168=4),TRUE),IF(OR(D168="单向收纳盒",D168="单颗暂存盒",D168="数字冰冻单颗暂存盒"),OR(G168=0,G168=1),TRUE),IF(OR(D168="固定颜色盒",D168="广告锁定周转盒"),G168=0,TRUE)),TRUE)),"通过","需调整")</ns0:f>
        <ns0:v>通过</ns0:v>
      </ns0:c>
      <ns0:c r="P168" s="145" t="str">
        <ns0:v>零空盒阶梯解冻</ns0:v>
      </ns0:c>
      <ns0:c r="Q168" s="145" t="str">
        <ns0:v>按本关首组层序JSON复现；不独立随机生成</ns0:v>
      </ns0:c>
      <ns0:c r="R168" s="149" t="n">
        <ns0:f>E168*H168</ns0:f>
        <ns0:v>0</ns0:v>
      </ns0:c>
    </ns0:row>
    <ns0:row r="169" ht="21" customHeight="1">
      <ns0:c r="A169" s="150" t="n">
        <ns0:v>32</ns0:v>
      </ns0:c>
      <ns0:c r="B169" s="147" t="str">
        <ns0:v>开局</ns0:v>
      </ns0:c>
      <ns0:c r="C169" s="147" t="str">
        <ns0:v>W032-01</ns0:v>
      </ns0:c>
      <ns0:c r="D169" s="147" t="str">
        <ns0:v>普通盒</ns0:v>
      </ns0:c>
      <ns0:c r="E169" s="152" t="n">
        <ns0:v>13</ns0:v>
      </ns0:c>
      <ns0:c r="F169" s="152" t="n">
        <ns0:v>4</ns0:v>
      </ns0:c>
      <ns0:c r="G169" s="152" t="n">
        <ns0:v>4</ns0:v>
      </ns0:c>
      <ns0:c r="H169" s="152" t="n">
        <ns0:v>0</ns0:v>
      </ns0:c>
      <ns0:c r="I169" s="150" t="n">
        <ns0:f>E169*G169</ns0:f>
        <ns0:v>52</ns0:v>
      </ns0:c>
      <ns0:c r="J169" s="150" t="n">
        <ns0:f>E169*(F169-G169)</ns0:f>
        <ns0:v>0</ns0:v>
      </ns0:c>
      <ns0:c r="K169" s="150" t="n">
        <ns0:f>IF(AND(B169="开局",G169=0,OR(D169="普通盒",D169="单颗暂存盒")),J169,0)</ns0:f>
        <ns0:v>0</ns0:v>
      </ns0:c>
      <ns0:c r="L169" s="150" t="n">
        <ns0:f>IF(AND(B169="开局",G169&gt;0,OR(D169="普通盒",D169="底部置顶盒",D169="炸弹盒")),J169,0)</ns0:f>
        <ns0:v>0</ns0:v>
      </ns0:c>
      <ns0:c r="M169" s="150" t="n">
        <ns0:f>IF(AND(B169="开局",OR(D169="固定颜色盒",D169="单向收纳盒")),J169,0)</ns0:f>
        <ns0:v>0</ns0:v>
      </ns0:c>
      <ns0:c r="N169" s="150" t="n">
        <ns0:f>IF(AND(B169="开局",OR(D169="数字盖盒",D169="普通冰冻盒",D169="数字冰冻盒",D169="数字冰冻单颗暂存盒")),J169,0)</ns0:f>
        <ns0:v>0</ns0:v>
      </ns0:c>
      <ns0:c r="O169" s="147" t="str">
        <ns0:f>IF(AND(E169&gt;0,E169=INT(E169),G169&gt;=0,G169&lt;=F169,G169=INT(G169),OR(AND(F169=1,OR(D169="单颗暂存盒",D169="数字冰冻单颗暂存盒")),AND(F169=4,NOT(OR(D169="单颗暂存盒",D169="数字冰冻单颗暂存盒")))),IF(OR(D169="数字盖盒",D169="数字冰冻盒",D169="数字冰冻单颗暂存盒"),AND(H169&gt;=1,H169=INT(H169)),H169=0),IF(B169="开局",AND(IF(OR(D169="数字盖盒",D169="普通冰冻盒",D169="数字冰冻盒",D169="炸弹盒",D169="底部置顶盒"),OR(G169=3,G169=4),TRUE),IF(OR(D169="单向收纳盒",D169="单颗暂存盒",D169="数字冰冻单颗暂存盒"),OR(G169=0,G169=1),TRUE),IF(OR(D169="固定颜色盒",D169="广告锁定周转盒"),G169=0,TRUE)),TRUE)),"通过","需调整")</ns0:f>
        <ns0:v>通过</ns0:v>
      </ns0:c>
      <ns0:c r="P169" s="147" t="str">
        <ns0:v>七味回落</ns0:v>
      </ns0:c>
      <ns0:c r="Q169" s="147" t="str">
        <ns0:v>层序JSON:{"reference":"已确认的31–40关续接方案；第32关：七味回落；固定层序与订单，非参考小游戏逐关复刻","slots":[{"group_id":"W032-01","layers":[2,5,2,0]},{"group_id":"W032-05","layers":[5,0,3,8]},{"group_id":"W032-01","layers":[6,4,3,5]},{"group_id":"W032-03","layers":[5]},{"group_id":"W032-01","layers":[5,4,8,6]},{"group_id":"W032-01","layers":[0,3,0,6]},{"group_id":"W032-01","layers":[3,8,2,4]},{"group_id":"W032-01","layers":[0,4,0,5]},{"group_id":"W032-01","layers":[8,3,3,0]},{"group_id":"W032-01","layers":[8,0,2,4]},{"group_id":"W032-02","layers":[8,0,2]},{"group_id":"W032-01","layers":[0,6,0,6]},{"group_id":"W032-01","layers":[4,4,2,8]},{"group_id":"W032-01","layers":[6,2,6,5]},{"group_id":"W032-01","layers":[0,6,5,3]},{"group_id":"W032-01","layers":[2,8,4,3]},{"group_id":"W032-04","layers":[]}],"stock":[],"demand_sequences":[[8,3,3,0,6,2,5,4],[2,5,4,0,8,6,0]]}</ns0:v>
      </ns0:c>
      <ns0:c r="R169" s="150" t="n">
        <ns0:f>E169*H169</ns0:f>
        <ns0:v>0</ns0:v>
      </ns0:c>
    </ns0:row>
    <ns0:row r="170" ht="21" customHeight="1">
      <ns0:c r="A170" s="149" t="n">
        <ns0:v>32</ns0:v>
      </ns0:c>
      <ns0:c r="B170" s="145" t="str">
        <ns0:v>开局</ns0:v>
      </ns0:c>
      <ns0:c r="C170" s="145" t="str">
        <ns0:v>W032-02</ns0:v>
      </ns0:c>
      <ns0:c r="D170" s="145" t="str">
        <ns0:v>普通盒</ns0:v>
      </ns0:c>
      <ns0:c r="E170" s="152" t="n">
        <ns0:v>1</ns0:v>
      </ns0:c>
      <ns0:c r="F170" s="152" t="n">
        <ns0:v>4</ns0:v>
      </ns0:c>
      <ns0:c r="G170" s="152" t="n">
        <ns0:v>3</ns0:v>
      </ns0:c>
      <ns0:c r="H170" s="152" t="n">
        <ns0:v>0</ns0:v>
      </ns0:c>
      <ns0:c r="I170" s="149" t="n">
        <ns0:f>E170*G170</ns0:f>
        <ns0:v>3</ns0:v>
      </ns0:c>
      <ns0:c r="J170" s="149" t="n">
        <ns0:f>E170*(F170-G170)</ns0:f>
        <ns0:v>1</ns0:v>
      </ns0:c>
      <ns0:c r="K170" s="149" t="n">
        <ns0:f>IF(AND(B170="开局",G170=0,OR(D170="普通盒",D170="单颗暂存盒")),J170,0)</ns0:f>
        <ns0:v>0</ns0:v>
      </ns0:c>
      <ns0:c r="L170" s="149" t="n">
        <ns0:f>IF(AND(B170="开局",G170&gt;0,OR(D170="普通盒",D170="底部置顶盒",D170="炸弹盒")),J170,0)</ns0:f>
        <ns0:v>1</ns0:v>
      </ns0:c>
      <ns0:c r="M170" s="149" t="n">
        <ns0:f>IF(AND(B170="开局",OR(D170="固定颜色盒",D170="单向收纳盒")),J170,0)</ns0:f>
        <ns0:v>0</ns0:v>
      </ns0:c>
      <ns0:c r="N170" s="149" t="n">
        <ns0:f>IF(AND(B170="开局",OR(D170="数字盖盒",D170="普通冰冻盒",D170="数字冰冻盒",D170="数字冰冻单颗暂存盒")),J170,0)</ns0:f>
        <ns0:v>0</ns0:v>
      </ns0:c>
      <ns0:c r="O170" s="145" t="str">
        <ns0:f>IF(AND(E170&gt;0,E170=INT(E170),G170&gt;=0,G170&lt;=F170,G170=INT(G170),OR(AND(F170=1,OR(D170="单颗暂存盒",D170="数字冰冻单颗暂存盒")),AND(F170=4,NOT(OR(D170="单颗暂存盒",D170="数字冰冻单颗暂存盒")))),IF(OR(D170="数字盖盒",D170="数字冰冻盒",D170="数字冰冻单颗暂存盒"),AND(H170&gt;=1,H170=INT(H170)),H170=0),IF(B170="开局",AND(IF(OR(D170="数字盖盒",D170="普通冰冻盒",D170="数字冰冻盒",D170="炸弹盒",D170="底部置顶盒"),OR(G170=3,G170=4),TRUE),IF(OR(D170="单向收纳盒",D170="单颗暂存盒",D170="数字冰冻单颗暂存盒"),OR(G170=0,G170=1),TRUE),IF(OR(D170="固定颜色盒",D170="广告锁定周转盒"),G170=0,TRUE)),TRUE)),"通过","需调整")</ns0:f>
        <ns0:v>通过</ns0:v>
      </ns0:c>
      <ns0:c r="P170" s="145" t="str">
        <ns0:v>七味回落</ns0:v>
      </ns0:c>
      <ns0:c r="Q170" s="145" t="str">
        <ns0:v>按本关首组层序JSON复现；不独立随机生成</ns0:v>
      </ns0:c>
      <ns0:c r="R170" s="149" t="n">
        <ns0:f>E170*H170</ns0:f>
        <ns0:v>0</ns0:v>
      </ns0:c>
    </ns0:row>
    <ns0:row r="171" ht="21" customHeight="1">
      <ns0:c r="A171" s="150" t="n">
        <ns0:v>32</ns0:v>
      </ns0:c>
      <ns0:c r="B171" s="147" t="str">
        <ns0:v>开局</ns0:v>
      </ns0:c>
      <ns0:c r="C171" s="147" t="str">
        <ns0:v>W032-03</ns0:v>
      </ns0:c>
      <ns0:c r="D171" s="147" t="str">
        <ns0:v>普通盒</ns0:v>
      </ns0:c>
      <ns0:c r="E171" s="152" t="n">
        <ns0:v>1</ns0:v>
      </ns0:c>
      <ns0:c r="F171" s="152" t="n">
        <ns0:v>4</ns0:v>
      </ns0:c>
      <ns0:c r="G171" s="152" t="n">
        <ns0:v>1</ns0:v>
      </ns0:c>
      <ns0:c r="H171" s="152" t="n">
        <ns0:v>0</ns0:v>
      </ns0:c>
      <ns0:c r="I171" s="150" t="n">
        <ns0:f>E171*G171</ns0:f>
        <ns0:v>1</ns0:v>
      </ns0:c>
      <ns0:c r="J171" s="150" t="n">
        <ns0:f>E171*(F171-G171)</ns0:f>
        <ns0:v>3</ns0:v>
      </ns0:c>
      <ns0:c r="K171" s="150" t="n">
        <ns0:f>IF(AND(B171="开局",G171=0,OR(D171="普通盒",D171="单颗暂存盒")),J171,0)</ns0:f>
        <ns0:v>0</ns0:v>
      </ns0:c>
      <ns0:c r="L171" s="150" t="n">
        <ns0:f>IF(AND(B171="开局",G171&gt;0,OR(D171="普通盒",D171="底部置顶盒",D171="炸弹盒")),J171,0)</ns0:f>
        <ns0:v>3</ns0:v>
      </ns0:c>
      <ns0:c r="M171" s="150" t="n">
        <ns0:f>IF(AND(B171="开局",OR(D171="固定颜色盒",D171="单向收纳盒")),J171,0)</ns0:f>
        <ns0:v>0</ns0:v>
      </ns0:c>
      <ns0:c r="N171" s="150" t="n">
        <ns0:f>IF(AND(B171="开局",OR(D171="数字盖盒",D171="普通冰冻盒",D171="数字冰冻盒",D171="数字冰冻单颗暂存盒")),J171,0)</ns0:f>
        <ns0:v>0</ns0:v>
      </ns0:c>
      <ns0:c r="O171" s="147" t="str">
        <ns0:f>IF(AND(E171&gt;0,E171=INT(E171),G171&gt;=0,G171&lt;=F171,G171=INT(G171),OR(AND(F171=1,OR(D171="单颗暂存盒",D171="数字冰冻单颗暂存盒")),AND(F171=4,NOT(OR(D171="单颗暂存盒",D171="数字冰冻单颗暂存盒")))),IF(OR(D171="数字盖盒",D171="数字冰冻盒",D171="数字冰冻单颗暂存盒"),AND(H171&gt;=1,H171=INT(H171)),H171=0),IF(B171="开局",AND(IF(OR(D171="数字盖盒",D171="普通冰冻盒",D171="数字冰冻盒",D171="炸弹盒",D171="底部置顶盒"),OR(G171=3,G171=4),TRUE),IF(OR(D171="单向收纳盒",D171="单颗暂存盒",D171="数字冰冻单颗暂存盒"),OR(G171=0,G171=1),TRUE),IF(OR(D171="固定颜色盒",D171="广告锁定周转盒"),G171=0,TRUE)),TRUE)),"通过","需调整")</ns0:f>
        <ns0:v>通过</ns0:v>
      </ns0:c>
      <ns0:c r="P171" s="147" t="str">
        <ns0:v>七味回落</ns0:v>
      </ns0:c>
      <ns0:c r="Q171" s="147" t="str">
        <ns0:v>按本关首组层序JSON复现；不独立随机生成</ns0:v>
      </ns0:c>
      <ns0:c r="R171" s="150" t="n">
        <ns0:f>E171*H171</ns0:f>
        <ns0:v>0</ns0:v>
      </ns0:c>
    </ns0:row>
    <ns0:row r="172" ht="21" customHeight="1">
      <ns0:c r="A172" s="149" t="n">
        <ns0:v>32</ns0:v>
      </ns0:c>
      <ns0:c r="B172" s="145" t="str">
        <ns0:v>开局</ns0:v>
      </ns0:c>
      <ns0:c r="C172" s="145" t="str">
        <ns0:v>W032-04</ns0:v>
      </ns0:c>
      <ns0:c r="D172" s="145" t="str">
        <ns0:v>普通盒</ns0:v>
      </ns0:c>
      <ns0:c r="E172" s="152" t="n">
        <ns0:v>1</ns0:v>
      </ns0:c>
      <ns0:c r="F172" s="152" t="n">
        <ns0:v>4</ns0:v>
      </ns0:c>
      <ns0:c r="G172" s="152" t="n">
        <ns0:v>0</ns0:v>
      </ns0:c>
      <ns0:c r="H172" s="152" t="n">
        <ns0:v>0</ns0:v>
      </ns0:c>
      <ns0:c r="I172" s="149" t="n">
        <ns0:f>E172*G172</ns0:f>
        <ns0:v>0</ns0:v>
      </ns0:c>
      <ns0:c r="J172" s="149" t="n">
        <ns0:f>E172*(F172-G172)</ns0:f>
        <ns0:v>4</ns0:v>
      </ns0:c>
      <ns0:c r="K172" s="149" t="n">
        <ns0:f>IF(AND(B172="开局",G172=0,OR(D172="普通盒",D172="单颗暂存盒")),J172,0)</ns0:f>
        <ns0:v>4</ns0:v>
      </ns0:c>
      <ns0:c r="L172" s="149" t="n">
        <ns0:f>IF(AND(B172="开局",G172&gt;0,OR(D172="普通盒",D172="底部置顶盒",D172="炸弹盒")),J172,0)</ns0:f>
        <ns0:v>0</ns0:v>
      </ns0:c>
      <ns0:c r="M172" s="149" t="n">
        <ns0:f>IF(AND(B172="开局",OR(D172="固定颜色盒",D172="单向收纳盒")),J172,0)</ns0:f>
        <ns0:v>0</ns0:v>
      </ns0:c>
      <ns0:c r="N172" s="149" t="n">
        <ns0:f>IF(AND(B172="开局",OR(D172="数字盖盒",D172="普通冰冻盒",D172="数字冰冻盒",D172="数字冰冻单颗暂存盒")),J172,0)</ns0:f>
        <ns0:v>0</ns0:v>
      </ns0:c>
      <ns0:c r="O172" s="145" t="str">
        <ns0:f>IF(AND(E172&gt;0,E172=INT(E172),G172&gt;=0,G172&lt;=F172,G172=INT(G172),OR(AND(F172=1,OR(D172="单颗暂存盒",D172="数字冰冻单颗暂存盒")),AND(F172=4,NOT(OR(D172="单颗暂存盒",D172="数字冰冻单颗暂存盒")))),IF(OR(D172="数字盖盒",D172="数字冰冻盒",D172="数字冰冻单颗暂存盒"),AND(H172&gt;=1,H172=INT(H172)),H172=0),IF(B172="开局",AND(IF(OR(D172="数字盖盒",D172="普通冰冻盒",D172="数字冰冻盒",D172="炸弹盒",D172="底部置顶盒"),OR(G172=3,G172=4),TRUE),IF(OR(D172="单向收纳盒",D172="单颗暂存盒",D172="数字冰冻单颗暂存盒"),OR(G172=0,G172=1),TRUE),IF(OR(D172="固定颜色盒",D172="广告锁定周转盒"),G172=0,TRUE)),TRUE)),"通过","需调整")</ns0:f>
        <ns0:v>通过</ns0:v>
      </ns0:c>
      <ns0:c r="P172" s="145" t="str">
        <ns0:v>七味回落</ns0:v>
      </ns0:c>
      <ns0:c r="Q172" s="145" t="str">
        <ns0:v>按本关首组层序JSON复现；不独立随机生成</ns0:v>
      </ns0:c>
      <ns0:c r="R172" s="149" t="n">
        <ns0:f>E172*H172</ns0:f>
        <ns0:v>0</ns0:v>
      </ns0:c>
    </ns0:row>
    <ns0:row r="173" ht="21" customHeight="1">
      <ns0:c r="A173" s="150" t="n">
        <ns0:v>32</ns0:v>
      </ns0:c>
      <ns0:c r="B173" s="147" t="str">
        <ns0:v>开局</ns0:v>
      </ns0:c>
      <ns0:c r="C173" s="147" t="str">
        <ns0:v>W032-05</ns0:v>
      </ns0:c>
      <ns0:c r="D173" s="147" t="str">
        <ns0:v>数字冰冻盒</ns0:v>
      </ns0:c>
      <ns0:c r="E173" s="152" t="n">
        <ns0:v>1</ns0:v>
      </ns0:c>
      <ns0:c r="F173" s="152" t="n">
        <ns0:v>4</ns0:v>
      </ns0:c>
      <ns0:c r="G173" s="152" t="n">
        <ns0:v>4</ns0:v>
      </ns0:c>
      <ns0:c r="H173" s="152" t="n">
        <ns0:v>1</ns0:v>
      </ns0:c>
      <ns0:c r="I173" s="150" t="n">
        <ns0:f>E173*G173</ns0:f>
        <ns0:v>4</ns0:v>
      </ns0:c>
      <ns0:c r="J173" s="150" t="n">
        <ns0:f>E173*(F173-G173)</ns0:f>
        <ns0:v>0</ns0:v>
      </ns0:c>
      <ns0:c r="K173" s="150" t="n">
        <ns0:f>IF(AND(B173="开局",G173=0,OR(D173="普通盒",D173="单颗暂存盒")),J173,0)</ns0:f>
        <ns0:v>0</ns0:v>
      </ns0:c>
      <ns0:c r="L173" s="150" t="n">
        <ns0:f>IF(AND(B173="开局",G173&gt;0,OR(D173="普通盒",D173="底部置顶盒",D173="炸弹盒")),J173,0)</ns0:f>
        <ns0:v>0</ns0:v>
      </ns0:c>
      <ns0:c r="M173" s="150" t="n">
        <ns0:f>IF(AND(B173="开局",OR(D173="固定颜色盒",D173="单向收纳盒")),J173,0)</ns0:f>
        <ns0:v>0</ns0:v>
      </ns0:c>
      <ns0:c r="N173" s="150" t="n">
        <ns0:f>IF(AND(B173="开局",OR(D173="数字盖盒",D173="普通冰冻盒",D173="数字冰冻盒",D173="数字冰冻单颗暂存盒")),J173,0)</ns0:f>
        <ns0:v>0</ns0:v>
      </ns0:c>
      <ns0:c r="O173" s="147" t="str">
        <ns0:f>IF(AND(E173&gt;0,E173=INT(E173),G173&gt;=0,G173&lt;=F173,G173=INT(G173),OR(AND(F173=1,OR(D173="单颗暂存盒",D173="数字冰冻单颗暂存盒")),AND(F173=4,NOT(OR(D173="单颗暂存盒",D173="数字冰冻单颗暂存盒")))),IF(OR(D173="数字盖盒",D173="数字冰冻盒",D173="数字冰冻单颗暂存盒"),AND(H173&gt;=1,H173=INT(H173)),H173=0),IF(B173="开局",AND(IF(OR(D173="数字盖盒",D173="普通冰冻盒",D173="数字冰冻盒",D173="炸弹盒",D173="底部置顶盒"),OR(G173=3,G173=4),TRUE),IF(OR(D173="单向收纳盒",D173="单颗暂存盒",D173="数字冰冻单颗暂存盒"),OR(G173=0,G173=1),TRUE),IF(OR(D173="固定颜色盒",D173="广告锁定周转盒"),G173=0,TRUE)),TRUE)),"通过","需调整")</ns0:f>
        <ns0:v>通过</ns0:v>
      </ns0:c>
      <ns0:c r="P173" s="147" t="str">
        <ns0:v>七味回落</ns0:v>
      </ns0:c>
      <ns0:c r="Q173" s="147" t="str">
        <ns0:v>按本关首组层序JSON复现；不独立随机生成</ns0:v>
      </ns0:c>
      <ns0:c r="R173" s="150" t="n">
        <ns0:f>E173*H173</ns0:f>
        <ns0:v>1</ns0:v>
      </ns0:c>
    </ns0:row>
    <ns0:row r="174" ht="21" customHeight="1">
      <ns0:c r="A174" s="149" t="n">
        <ns0:v>32</ns0:v>
      </ns0:c>
      <ns0:c r="B174" s="145" t="str">
        <ns0:v>开局</ns0:v>
      </ns0:c>
      <ns0:c r="C174" s="145" t="str">
        <ns0:v>W032-06</ns0:v>
      </ns0:c>
      <ns0:c r="D174" s="145" t="str">
        <ns0:v>广告锁定周转盒</ns0:v>
      </ns0:c>
      <ns0:c r="E174" s="152" t="n">
        <ns0:v>2</ns0:v>
      </ns0:c>
      <ns0:c r="F174" s="152" t="n">
        <ns0:v>4</ns0:v>
      </ns0:c>
      <ns0:c r="G174" s="152" t="n">
        <ns0:v>0</ns0:v>
      </ns0:c>
      <ns0:c r="H174" s="152" t="n">
        <ns0:v>0</ns0:v>
      </ns0:c>
      <ns0:c r="I174" s="149" t="n">
        <ns0:f>E174*G174</ns0:f>
        <ns0:v>0</ns0:v>
      </ns0:c>
      <ns0:c r="J174" s="149" t="n">
        <ns0:f>E174*(F174-G174)</ns0:f>
        <ns0:v>8</ns0:v>
      </ns0:c>
      <ns0:c r="K174" s="149" t="n">
        <ns0:f>IF(AND(B174="开局",G174=0,OR(D174="普通盒",D174="单颗暂存盒")),J174,0)</ns0:f>
        <ns0:v>0</ns0:v>
      </ns0:c>
      <ns0:c r="L174" s="149" t="n">
        <ns0:f>IF(AND(B174="开局",G174&gt;0,OR(D174="普通盒",D174="底部置顶盒",D174="炸弹盒")),J174,0)</ns0:f>
        <ns0:v>0</ns0:v>
      </ns0:c>
      <ns0:c r="M174" s="149" t="n">
        <ns0:f>IF(AND(B174="开局",OR(D174="固定颜色盒",D174="单向收纳盒")),J174,0)</ns0:f>
        <ns0:v>0</ns0:v>
      </ns0:c>
      <ns0:c r="N174" s="149" t="n">
        <ns0:f>IF(AND(B174="开局",OR(D174="数字盖盒",D174="普通冰冻盒",D174="数字冰冻盒",D174="数字冰冻单颗暂存盒")),J174,0)</ns0:f>
        <ns0:v>0</ns0:v>
      </ns0:c>
      <ns0:c r="O174" s="145" t="str">
        <ns0:f>IF(AND(E174&gt;0,E174=INT(E174),G174&gt;=0,G174&lt;=F174,G174=INT(G174),OR(AND(F174=1,OR(D174="单颗暂存盒",D174="数字冰冻单颗暂存盒")),AND(F174=4,NOT(OR(D174="单颗暂存盒",D174="数字冰冻单颗暂存盒")))),IF(OR(D174="数字盖盒",D174="数字冰冻盒",D174="数字冰冻单颗暂存盒"),AND(H174&gt;=1,H174=INT(H174)),H174=0),IF(B174="开局",AND(IF(OR(D174="数字盖盒",D174="普通冰冻盒",D174="数字冰冻盒",D174="炸弹盒",D174="底部置顶盒"),OR(G174=3,G174=4),TRUE),IF(OR(D174="单向收纳盒",D174="单颗暂存盒",D174="数字冰冻单颗暂存盒"),OR(G174=0,G174=1),TRUE),IF(OR(D174="固定颜色盒",D174="广告锁定周转盒"),G174=0,TRUE)),TRUE)),"通过","需调整")</ns0:f>
        <ns0:v>通过</ns0:v>
      </ns0:c>
      <ns0:c r="P174" s="145" t="str">
        <ns0:v>七味回落</ns0:v>
      </ns0:c>
      <ns0:c r="Q174" s="145" t="str">
        <ns0:v>按本关首组层序JSON复现；不独立随机生成</ns0:v>
      </ns0:c>
      <ns0:c r="R174" s="149" t="n">
        <ns0:f>E174*H174</ns0:f>
        <ns0:v>0</ns0:v>
      </ns0:c>
    </ns0:row>
    <ns0:row r="175" ht="21" customHeight="1">
      <ns0:c r="A175" s="150" t="n">
        <ns0:v>33</ns0:v>
      </ns0:c>
      <ns0:c r="B175" s="147" t="str">
        <ns0:v>开局</ns0:v>
      </ns0:c>
      <ns0:c r="C175" s="147" t="str">
        <ns0:v>W033-01</ns0:v>
      </ns0:c>
      <ns0:c r="D175" s="147" t="str">
        <ns0:v>普通盒</ns0:v>
      </ns0:c>
      <ns0:c r="E175" s="152" t="n">
        <ns0:v>13</ns0:v>
      </ns0:c>
      <ns0:c r="F175" s="152" t="n">
        <ns0:v>4</ns0:v>
      </ns0:c>
      <ns0:c r="G175" s="152" t="n">
        <ns0:v>4</ns0:v>
      </ns0:c>
      <ns0:c r="H175" s="152" t="n">
        <ns0:v>0</ns0:v>
      </ns0:c>
      <ns0:c r="I175" s="150" t="n">
        <ns0:f>E175*G175</ns0:f>
        <ns0:v>52</ns0:v>
      </ns0:c>
      <ns0:c r="J175" s="150" t="n">
        <ns0:f>E175*(F175-G175)</ns0:f>
        <ns0:v>0</ns0:v>
      </ns0:c>
      <ns0:c r="K175" s="150" t="n">
        <ns0:f>IF(AND(B175="开局",G175=0,OR(D175="普通盒",D175="单颗暂存盒")),J175,0)</ns0:f>
        <ns0:v>0</ns0:v>
      </ns0:c>
      <ns0:c r="L175" s="150" t="n">
        <ns0:f>IF(AND(B175="开局",G175&gt;0,OR(D175="普通盒",D175="底部置顶盒",D175="炸弹盒")),J175,0)</ns0:f>
        <ns0:v>0</ns0:v>
      </ns0:c>
      <ns0:c r="M175" s="150" t="n">
        <ns0:f>IF(AND(B175="开局",OR(D175="固定颜色盒",D175="单向收纳盒")),J175,0)</ns0:f>
        <ns0:v>0</ns0:v>
      </ns0:c>
      <ns0:c r="N175" s="150" t="n">
        <ns0:f>IF(AND(B175="开局",OR(D175="数字盖盒",D175="普通冰冻盒",D175="数字冰冻盒",D175="数字冰冻单颗暂存盒")),J175,0)</ns0:f>
        <ns0:v>0</ns0:v>
      </ns0:c>
      <ns0:c r="O175" s="147" t="str">
        <ns0:f>IF(AND(E175&gt;0,E175=INT(E175),G175&gt;=0,G175&lt;=F175,G175=INT(G175),OR(AND(F175=1,OR(D175="单颗暂存盒",D175="数字冰冻单颗暂存盒")),AND(F175=4,NOT(OR(D175="单颗暂存盒",D175="数字冰冻单颗暂存盒")))),IF(OR(D175="数字盖盒",D175="数字冰冻盒",D175="数字冰冻单颗暂存盒"),AND(H175&gt;=1,H175=INT(H175)),H175=0),IF(B175="开局",AND(IF(OR(D175="数字盖盒",D175="普通冰冻盒",D175="数字冰冻盒",D175="炸弹盒",D175="底部置顶盒"),OR(G175=3,G175=4),TRUE),IF(OR(D175="单向收纳盒",D175="单颗暂存盒",D175="数字冰冻单颗暂存盒"),OR(G175=0,G175=1),TRUE),IF(OR(D175="固定颜色盒",D175="广告锁定周转盒"),G175=0,TRUE)),TRUE)),"通过","需调整")</ns0:f>
        <ns0:v>通过</ns0:v>
      </ns0:c>
      <ns0:c r="P175" s="147" t="str">
        <ns0:v>隐藏与顺序解冻</ns0:v>
      </ns0:c>
      <ns0:c r="Q175" s="147" t="str">
        <ns0:v>层序JSON:{"reference":"已确认的31–40关续接方案；第33关：隐藏与顺序解冻；固定层序与订单，非参考小游戏逐关复刻","slots":[{"group_id":"W033-05","layers":[8,0,3,12]},{"group_id":"W033-01","layers":[0,6,8,8]},{"group_id":"W033-02","layers":[2,2,4]},{"group_id":"W033-01","layers":[0,2,5,2]},{"group_id":"W033-01","layers":[5,0,4,0]},{"group_id":"W033-01","layers":[6,5,5,12]},{"group_id":"W033-01","layers":[0,6,4,12]},{"group_id":"W033-01","layers":[4,5,3,6]},{"group_id":"W033-01","layers":[8,5,0,12]},{"group_id":"W033-01","layers":[5,5,8,0]},{"group_id":"W033-02","layers":[4,12,3]},{"group_id":"W033-01","layers":[12,0,4,0]},{"group_id":"W033-01","layers":[2,6,2,3]},{"group_id":"W033-01","layers":[4,0,6,8]},{"group_id":"W033-05","layers":[12,6,2,3]},{"group_id":"W033-01","layers":[4,8,3,8]},{"group_id":"W033-03","layers":[12,3]},{"group_id":"W033-01","layers":[3,0,6,2],"hidden":[1,2,3]},{"group_id":"W033-04","layers":[]}],"stock":[],"demand_sequences":[[5,4,8,6,5,3,8,2,0],[0,2,6,12,0,3,12,4]]}</ns0:v>
      </ns0:c>
      <ns0:c r="R175" s="150" t="n">
        <ns0:f>E175*H175</ns0:f>
        <ns0:v>0</ns0:v>
      </ns0:c>
    </ns0:row>
    <ns0:row r="176" ht="21" customHeight="1">
      <ns0:c r="A176" s="149" t="n">
        <ns0:v>33</ns0:v>
      </ns0:c>
      <ns0:c r="B176" s="145" t="str">
        <ns0:v>开局</ns0:v>
      </ns0:c>
      <ns0:c r="C176" s="145" t="str">
        <ns0:v>W033-02</ns0:v>
      </ns0:c>
      <ns0:c r="D176" s="145" t="str">
        <ns0:v>普通盒</ns0:v>
      </ns0:c>
      <ns0:c r="E176" s="152" t="n">
        <ns0:v>2</ns0:v>
      </ns0:c>
      <ns0:c r="F176" s="152" t="n">
        <ns0:v>4</ns0:v>
      </ns0:c>
      <ns0:c r="G176" s="152" t="n">
        <ns0:v>3</ns0:v>
      </ns0:c>
      <ns0:c r="H176" s="152" t="n">
        <ns0:v>0</ns0:v>
      </ns0:c>
      <ns0:c r="I176" s="149" t="n">
        <ns0:f>E176*G176</ns0:f>
        <ns0:v>6</ns0:v>
      </ns0:c>
      <ns0:c r="J176" s="149" t="n">
        <ns0:f>E176*(F176-G176)</ns0:f>
        <ns0:v>2</ns0:v>
      </ns0:c>
      <ns0:c r="K176" s="149" t="n">
        <ns0:f>IF(AND(B176="开局",G176=0,OR(D176="普通盒",D176="单颗暂存盒")),J176,0)</ns0:f>
        <ns0:v>0</ns0:v>
      </ns0:c>
      <ns0:c r="L176" s="149" t="n">
        <ns0:f>IF(AND(B176="开局",G176&gt;0,OR(D176="普通盒",D176="底部置顶盒",D176="炸弹盒")),J176,0)</ns0:f>
        <ns0:v>2</ns0:v>
      </ns0:c>
      <ns0:c r="M176" s="149" t="n">
        <ns0:f>IF(AND(B176="开局",OR(D176="固定颜色盒",D176="单向收纳盒")),J176,0)</ns0:f>
        <ns0:v>0</ns0:v>
      </ns0:c>
      <ns0:c r="N176" s="149" t="n">
        <ns0:f>IF(AND(B176="开局",OR(D176="数字盖盒",D176="普通冰冻盒",D176="数字冰冻盒",D176="数字冰冻单颗暂存盒")),J176,0)</ns0:f>
        <ns0:v>0</ns0:v>
      </ns0:c>
      <ns0:c r="O176" s="145" t="str">
        <ns0:f>IF(AND(E176&gt;0,E176=INT(E176),G176&gt;=0,G176&lt;=F176,G176=INT(G176),OR(AND(F176=1,OR(D176="单颗暂存盒",D176="数字冰冻单颗暂存盒")),AND(F176=4,NOT(OR(D176="单颗暂存盒",D176="数字冰冻单颗暂存盒")))),IF(OR(D176="数字盖盒",D176="数字冰冻盒",D176="数字冰冻单颗暂存盒"),AND(H176&gt;=1,H176=INT(H176)),H176=0),IF(B176="开局",AND(IF(OR(D176="数字盖盒",D176="普通冰冻盒",D176="数字冰冻盒",D176="炸弹盒",D176="底部置顶盒"),OR(G176=3,G176=4),TRUE),IF(OR(D176="单向收纳盒",D176="单颗暂存盒",D176="数字冰冻单颗暂存盒"),OR(G176=0,G176=1),TRUE),IF(OR(D176="固定颜色盒",D176="广告锁定周转盒"),G176=0,TRUE)),TRUE)),"通过","需调整")</ns0:f>
        <ns0:v>通过</ns0:v>
      </ns0:c>
      <ns0:c r="P176" s="145" t="str">
        <ns0:v>隐藏与顺序解冻</ns0:v>
      </ns0:c>
      <ns0:c r="Q176" s="145" t="str">
        <ns0:v>按本关首组层序JSON复现；不独立随机生成</ns0:v>
      </ns0:c>
      <ns0:c r="R176" s="149" t="n">
        <ns0:f>E176*H176</ns0:f>
        <ns0:v>0</ns0:v>
      </ns0:c>
    </ns0:row>
    <ns0:row r="177" ht="21" customHeight="1">
      <ns0:c r="A177" s="150" t="n">
        <ns0:v>33</ns0:v>
      </ns0:c>
      <ns0:c r="B177" s="147" t="str">
        <ns0:v>开局</ns0:v>
      </ns0:c>
      <ns0:c r="C177" s="147" t="str">
        <ns0:v>W033-03</ns0:v>
      </ns0:c>
      <ns0:c r="D177" s="147" t="str">
        <ns0:v>普通盒</ns0:v>
      </ns0:c>
      <ns0:c r="E177" s="152" t="n">
        <ns0:v>1</ns0:v>
      </ns0:c>
      <ns0:c r="F177" s="152" t="n">
        <ns0:v>4</ns0:v>
      </ns0:c>
      <ns0:c r="G177" s="152" t="n">
        <ns0:v>2</ns0:v>
      </ns0:c>
      <ns0:c r="H177" s="152" t="n">
        <ns0:v>0</ns0:v>
      </ns0:c>
      <ns0:c r="I177" s="150" t="n">
        <ns0:f>E177*G177</ns0:f>
        <ns0:v>2</ns0:v>
      </ns0:c>
      <ns0:c r="J177" s="150" t="n">
        <ns0:f>E177*(F177-G177)</ns0:f>
        <ns0:v>2</ns0:v>
      </ns0:c>
      <ns0:c r="K177" s="150" t="n">
        <ns0:f>IF(AND(B177="开局",G177=0,OR(D177="普通盒",D177="单颗暂存盒")),J177,0)</ns0:f>
        <ns0:v>0</ns0:v>
      </ns0:c>
      <ns0:c r="L177" s="150" t="n">
        <ns0:f>IF(AND(B177="开局",G177&gt;0,OR(D177="普通盒",D177="底部置顶盒",D177="炸弹盒")),J177,0)</ns0:f>
        <ns0:v>2</ns0:v>
      </ns0:c>
      <ns0:c r="M177" s="150" t="n">
        <ns0:f>IF(AND(B177="开局",OR(D177="固定颜色盒",D177="单向收纳盒")),J177,0)</ns0:f>
        <ns0:v>0</ns0:v>
      </ns0:c>
      <ns0:c r="N177" s="150" t="n">
        <ns0:f>IF(AND(B177="开局",OR(D177="数字盖盒",D177="普通冰冻盒",D177="数字冰冻盒",D177="数字冰冻单颗暂存盒")),J177,0)</ns0:f>
        <ns0:v>0</ns0:v>
      </ns0:c>
      <ns0:c r="O177" s="147" t="str">
        <ns0:f>IF(AND(E177&gt;0,E177=INT(E177),G177&gt;=0,G177&lt;=F177,G177=INT(G177),OR(AND(F177=1,OR(D177="单颗暂存盒",D177="数字冰冻单颗暂存盒")),AND(F177=4,NOT(OR(D177="单颗暂存盒",D177="数字冰冻单颗暂存盒")))),IF(OR(D177="数字盖盒",D177="数字冰冻盒",D177="数字冰冻单颗暂存盒"),AND(H177&gt;=1,H177=INT(H177)),H177=0),IF(B177="开局",AND(IF(OR(D177="数字盖盒",D177="普通冰冻盒",D177="数字冰冻盒",D177="炸弹盒",D177="底部置顶盒"),OR(G177=3,G177=4),TRUE),IF(OR(D177="单向收纳盒",D177="单颗暂存盒",D177="数字冰冻单颗暂存盒"),OR(G177=0,G177=1),TRUE),IF(OR(D177="固定颜色盒",D177="广告锁定周转盒"),G177=0,TRUE)),TRUE)),"通过","需调整")</ns0:f>
        <ns0:v>通过</ns0:v>
      </ns0:c>
      <ns0:c r="P177" s="147" t="str">
        <ns0:v>隐藏与顺序解冻</ns0:v>
      </ns0:c>
      <ns0:c r="Q177" s="147" t="str">
        <ns0:v>按本关首组层序JSON复现；不独立随机生成</ns0:v>
      </ns0:c>
      <ns0:c r="R177" s="150" t="n">
        <ns0:f>E177*H177</ns0:f>
        <ns0:v>0</ns0:v>
      </ns0:c>
    </ns0:row>
    <ns0:row r="178" ht="21" customHeight="1">
      <ns0:c r="A178" s="149" t="n">
        <ns0:v>33</ns0:v>
      </ns0:c>
      <ns0:c r="B178" s="145" t="str">
        <ns0:v>开局</ns0:v>
      </ns0:c>
      <ns0:c r="C178" s="145" t="str">
        <ns0:v>W033-04</ns0:v>
      </ns0:c>
      <ns0:c r="D178" s="145" t="str">
        <ns0:v>普通盒</ns0:v>
      </ns0:c>
      <ns0:c r="E178" s="152" t="n">
        <ns0:v>1</ns0:v>
      </ns0:c>
      <ns0:c r="F178" s="152" t="n">
        <ns0:v>4</ns0:v>
      </ns0:c>
      <ns0:c r="G178" s="152" t="n">
        <ns0:v>0</ns0:v>
      </ns0:c>
      <ns0:c r="H178" s="152" t="n">
        <ns0:v>0</ns0:v>
      </ns0:c>
      <ns0:c r="I178" s="149" t="n">
        <ns0:f>E178*G178</ns0:f>
        <ns0:v>0</ns0:v>
      </ns0:c>
      <ns0:c r="J178" s="149" t="n">
        <ns0:f>E178*(F178-G178)</ns0:f>
        <ns0:v>4</ns0:v>
      </ns0:c>
      <ns0:c r="K178" s="149" t="n">
        <ns0:f>IF(AND(B178="开局",G178=0,OR(D178="普通盒",D178="单颗暂存盒")),J178,0)</ns0:f>
        <ns0:v>4</ns0:v>
      </ns0:c>
      <ns0:c r="L178" s="149" t="n">
        <ns0:f>IF(AND(B178="开局",G178&gt;0,OR(D178="普通盒",D178="底部置顶盒",D178="炸弹盒")),J178,0)</ns0:f>
        <ns0:v>0</ns0:v>
      </ns0:c>
      <ns0:c r="M178" s="149" t="n">
        <ns0:f>IF(AND(B178="开局",OR(D178="固定颜色盒",D178="单向收纳盒")),J178,0)</ns0:f>
        <ns0:v>0</ns0:v>
      </ns0:c>
      <ns0:c r="N178" s="149" t="n">
        <ns0:f>IF(AND(B178="开局",OR(D178="数字盖盒",D178="普通冰冻盒",D178="数字冰冻盒",D178="数字冰冻单颗暂存盒")),J178,0)</ns0:f>
        <ns0:v>0</ns0:v>
      </ns0:c>
      <ns0:c r="O178" s="145" t="str">
        <ns0:f>IF(AND(E178&gt;0,E178=INT(E178),G178&gt;=0,G178&lt;=F178,G178=INT(G178),OR(AND(F178=1,OR(D178="单颗暂存盒",D178="数字冰冻单颗暂存盒")),AND(F178=4,NOT(OR(D178="单颗暂存盒",D178="数字冰冻单颗暂存盒")))),IF(OR(D178="数字盖盒",D178="数字冰冻盒",D178="数字冰冻单颗暂存盒"),AND(H178&gt;=1,H178=INT(H178)),H178=0),IF(B178="开局",AND(IF(OR(D178="数字盖盒",D178="普通冰冻盒",D178="数字冰冻盒",D178="炸弹盒",D178="底部置顶盒"),OR(G178=3,G178=4),TRUE),IF(OR(D178="单向收纳盒",D178="单颗暂存盒",D178="数字冰冻单颗暂存盒"),OR(G178=0,G178=1),TRUE),IF(OR(D178="固定颜色盒",D178="广告锁定周转盒"),G178=0,TRUE)),TRUE)),"通过","需调整")</ns0:f>
        <ns0:v>通过</ns0:v>
      </ns0:c>
      <ns0:c r="P178" s="145" t="str">
        <ns0:v>隐藏与顺序解冻</ns0:v>
      </ns0:c>
      <ns0:c r="Q178" s="145" t="str">
        <ns0:v>按本关首组层序JSON复现；不独立随机生成</ns0:v>
      </ns0:c>
      <ns0:c r="R178" s="149" t="n">
        <ns0:f>E178*H178</ns0:f>
        <ns0:v>0</ns0:v>
      </ns0:c>
    </ns0:row>
    <ns0:row r="179" ht="21" customHeight="1">
      <ns0:c r="A179" s="150" t="n">
        <ns0:v>33</ns0:v>
      </ns0:c>
      <ns0:c r="B179" s="147" t="str">
        <ns0:v>开局</ns0:v>
      </ns0:c>
      <ns0:c r="C179" s="147" t="str">
        <ns0:v>W033-05</ns0:v>
      </ns0:c>
      <ns0:c r="D179" s="147" t="str">
        <ns0:v>数字冰冻盒</ns0:v>
      </ns0:c>
      <ns0:c r="E179" s="152" t="n">
        <ns0:v>2</ns0:v>
      </ns0:c>
      <ns0:c r="F179" s="152" t="n">
        <ns0:v>4</ns0:v>
      </ns0:c>
      <ns0:c r="G179" s="152" t="n">
        <ns0:v>4</ns0:v>
      </ns0:c>
      <ns0:c r="H179" s="152" t="n">
        <ns0:v>1</ns0:v>
      </ns0:c>
      <ns0:c r="I179" s="150" t="n">
        <ns0:f>E179*G179</ns0:f>
        <ns0:v>8</ns0:v>
      </ns0:c>
      <ns0:c r="J179" s="150" t="n">
        <ns0:f>E179*(F179-G179)</ns0:f>
        <ns0:v>0</ns0:v>
      </ns0:c>
      <ns0:c r="K179" s="150" t="n">
        <ns0:f>IF(AND(B179="开局",G179=0,OR(D179="普通盒",D179="单颗暂存盒")),J179,0)</ns0:f>
        <ns0:v>0</ns0:v>
      </ns0:c>
      <ns0:c r="L179" s="150" t="n">
        <ns0:f>IF(AND(B179="开局",G179&gt;0,OR(D179="普通盒",D179="底部置顶盒",D179="炸弹盒")),J179,0)</ns0:f>
        <ns0:v>0</ns0:v>
      </ns0:c>
      <ns0:c r="M179" s="150" t="n">
        <ns0:f>IF(AND(B179="开局",OR(D179="固定颜色盒",D179="单向收纳盒")),J179,0)</ns0:f>
        <ns0:v>0</ns0:v>
      </ns0:c>
      <ns0:c r="N179" s="150" t="n">
        <ns0:f>IF(AND(B179="开局",OR(D179="数字盖盒",D179="普通冰冻盒",D179="数字冰冻盒",D179="数字冰冻单颗暂存盒")),J179,0)</ns0:f>
        <ns0:v>0</ns0:v>
      </ns0:c>
      <ns0:c r="O179" s="147" t="str">
        <ns0:f>IF(AND(E179&gt;0,E179=INT(E179),G179&gt;=0,G179&lt;=F179,G179=INT(G179),OR(AND(F179=1,OR(D179="单颗暂存盒",D179="数字冰冻单颗暂存盒")),AND(F179=4,NOT(OR(D179="单颗暂存盒",D179="数字冰冻单颗暂存盒")))),IF(OR(D179="数字盖盒",D179="数字冰冻盒",D179="数字冰冻单颗暂存盒"),AND(H179&gt;=1,H179=INT(H179)),H179=0),IF(B179="开局",AND(IF(OR(D179="数字盖盒",D179="普通冰冻盒",D179="数字冰冻盒",D179="炸弹盒",D179="底部置顶盒"),OR(G179=3,G179=4),TRUE),IF(OR(D179="单向收纳盒",D179="单颗暂存盒",D179="数字冰冻单颗暂存盒"),OR(G179=0,G179=1),TRUE),IF(OR(D179="固定颜色盒",D179="广告锁定周转盒"),G179=0,TRUE)),TRUE)),"通过","需调整")</ns0:f>
        <ns0:v>通过</ns0:v>
      </ns0:c>
      <ns0:c r="P179" s="147" t="str">
        <ns0:v>隐藏与顺序解冻</ns0:v>
      </ns0:c>
      <ns0:c r="Q179" s="147" t="str">
        <ns0:v>按本关首组层序JSON复现；不独立随机生成</ns0:v>
      </ns0:c>
      <ns0:c r="R179" s="150" t="n">
        <ns0:f>E179*H179</ns0:f>
        <ns0:v>2</ns0:v>
      </ns0:c>
    </ns0:row>
    <ns0:row r="180" ht="21" customHeight="1">
      <ns0:c r="A180" s="149" t="n">
        <ns0:v>33</ns0:v>
      </ns0:c>
      <ns0:c r="B180" s="145" t="str">
        <ns0:v>开局</ns0:v>
      </ns0:c>
      <ns0:c r="C180" s="145" t="str">
        <ns0:v>W033-06</ns0:v>
      </ns0:c>
      <ns0:c r="D180" s="145" t="str">
        <ns0:v>广告锁定周转盒</ns0:v>
      </ns0:c>
      <ns0:c r="E180" s="152" t="n">
        <ns0:v>2</ns0:v>
      </ns0:c>
      <ns0:c r="F180" s="152" t="n">
        <ns0:v>4</ns0:v>
      </ns0:c>
      <ns0:c r="G180" s="152" t="n">
        <ns0:v>0</ns0:v>
      </ns0:c>
      <ns0:c r="H180" s="152" t="n">
        <ns0:v>0</ns0:v>
      </ns0:c>
      <ns0:c r="I180" s="149" t="n">
        <ns0:f>E180*G180</ns0:f>
        <ns0:v>0</ns0:v>
      </ns0:c>
      <ns0:c r="J180" s="149" t="n">
        <ns0:f>E180*(F180-G180)</ns0:f>
        <ns0:v>8</ns0:v>
      </ns0:c>
      <ns0:c r="K180" s="149" t="n">
        <ns0:f>IF(AND(B180="开局",G180=0,OR(D180="普通盒",D180="单颗暂存盒")),J180,0)</ns0:f>
        <ns0:v>0</ns0:v>
      </ns0:c>
      <ns0:c r="L180" s="149" t="n">
        <ns0:f>IF(AND(B180="开局",G180&gt;0,OR(D180="普通盒",D180="底部置顶盒",D180="炸弹盒")),J180,0)</ns0:f>
        <ns0:v>0</ns0:v>
      </ns0:c>
      <ns0:c r="M180" s="149" t="n">
        <ns0:f>IF(AND(B180="开局",OR(D180="固定颜色盒",D180="单向收纳盒")),J180,0)</ns0:f>
        <ns0:v>0</ns0:v>
      </ns0:c>
      <ns0:c r="N180" s="149" t="n">
        <ns0:f>IF(AND(B180="开局",OR(D180="数字盖盒",D180="普通冰冻盒",D180="数字冰冻盒",D180="数字冰冻单颗暂存盒")),J180,0)</ns0:f>
        <ns0:v>0</ns0:v>
      </ns0:c>
      <ns0:c r="O180" s="145" t="str">
        <ns0:f>IF(AND(E180&gt;0,E180=INT(E180),G180&gt;=0,G180&lt;=F180,G180=INT(G180),OR(AND(F180=1,OR(D180="单颗暂存盒",D180="数字冰冻单颗暂存盒")),AND(F180=4,NOT(OR(D180="单颗暂存盒",D180="数字冰冻单颗暂存盒")))),IF(OR(D180="数字盖盒",D180="数字冰冻盒",D180="数字冰冻单颗暂存盒"),AND(H180&gt;=1,H180=INT(H180)),H180=0),IF(B180="开局",AND(IF(OR(D180="数字盖盒",D180="普通冰冻盒",D180="数字冰冻盒",D180="炸弹盒",D180="底部置顶盒"),OR(G180=3,G180=4),TRUE),IF(OR(D180="单向收纳盒",D180="单颗暂存盒",D180="数字冰冻单颗暂存盒"),OR(G180=0,G180=1),TRUE),IF(OR(D180="固定颜色盒",D180="广告锁定周转盒"),G180=0,TRUE)),TRUE)),"通过","需调整")</ns0:f>
        <ns0:v>通过</ns0:v>
      </ns0:c>
      <ns0:c r="P180" s="145" t="str">
        <ns0:v>隐藏与顺序解冻</ns0:v>
      </ns0:c>
      <ns0:c r="Q180" s="145" t="str">
        <ns0:v>按本关首组层序JSON复现；不独立随机生成</ns0:v>
      </ns0:c>
      <ns0:c r="R180" s="149" t="n">
        <ns0:f>E180*H180</ns0:f>
        <ns0:v>0</ns0:v>
      </ns0:c>
    </ns0:row>
    <ns0:row r="181" ht="21" customHeight="1">
      <ns0:c r="A181" s="150" t="n">
        <ns0:v>34</ns0:v>
      </ns0:c>
      <ns0:c r="B181" s="147" t="str">
        <ns0:v>开局</ns0:v>
      </ns0:c>
      <ns0:c r="C181" s="147" t="str">
        <ns0:v>W034-01</ns0:v>
      </ns0:c>
      <ns0:c r="D181" s="147" t="str">
        <ns0:v>普通盒</ns0:v>
      </ns0:c>
      <ns0:c r="E181" s="152" t="n">
        <ns0:v>13</ns0:v>
      </ns0:c>
      <ns0:c r="F181" s="152" t="n">
        <ns0:v>4</ns0:v>
      </ns0:c>
      <ns0:c r="G181" s="152" t="n">
        <ns0:v>4</ns0:v>
      </ns0:c>
      <ns0:c r="H181" s="152" t="n">
        <ns0:v>0</ns0:v>
      </ns0:c>
      <ns0:c r="I181" s="150" t="n">
        <ns0:f>E181*G181</ns0:f>
        <ns0:v>52</ns0:v>
      </ns0:c>
      <ns0:c r="J181" s="150" t="n">
        <ns0:f>E181*(F181-G181)</ns0:f>
        <ns0:v>0</ns0:v>
      </ns0:c>
      <ns0:c r="K181" s="150" t="n">
        <ns0:f>IF(AND(B181="开局",G181=0,OR(D181="普通盒",D181="单颗暂存盒")),J181,0)</ns0:f>
        <ns0:v>0</ns0:v>
      </ns0:c>
      <ns0:c r="L181" s="150" t="n">
        <ns0:f>IF(AND(B181="开局",G181&gt;0,OR(D181="普通盒",D181="底部置顶盒",D181="炸弹盒")),J181,0)</ns0:f>
        <ns0:v>0</ns0:v>
      </ns0:c>
      <ns0:c r="M181" s="150" t="n">
        <ns0:f>IF(AND(B181="开局",OR(D181="固定颜色盒",D181="单向收纳盒")),J181,0)</ns0:f>
        <ns0:v>0</ns0:v>
      </ns0:c>
      <ns0:c r="N181" s="150" t="n">
        <ns0:f>IF(AND(B181="开局",OR(D181="数字盖盒",D181="普通冰冻盒",D181="数字冰冻盒",D181="数字冰冻单颗暂存盒")),J181,0)</ns0:f>
        <ns0:v>0</ns0:v>
      </ns0:c>
      <ns0:c r="O181" s="147" t="str">
        <ns0:f>IF(AND(E181&gt;0,E181=INT(E181),G181&gt;=0,G181&lt;=F181,G181=INT(G181),OR(AND(F181=1,OR(D181="单颗暂存盒",D181="数字冰冻单颗暂存盒")),AND(F181=4,NOT(OR(D181="单颗暂存盒",D181="数字冰冻单颗暂存盒")))),IF(OR(D181="数字盖盒",D181="数字冰冻盒",D181="数字冰冻单颗暂存盒"),AND(H181&gt;=1,H181=INT(H181)),H181=0),IF(B181="开局",AND(IF(OR(D181="数字盖盒",D181="普通冰冻盒",D181="数字冰冻盒",D181="炸弹盒",D181="底部置顶盒"),OR(G181=3,G181=4),TRUE),IF(OR(D181="单向收纳盒",D181="单颗暂存盒",D181="数字冰冻单颗暂存盒"),OR(G181=0,G181=1),TRUE),IF(OR(D181="固定颜色盒",D181="广告锁定周转盒"),G181=0,TRUE)),TRUE)),"通过","需调整")</ns0:f>
        <ns0:v>通过</ns0:v>
      </ns0:c>
      <ns0:c r="P181" s="147" t="str">
        <ns0:v>回收解冻与补货</ns0:v>
      </ns0:c>
      <ns0:c r="Q181" s="147" t="str">
        <ns0:v>层序JSON:{"reference":"已确认的31–40关续接方案；第34关：回收解冻与补货；固定层序与订单，非参考小游戏逐关复刻","slots":[{"group_id":"W034-06","layers":[6,4,6,6]},{"group_id":"W034-02","layers":[4,12,0]},{"group_id":"W034-01","layers":[2,0,3,0]},{"group_id":"W034-01","layers":[0,2,0,6]},{"group_id":"W034-01","layers":[5,0,6,4]},{"group_id":"W034-05","layers":[12,6,4,12]},{"group_id":"W034-01","layers":[5,8,2,3]},{"group_id":"W034-01","layers":[8,3,2,8]},{"group_id":"W034-01","layers":[8,4,2,2]},{"group_id":"W034-03","layers":[0]},{"group_id":"W034-01","layers":[3,12,5,6]},{"group_id":"W034-01","layers":[12,3,5,8]},{"group_id":"W034-01","layers":[8,5,0,2]},{"group_id":"W034-01","layers":[3,0,12,5]},{"group_id":"W034-01","layers":[6,0,12,4]},{"group_id":"W034-01","layers":[4,12,0,8]},{"group_id":"W034-01","layers":[3,5,8,4]},{"group_id":"W034-07","layers":[]},{"group_id":"W034-04","layers":[]}],"stock":[{"group_id":"W034-09","layers":[3,0,5,2]}],"demand_sequences":[[4,0,6,12,5,0,5,3,4],[8,6,3,2,2,12,8,0]]}</ns0:v>
      </ns0:c>
      <ns0:c r="R181" s="150" t="n">
        <ns0:f>E181*H181</ns0:f>
        <ns0:v>0</ns0:v>
      </ns0:c>
    </ns0:row>
    <ns0:row r="182" ht="21" customHeight="1">
      <ns0:c r="A182" s="149" t="n">
        <ns0:v>34</ns0:v>
      </ns0:c>
      <ns0:c r="B182" s="145" t="str">
        <ns0:v>开局</ns0:v>
      </ns0:c>
      <ns0:c r="C182" s="145" t="str">
        <ns0:v>W034-02</ns0:v>
      </ns0:c>
      <ns0:c r="D182" s="145" t="str">
        <ns0:v>普通盒</ns0:v>
      </ns0:c>
      <ns0:c r="E182" s="152" t="n">
        <ns0:v>1</ns0:v>
      </ns0:c>
      <ns0:c r="F182" s="152" t="n">
        <ns0:v>4</ns0:v>
      </ns0:c>
      <ns0:c r="G182" s="152" t="n">
        <ns0:v>3</ns0:v>
      </ns0:c>
      <ns0:c r="H182" s="152" t="n">
        <ns0:v>0</ns0:v>
      </ns0:c>
      <ns0:c r="I182" s="149" t="n">
        <ns0:f>E182*G182</ns0:f>
        <ns0:v>3</ns0:v>
      </ns0:c>
      <ns0:c r="J182" s="149" t="n">
        <ns0:f>E182*(F182-G182)</ns0:f>
        <ns0:v>1</ns0:v>
      </ns0:c>
      <ns0:c r="K182" s="149" t="n">
        <ns0:f>IF(AND(B182="开局",G182=0,OR(D182="普通盒",D182="单颗暂存盒")),J182,0)</ns0:f>
        <ns0:v>0</ns0:v>
      </ns0:c>
      <ns0:c r="L182" s="149" t="n">
        <ns0:f>IF(AND(B182="开局",G182&gt;0,OR(D182="普通盒",D182="底部置顶盒",D182="炸弹盒")),J182,0)</ns0:f>
        <ns0:v>1</ns0:v>
      </ns0:c>
      <ns0:c r="M182" s="149" t="n">
        <ns0:f>IF(AND(B182="开局",OR(D182="固定颜色盒",D182="单向收纳盒")),J182,0)</ns0:f>
        <ns0:v>0</ns0:v>
      </ns0:c>
      <ns0:c r="N182" s="149" t="n">
        <ns0:f>IF(AND(B182="开局",OR(D182="数字盖盒",D182="普通冰冻盒",D182="数字冰冻盒",D182="数字冰冻单颗暂存盒")),J182,0)</ns0:f>
        <ns0:v>0</ns0:v>
      </ns0:c>
      <ns0:c r="O182" s="145" t="str">
        <ns0:f>IF(AND(E182&gt;0,E182=INT(E182),G182&gt;=0,G182&lt;=F182,G182=INT(G182),OR(AND(F182=1,OR(D182="单颗暂存盒",D182="数字冰冻单颗暂存盒")),AND(F182=4,NOT(OR(D182="单颗暂存盒",D182="数字冰冻单颗暂存盒")))),IF(OR(D182="数字盖盒",D182="数字冰冻盒",D182="数字冰冻单颗暂存盒"),AND(H182&gt;=1,H182=INT(H182)),H182=0),IF(B182="开局",AND(IF(OR(D182="数字盖盒",D182="普通冰冻盒",D182="数字冰冻盒",D182="炸弹盒",D182="底部置顶盒"),OR(G182=3,G182=4),TRUE),IF(OR(D182="单向收纳盒",D182="单颗暂存盒",D182="数字冰冻单颗暂存盒"),OR(G182=0,G182=1),TRUE),IF(OR(D182="固定颜色盒",D182="广告锁定周转盒"),G182=0,TRUE)),TRUE)),"通过","需调整")</ns0:f>
        <ns0:v>通过</ns0:v>
      </ns0:c>
      <ns0:c r="P182" s="145" t="str">
        <ns0:v>回收解冻与补货</ns0:v>
      </ns0:c>
      <ns0:c r="Q182" s="145" t="str">
        <ns0:v>按本关首组层序JSON复现；不独立随机生成</ns0:v>
      </ns0:c>
      <ns0:c r="R182" s="149" t="n">
        <ns0:f>E182*H182</ns0:f>
        <ns0:v>0</ns0:v>
      </ns0:c>
    </ns0:row>
    <ns0:row r="183" ht="21" customHeight="1">
      <ns0:c r="A183" s="150" t="n">
        <ns0:v>34</ns0:v>
      </ns0:c>
      <ns0:c r="B183" s="147" t="str">
        <ns0:v>开局</ns0:v>
      </ns0:c>
      <ns0:c r="C183" s="147" t="str">
        <ns0:v>W034-03</ns0:v>
      </ns0:c>
      <ns0:c r="D183" s="147" t="str">
        <ns0:v>普通盒</ns0:v>
      </ns0:c>
      <ns0:c r="E183" s="152" t="n">
        <ns0:v>1</ns0:v>
      </ns0:c>
      <ns0:c r="F183" s="152" t="n">
        <ns0:v>4</ns0:v>
      </ns0:c>
      <ns0:c r="G183" s="152" t="n">
        <ns0:v>1</ns0:v>
      </ns0:c>
      <ns0:c r="H183" s="152" t="n">
        <ns0:v>0</ns0:v>
      </ns0:c>
      <ns0:c r="I183" s="150" t="n">
        <ns0:f>E183*G183</ns0:f>
        <ns0:v>1</ns0:v>
      </ns0:c>
      <ns0:c r="J183" s="150" t="n">
        <ns0:f>E183*(F183-G183)</ns0:f>
        <ns0:v>3</ns0:v>
      </ns0:c>
      <ns0:c r="K183" s="150" t="n">
        <ns0:f>IF(AND(B183="开局",G183=0,OR(D183="普通盒",D183="单颗暂存盒")),J183,0)</ns0:f>
        <ns0:v>0</ns0:v>
      </ns0:c>
      <ns0:c r="L183" s="150" t="n">
        <ns0:f>IF(AND(B183="开局",G183&gt;0,OR(D183="普通盒",D183="底部置顶盒",D183="炸弹盒")),J183,0)</ns0:f>
        <ns0:v>3</ns0:v>
      </ns0:c>
      <ns0:c r="M183" s="150" t="n">
        <ns0:f>IF(AND(B183="开局",OR(D183="固定颜色盒",D183="单向收纳盒")),J183,0)</ns0:f>
        <ns0:v>0</ns0:v>
      </ns0:c>
      <ns0:c r="N183" s="150" t="n">
        <ns0:f>IF(AND(B183="开局",OR(D183="数字盖盒",D183="普通冰冻盒",D183="数字冰冻盒",D183="数字冰冻单颗暂存盒")),J183,0)</ns0:f>
        <ns0:v>0</ns0:v>
      </ns0:c>
      <ns0:c r="O183" s="147" t="str">
        <ns0:f>IF(AND(E183&gt;0,E183=INT(E183),G183&gt;=0,G183&lt;=F183,G183=INT(G183),OR(AND(F183=1,OR(D183="单颗暂存盒",D183="数字冰冻单颗暂存盒")),AND(F183=4,NOT(OR(D183="单颗暂存盒",D183="数字冰冻单颗暂存盒")))),IF(OR(D183="数字盖盒",D183="数字冰冻盒",D183="数字冰冻单颗暂存盒"),AND(H183&gt;=1,H183=INT(H183)),H183=0),IF(B183="开局",AND(IF(OR(D183="数字盖盒",D183="普通冰冻盒",D183="数字冰冻盒",D183="炸弹盒",D183="底部置顶盒"),OR(G183=3,G183=4),TRUE),IF(OR(D183="单向收纳盒",D183="单颗暂存盒",D183="数字冰冻单颗暂存盒"),OR(G183=0,G183=1),TRUE),IF(OR(D183="固定颜色盒",D183="广告锁定周转盒"),G183=0,TRUE)),TRUE)),"通过","需调整")</ns0:f>
        <ns0:v>通过</ns0:v>
      </ns0:c>
      <ns0:c r="P183" s="147" t="str">
        <ns0:v>回收解冻与补货</ns0:v>
      </ns0:c>
      <ns0:c r="Q183" s="147" t="str">
        <ns0:v>按本关首组层序JSON复现；不独立随机生成</ns0:v>
      </ns0:c>
      <ns0:c r="R183" s="150" t="n">
        <ns0:f>E183*H183</ns0:f>
        <ns0:v>0</ns0:v>
      </ns0:c>
    </ns0:row>
    <ns0:row r="184" ht="21" customHeight="1">
      <ns0:c r="A184" s="149" t="n">
        <ns0:v>34</ns0:v>
      </ns0:c>
      <ns0:c r="B184" s="145" t="str">
        <ns0:v>开局</ns0:v>
      </ns0:c>
      <ns0:c r="C184" s="145" t="str">
        <ns0:v>W034-04</ns0:v>
      </ns0:c>
      <ns0:c r="D184" s="145" t="str">
        <ns0:v>普通盒</ns0:v>
      </ns0:c>
      <ns0:c r="E184" s="152" t="n">
        <ns0:v>1</ns0:v>
      </ns0:c>
      <ns0:c r="F184" s="152" t="n">
        <ns0:v>4</ns0:v>
      </ns0:c>
      <ns0:c r="G184" s="152" t="n">
        <ns0:v>0</ns0:v>
      </ns0:c>
      <ns0:c r="H184" s="152" t="n">
        <ns0:v>0</ns0:v>
      </ns0:c>
      <ns0:c r="I184" s="149" t="n">
        <ns0:f>E184*G184</ns0:f>
        <ns0:v>0</ns0:v>
      </ns0:c>
      <ns0:c r="J184" s="149" t="n">
        <ns0:f>E184*(F184-G184)</ns0:f>
        <ns0:v>4</ns0:v>
      </ns0:c>
      <ns0:c r="K184" s="149" t="n">
        <ns0:f>IF(AND(B184="开局",G184=0,OR(D184="普通盒",D184="单颗暂存盒")),J184,0)</ns0:f>
        <ns0:v>4</ns0:v>
      </ns0:c>
      <ns0:c r="L184" s="149" t="n">
        <ns0:f>IF(AND(B184="开局",G184&gt;0,OR(D184="普通盒",D184="底部置顶盒",D184="炸弹盒")),J184,0)</ns0:f>
        <ns0:v>0</ns0:v>
      </ns0:c>
      <ns0:c r="M184" s="149" t="n">
        <ns0:f>IF(AND(B184="开局",OR(D184="固定颜色盒",D184="单向收纳盒")),J184,0)</ns0:f>
        <ns0:v>0</ns0:v>
      </ns0:c>
      <ns0:c r="N184" s="149" t="n">
        <ns0:f>IF(AND(B184="开局",OR(D184="数字盖盒",D184="普通冰冻盒",D184="数字冰冻盒",D184="数字冰冻单颗暂存盒")),J184,0)</ns0:f>
        <ns0:v>0</ns0:v>
      </ns0:c>
      <ns0:c r="O184" s="145" t="str">
        <ns0:f>IF(AND(E184&gt;0,E184=INT(E184),G184&gt;=0,G184&lt;=F184,G184=INT(G184),OR(AND(F184=1,OR(D184="单颗暂存盒",D184="数字冰冻单颗暂存盒")),AND(F184=4,NOT(OR(D184="单颗暂存盒",D184="数字冰冻单颗暂存盒")))),IF(OR(D184="数字盖盒",D184="数字冰冻盒",D184="数字冰冻单颗暂存盒"),AND(H184&gt;=1,H184=INT(H184)),H184=0),IF(B184="开局",AND(IF(OR(D184="数字盖盒",D184="普通冰冻盒",D184="数字冰冻盒",D184="炸弹盒",D184="底部置顶盒"),OR(G184=3,G184=4),TRUE),IF(OR(D184="单向收纳盒",D184="单颗暂存盒",D184="数字冰冻单颗暂存盒"),OR(G184=0,G184=1),TRUE),IF(OR(D184="固定颜色盒",D184="广告锁定周转盒"),G184=0,TRUE)),TRUE)),"通过","需调整")</ns0:f>
        <ns0:v>通过</ns0:v>
      </ns0:c>
      <ns0:c r="P184" s="145" t="str">
        <ns0:v>回收解冻与补货</ns0:v>
      </ns0:c>
      <ns0:c r="Q184" s="145" t="str">
        <ns0:v>按本关首组层序JSON复现；不独立随机生成</ns0:v>
      </ns0:c>
      <ns0:c r="R184" s="149" t="n">
        <ns0:f>E184*H184</ns0:f>
        <ns0:v>0</ns0:v>
      </ns0:c>
    </ns0:row>
    <ns0:row r="185" ht="21" customHeight="1">
      <ns0:c r="A185" s="150" t="n">
        <ns0:v>34</ns0:v>
      </ns0:c>
      <ns0:c r="B185" s="147" t="str">
        <ns0:v>开局</ns0:v>
      </ns0:c>
      <ns0:c r="C185" s="147" t="str">
        <ns0:v>W034-05</ns0:v>
      </ns0:c>
      <ns0:c r="D185" s="147" t="str">
        <ns0:v>普通冰冻盒</ns0:v>
      </ns0:c>
      <ns0:c r="E185" s="152" t="n">
        <ns0:v>1</ns0:v>
      </ns0:c>
      <ns0:c r="F185" s="152" t="n">
        <ns0:v>4</ns0:v>
      </ns0:c>
      <ns0:c r="G185" s="152" t="n">
        <ns0:v>4</ns0:v>
      </ns0:c>
      <ns0:c r="H185" s="152" t="n">
        <ns0:v>0</ns0:v>
      </ns0:c>
      <ns0:c r="I185" s="150" t="n">
        <ns0:f>E185*G185</ns0:f>
        <ns0:v>4</ns0:v>
      </ns0:c>
      <ns0:c r="J185" s="150" t="n">
        <ns0:f>E185*(F185-G185)</ns0:f>
        <ns0:v>0</ns0:v>
      </ns0:c>
      <ns0:c r="K185" s="150" t="n">
        <ns0:f>IF(AND(B185="开局",G185=0,OR(D185="普通盒",D185="单颗暂存盒")),J185,0)</ns0:f>
        <ns0:v>0</ns0:v>
      </ns0:c>
      <ns0:c r="L185" s="150" t="n">
        <ns0:f>IF(AND(B185="开局",G185&gt;0,OR(D185="普通盒",D185="底部置顶盒",D185="炸弹盒")),J185,0)</ns0:f>
        <ns0:v>0</ns0:v>
      </ns0:c>
      <ns0:c r="M185" s="150" t="n">
        <ns0:f>IF(AND(B185="开局",OR(D185="固定颜色盒",D185="单向收纳盒")),J185,0)</ns0:f>
        <ns0:v>0</ns0:v>
      </ns0:c>
      <ns0:c r="N185" s="150" t="n">
        <ns0:f>IF(AND(B185="开局",OR(D185="数字盖盒",D185="普通冰冻盒",D185="数字冰冻盒",D185="数字冰冻单颗暂存盒")),J185,0)</ns0:f>
        <ns0:v>0</ns0:v>
      </ns0:c>
      <ns0:c r="O185" s="147" t="str">
        <ns0:f>IF(AND(E185&gt;0,E185=INT(E185),G185&gt;=0,G185&lt;=F185,G185=INT(G185),OR(AND(F185=1,OR(D185="单颗暂存盒",D185="数字冰冻单颗暂存盒")),AND(F185=4,NOT(OR(D185="单颗暂存盒",D185="数字冰冻单颗暂存盒")))),IF(OR(D185="数字盖盒",D185="数字冰冻盒",D185="数字冰冻单颗暂存盒"),AND(H185&gt;=1,H185=INT(H185)),H185=0),IF(B185="开局",AND(IF(OR(D185="数字盖盒",D185="普通冰冻盒",D185="数字冰冻盒",D185="炸弹盒",D185="底部置顶盒"),OR(G185=3,G185=4),TRUE),IF(OR(D185="单向收纳盒",D185="单颗暂存盒",D185="数字冰冻单颗暂存盒"),OR(G185=0,G185=1),TRUE),IF(OR(D185="固定颜色盒",D185="广告锁定周转盒"),G185=0,TRUE)),TRUE)),"通过","需调整")</ns0:f>
        <ns0:v>通过</ns0:v>
      </ns0:c>
      <ns0:c r="P185" s="147" t="str">
        <ns0:v>回收解冻与补货</ns0:v>
      </ns0:c>
      <ns0:c r="Q185" s="147" t="str">
        <ns0:v>按本关首组层序JSON复现；不独立随机生成</ns0:v>
      </ns0:c>
      <ns0:c r="R185" s="150" t="n">
        <ns0:f>E185*H185</ns0:f>
        <ns0:v>0</ns0:v>
      </ns0:c>
    </ns0:row>
    <ns0:row r="186" ht="21" customHeight="1">
      <ns0:c r="A186" s="149" t="n">
        <ns0:v>34</ns0:v>
      </ns0:c>
      <ns0:c r="B186" s="145" t="str">
        <ns0:v>开局</ns0:v>
      </ns0:c>
      <ns0:c r="C186" s="145" t="str">
        <ns0:v>W034-06</ns0:v>
      </ns0:c>
      <ns0:c r="D186" s="145" t="str">
        <ns0:v>数字盖盒</ns0:v>
      </ns0:c>
      <ns0:c r="E186" s="152" t="n">
        <ns0:v>1</ns0:v>
      </ns0:c>
      <ns0:c r="F186" s="152" t="n">
        <ns0:v>4</ns0:v>
      </ns0:c>
      <ns0:c r="G186" s="152" t="n">
        <ns0:v>4</ns0:v>
      </ns0:c>
      <ns0:c r="H186" s="152" t="n">
        <ns0:v>1</ns0:v>
      </ns0:c>
      <ns0:c r="I186" s="149" t="n">
        <ns0:f>E186*G186</ns0:f>
        <ns0:v>4</ns0:v>
      </ns0:c>
      <ns0:c r="J186" s="149" t="n">
        <ns0:f>E186*(F186-G186)</ns0:f>
        <ns0:v>0</ns0:v>
      </ns0:c>
      <ns0:c r="K186" s="149" t="n">
        <ns0:f>IF(AND(B186="开局",G186=0,OR(D186="普通盒",D186="单颗暂存盒")),J186,0)</ns0:f>
        <ns0:v>0</ns0:v>
      </ns0:c>
      <ns0:c r="L186" s="149" t="n">
        <ns0:f>IF(AND(B186="开局",G186&gt;0,OR(D186="普通盒",D186="底部置顶盒",D186="炸弹盒")),J186,0)</ns0:f>
        <ns0:v>0</ns0:v>
      </ns0:c>
      <ns0:c r="M186" s="149" t="n">
        <ns0:f>IF(AND(B186="开局",OR(D186="固定颜色盒",D186="单向收纳盒")),J186,0)</ns0:f>
        <ns0:v>0</ns0:v>
      </ns0:c>
      <ns0:c r="N186" s="149" t="n">
        <ns0:f>IF(AND(B186="开局",OR(D186="数字盖盒",D186="普通冰冻盒",D186="数字冰冻盒",D186="数字冰冻单颗暂存盒")),J186,0)</ns0:f>
        <ns0:v>0</ns0:v>
      </ns0:c>
      <ns0:c r="O186" s="145" t="str">
        <ns0:f>IF(AND(E186&gt;0,E186=INT(E186),G186&gt;=0,G186&lt;=F186,G186=INT(G186),OR(AND(F186=1,OR(D186="单颗暂存盒",D186="数字冰冻单颗暂存盒")),AND(F186=4,NOT(OR(D186="单颗暂存盒",D186="数字冰冻单颗暂存盒")))),IF(OR(D186="数字盖盒",D186="数字冰冻盒",D186="数字冰冻单颗暂存盒"),AND(H186&gt;=1,H186=INT(H186)),H186=0),IF(B186="开局",AND(IF(OR(D186="数字盖盒",D186="普通冰冻盒",D186="数字冰冻盒",D186="炸弹盒",D186="底部置顶盒"),OR(G186=3,G186=4),TRUE),IF(OR(D186="单向收纳盒",D186="单颗暂存盒",D186="数字冰冻单颗暂存盒"),OR(G186=0,G186=1),TRUE),IF(OR(D186="固定颜色盒",D186="广告锁定周转盒"),G186=0,TRUE)),TRUE)),"通过","需调整")</ns0:f>
        <ns0:v>通过</ns0:v>
      </ns0:c>
      <ns0:c r="P186" s="145" t="str">
        <ns0:v>回收解冻与补货</ns0:v>
      </ns0:c>
      <ns0:c r="Q186" s="145" t="str">
        <ns0:v>按本关首组层序JSON复现；不独立随机生成</ns0:v>
      </ns0:c>
      <ns0:c r="R186" s="149" t="n">
        <ns0:f>E186*H186</ns0:f>
        <ns0:v>1</ns0:v>
      </ns0:c>
    </ns0:row>
    <ns0:row r="187" ht="21" customHeight="1">
      <ns0:c r="A187" s="150" t="n">
        <ns0:v>34</ns0:v>
      </ns0:c>
      <ns0:c r="B187" s="147" t="str">
        <ns0:v>开局</ns0:v>
      </ns0:c>
      <ns0:c r="C187" s="147" t="str">
        <ns0:v>W034-07</ns0:v>
      </ns0:c>
      <ns0:c r="D187" s="147" t="str">
        <ns0:v>单颗暂存盒</ns0:v>
      </ns0:c>
      <ns0:c r="E187" s="152" t="n">
        <ns0:v>1</ns0:v>
      </ns0:c>
      <ns0:c r="F187" s="152" t="n">
        <ns0:v>1</ns0:v>
      </ns0:c>
      <ns0:c r="G187" s="152" t="n">
        <ns0:v>0</ns0:v>
      </ns0:c>
      <ns0:c r="H187" s="152" t="n">
        <ns0:v>0</ns0:v>
      </ns0:c>
      <ns0:c r="I187" s="150" t="n">
        <ns0:f>E187*G187</ns0:f>
        <ns0:v>0</ns0:v>
      </ns0:c>
      <ns0:c r="J187" s="150" t="n">
        <ns0:f>E187*(F187-G187)</ns0:f>
        <ns0:v>1</ns0:v>
      </ns0:c>
      <ns0:c r="K187" s="150" t="n">
        <ns0:f>IF(AND(B187="开局",G187=0,OR(D187="普通盒",D187="单颗暂存盒")),J187,0)</ns0:f>
        <ns0:v>1</ns0:v>
      </ns0:c>
      <ns0:c r="L187" s="150" t="n">
        <ns0:f>IF(AND(B187="开局",G187&gt;0,OR(D187="普通盒",D187="底部置顶盒",D187="炸弹盒")),J187,0)</ns0:f>
        <ns0:v>0</ns0:v>
      </ns0:c>
      <ns0:c r="M187" s="150" t="n">
        <ns0:f>IF(AND(B187="开局",OR(D187="固定颜色盒",D187="单向收纳盒")),J187,0)</ns0:f>
        <ns0:v>0</ns0:v>
      </ns0:c>
      <ns0:c r="N187" s="150" t="n">
        <ns0:f>IF(AND(B187="开局",OR(D187="数字盖盒",D187="普通冰冻盒",D187="数字冰冻盒",D187="数字冰冻单颗暂存盒")),J187,0)</ns0:f>
        <ns0:v>0</ns0:v>
      </ns0:c>
      <ns0:c r="O187" s="147" t="str">
        <ns0:f>IF(AND(E187&gt;0,E187=INT(E187),G187&gt;=0,G187&lt;=F187,G187=INT(G187),OR(AND(F187=1,OR(D187="单颗暂存盒",D187="数字冰冻单颗暂存盒")),AND(F187=4,NOT(OR(D187="单颗暂存盒",D187="数字冰冻单颗暂存盒")))),IF(OR(D187="数字盖盒",D187="数字冰冻盒",D187="数字冰冻单颗暂存盒"),AND(H187&gt;=1,H187=INT(H187)),H187=0),IF(B187="开局",AND(IF(OR(D187="数字盖盒",D187="普通冰冻盒",D187="数字冰冻盒",D187="炸弹盒",D187="底部置顶盒"),OR(G187=3,G187=4),TRUE),IF(OR(D187="单向收纳盒",D187="单颗暂存盒",D187="数字冰冻单颗暂存盒"),OR(G187=0,G187=1),TRUE),IF(OR(D187="固定颜色盒",D187="广告锁定周转盒"),G187=0,TRUE)),TRUE)),"通过","需调整")</ns0:f>
        <ns0:v>通过</ns0:v>
      </ns0:c>
      <ns0:c r="P187" s="147" t="str">
        <ns0:v>回收解冻与补货</ns0:v>
      </ns0:c>
      <ns0:c r="Q187" s="147" t="str">
        <ns0:v>按本关首组层序JSON复现；不独立随机生成</ns0:v>
      </ns0:c>
      <ns0:c r="R187" s="150" t="n">
        <ns0:f>E187*H187</ns0:f>
        <ns0:v>0</ns0:v>
      </ns0:c>
    </ns0:row>
    <ns0:row r="188" ht="21" customHeight="1">
      <ns0:c r="A188" s="149" t="n">
        <ns0:v>34</ns0:v>
      </ns0:c>
      <ns0:c r="B188" s="145" t="str">
        <ns0:v>开局</ns0:v>
      </ns0:c>
      <ns0:c r="C188" s="145" t="str">
        <ns0:v>W034-08</ns0:v>
      </ns0:c>
      <ns0:c r="D188" s="145" t="str">
        <ns0:v>广告锁定周转盒</ns0:v>
      </ns0:c>
      <ns0:c r="E188" s="152" t="n">
        <ns0:v>2</ns0:v>
      </ns0:c>
      <ns0:c r="F188" s="152" t="n">
        <ns0:v>4</ns0:v>
      </ns0:c>
      <ns0:c r="G188" s="152" t="n">
        <ns0:v>0</ns0:v>
      </ns0:c>
      <ns0:c r="H188" s="152" t="n">
        <ns0:v>0</ns0:v>
      </ns0:c>
      <ns0:c r="I188" s="149" t="n">
        <ns0:f>E188*G188</ns0:f>
        <ns0:v>0</ns0:v>
      </ns0:c>
      <ns0:c r="J188" s="149" t="n">
        <ns0:f>E188*(F188-G188)</ns0:f>
        <ns0:v>8</ns0:v>
      </ns0:c>
      <ns0:c r="K188" s="149" t="n">
        <ns0:f>IF(AND(B188="开局",G188=0,OR(D188="普通盒",D188="单颗暂存盒")),J188,0)</ns0:f>
        <ns0:v>0</ns0:v>
      </ns0:c>
      <ns0:c r="L188" s="149" t="n">
        <ns0:f>IF(AND(B188="开局",G188&gt;0,OR(D188="普通盒",D188="底部置顶盒",D188="炸弹盒")),J188,0)</ns0:f>
        <ns0:v>0</ns0:v>
      </ns0:c>
      <ns0:c r="M188" s="149" t="n">
        <ns0:f>IF(AND(B188="开局",OR(D188="固定颜色盒",D188="单向收纳盒")),J188,0)</ns0:f>
        <ns0:v>0</ns0:v>
      </ns0:c>
      <ns0:c r="N188" s="149" t="n">
        <ns0:f>IF(AND(B188="开局",OR(D188="数字盖盒",D188="普通冰冻盒",D188="数字冰冻盒",D188="数字冰冻单颗暂存盒")),J188,0)</ns0:f>
        <ns0:v>0</ns0:v>
      </ns0:c>
      <ns0:c r="O188" s="145" t="str">
        <ns0:f>IF(AND(E188&gt;0,E188=INT(E188),G188&gt;=0,G188&lt;=F188,G188=INT(G188),OR(AND(F188=1,OR(D188="单颗暂存盒",D188="数字冰冻单颗暂存盒")),AND(F188=4,NOT(OR(D188="单颗暂存盒",D188="数字冰冻单颗暂存盒")))),IF(OR(D188="数字盖盒",D188="数字冰冻盒",D188="数字冰冻单颗暂存盒"),AND(H188&gt;=1,H188=INT(H188)),H188=0),IF(B188="开局",AND(IF(OR(D188="数字盖盒",D188="普通冰冻盒",D188="数字冰冻盒",D188="炸弹盒",D188="底部置顶盒"),OR(G188=3,G188=4),TRUE),IF(OR(D188="单向收纳盒",D188="单颗暂存盒",D188="数字冰冻单颗暂存盒"),OR(G188=0,G188=1),TRUE),IF(OR(D188="固定颜色盒",D188="广告锁定周转盒"),G188=0,TRUE)),TRUE)),"通过","需调整")</ns0:f>
        <ns0:v>通过</ns0:v>
      </ns0:c>
      <ns0:c r="P188" s="145" t="str">
        <ns0:v>回收解冻与补货</ns0:v>
      </ns0:c>
      <ns0:c r="Q188" s="145" t="str">
        <ns0:v>按本关首组层序JSON复现；不独立随机生成</ns0:v>
      </ns0:c>
      <ns0:c r="R188" s="149" t="n">
        <ns0:f>E188*H188</ns0:f>
        <ns0:v>0</ns0:v>
      </ns0:c>
    </ns0:row>
    <ns0:row r="189" ht="21" customHeight="1">
      <ns0:c r="A189" s="150" t="n">
        <ns0:v>34</ns0:v>
      </ns0:c>
      <ns0:c r="B189" s="147" t="str">
        <ns0:v>备货</ns0:v>
      </ns0:c>
      <ns0:c r="C189" s="147" t="str">
        <ns0:v>W034-09</ns0:v>
      </ns0:c>
      <ns0:c r="D189" s="147" t="str">
        <ns0:v>普通盒</ns0:v>
      </ns0:c>
      <ns0:c r="E189" s="152" t="n">
        <ns0:v>1</ns0:v>
      </ns0:c>
      <ns0:c r="F189" s="152" t="n">
        <ns0:v>4</ns0:v>
      </ns0:c>
      <ns0:c r="G189" s="152" t="n">
        <ns0:v>4</ns0:v>
      </ns0:c>
      <ns0:c r="H189" s="152" t="n">
        <ns0:v>0</ns0:v>
      </ns0:c>
      <ns0:c r="I189" s="150" t="n">
        <ns0:f>E189*G189</ns0:f>
        <ns0:v>4</ns0:v>
      </ns0:c>
      <ns0:c r="J189" s="150" t="n">
        <ns0:f>E189*(F189-G189)</ns0:f>
        <ns0:v>0</ns0:v>
      </ns0:c>
      <ns0:c r="K189" s="150" t="n">
        <ns0:f>IF(AND(B189="开局",G189=0,OR(D189="普通盒",D189="单颗暂存盒")),J189,0)</ns0:f>
        <ns0:v>0</ns0:v>
      </ns0:c>
      <ns0:c r="L189" s="150" t="n">
        <ns0:f>IF(AND(B189="开局",G189&gt;0,OR(D189="普通盒",D189="底部置顶盒",D189="炸弹盒")),J189,0)</ns0:f>
        <ns0:v>0</ns0:v>
      </ns0:c>
      <ns0:c r="M189" s="150" t="n">
        <ns0:f>IF(AND(B189="开局",OR(D189="固定颜色盒",D189="单向收纳盒")),J189,0)</ns0:f>
        <ns0:v>0</ns0:v>
      </ns0:c>
      <ns0:c r="N189" s="150" t="n">
        <ns0:f>IF(AND(B189="开局",OR(D189="数字盖盒",D189="普通冰冻盒",D189="数字冰冻盒",D189="数字冰冻单颗暂存盒")),J189,0)</ns0:f>
        <ns0:v>0</ns0:v>
      </ns0:c>
      <ns0:c r="O189" s="147" t="str">
        <ns0:f>IF(AND(E189&gt;0,E189=INT(E189),G189&gt;=0,G189&lt;=F189,G189=INT(G189),OR(AND(F189=1,OR(D189="单颗暂存盒",D189="数字冰冻单颗暂存盒")),AND(F189=4,NOT(OR(D189="单颗暂存盒",D189="数字冰冻单颗暂存盒")))),IF(OR(D189="数字盖盒",D189="数字冰冻盒",D189="数字冰冻单颗暂存盒"),AND(H189&gt;=1,H189=INT(H189)),H189=0),IF(B189="开局",AND(IF(OR(D189="数字盖盒",D189="普通冰冻盒",D189="数字冰冻盒",D189="炸弹盒",D189="底部置顶盒"),OR(G189=3,G189=4),TRUE),IF(OR(D189="单向收纳盒",D189="单颗暂存盒",D189="数字冰冻单颗暂存盒"),OR(G189=0,G189=1),TRUE),IF(OR(D189="固定颜色盒",D189="广告锁定周转盒"),G189=0,TRUE)),TRUE)),"通过","需调整")</ns0:f>
        <ns0:v>通过</ns0:v>
      </ns0:c>
      <ns0:c r="P189" s="147" t="str">
        <ns0:v>回收解冻与补货</ns0:v>
      </ns0:c>
      <ns0:c r="Q189" s="147" t="str">
        <ns0:v>按本关首组层序JSON复现；不独立随机生成</ns0:v>
      </ns0:c>
      <ns0:c r="R189" s="150" t="n">
        <ns0:f>E189*H189</ns0:f>
        <ns0:v>0</ns0:v>
      </ns0:c>
    </ns0:row>
    <ns0:row r="190" ht="21" customHeight="1">
      <ns0:c r="A190" s="149" t="n">
        <ns0:v>35</ns0:v>
      </ns0:c>
      <ns0:c r="B190" s="145" t="str">
        <ns0:v>开局</ns0:v>
      </ns0:c>
      <ns0:c r="C190" s="145" t="str">
        <ns0:v>W035-01</ns0:v>
      </ns0:c>
      <ns0:c r="D190" s="145" t="str">
        <ns0:v>普通盒</ns0:v>
      </ns0:c>
      <ns0:c r="E190" s="152" t="n">
        <ns0:v>14</ns0:v>
      </ns0:c>
      <ns0:c r="F190" s="152" t="n">
        <ns0:v>4</ns0:v>
      </ns0:c>
      <ns0:c r="G190" s="152" t="n">
        <ns0:v>4</ns0:v>
      </ns0:c>
      <ns0:c r="H190" s="152" t="n">
        <ns0:v>0</ns0:v>
      </ns0:c>
      <ns0:c r="I190" s="149" t="n">
        <ns0:f>E190*G190</ns0:f>
        <ns0:v>56</ns0:v>
      </ns0:c>
      <ns0:c r="J190" s="149" t="n">
        <ns0:f>E190*(F190-G190)</ns0:f>
        <ns0:v>0</ns0:v>
      </ns0:c>
      <ns0:c r="K190" s="149" t="n">
        <ns0:f>IF(AND(B190="开局",G190=0,OR(D190="普通盒",D190="单颗暂存盒")),J190,0)</ns0:f>
        <ns0:v>0</ns0:v>
      </ns0:c>
      <ns0:c r="L190" s="149" t="n">
        <ns0:f>IF(AND(B190="开局",G190&gt;0,OR(D190="普通盒",D190="底部置顶盒",D190="炸弹盒")),J190,0)</ns0:f>
        <ns0:v>0</ns0:v>
      </ns0:c>
      <ns0:c r="M190" s="149" t="n">
        <ns0:f>IF(AND(B190="开局",OR(D190="固定颜色盒",D190="单向收纳盒")),J190,0)</ns0:f>
        <ns0:v>0</ns0:v>
      </ns0:c>
      <ns0:c r="N190" s="149" t="n">
        <ns0:f>IF(AND(B190="开局",OR(D190="数字盖盒",D190="普通冰冻盒",D190="数字冰冻盒",D190="数字冰冻单颗暂存盒")),J190,0)</ns0:f>
        <ns0:v>0</ns0:v>
      </ns0:c>
      <ns0:c r="O190" s="145" t="str">
        <ns0:f>IF(AND(E190&gt;0,E190=INT(E190),G190&gt;=0,G190&lt;=F190,G190=INT(G190),OR(AND(F190=1,OR(D190="单颗暂存盒",D190="数字冰冻单颗暂存盒")),AND(F190=4,NOT(OR(D190="单颗暂存盒",D190="数字冰冻单颗暂存盒")))),IF(OR(D190="数字盖盒",D190="数字冰冻盒",D190="数字冰冻单颗暂存盒"),AND(H190&gt;=1,H190=INT(H190)),H190=0),IF(B190="开局",AND(IF(OR(D190="数字盖盒",D190="普通冰冻盒",D190="数字冰冻盒",D190="炸弹盒",D190="底部置顶盒"),OR(G190=3,G190=4),TRUE),IF(OR(D190="单向收纳盒",D190="单颗暂存盒",D190="数字冰冻单颗暂存盒"),OR(G190=0,G190=1),TRUE),IF(OR(D190="固定颜色盒",D190="广告锁定周转盒"),G190=0,TRUE)),TRUE)),"通过","需调整")</ns0:f>
        <ns0:v>通过</ns0:v>
      </ns0:c>
      <ns0:c r="P190" s="145" t="str">
        <ns0:v>双空盒回落</ns0:v>
      </ns0:c>
      <ns0:c r="Q190" s="145" t="str">
        <ns0:v>层序JSON:{"reference":"已确认的31–40关续接方案；第35关：双空盒回落；固定层序与订单，非参考小游戏逐关复刻","slots":[{"group_id":"W035-01","layers":[8,2,4,6]},{"group_id":"W035-01","layers":[8,2,8,3]},{"group_id":"W035-03","layers":[0,4,3,2]},{"group_id":"W035-01","layers":[12,5,8,2]},{"group_id":"W035-01","layers":[12,5,5,3]},{"group_id":"W035-01","layers":[6,6,0,3]},{"group_id":"W035-01","layers":[2,5,8,0]},{"group_id":"W035-01","layers":[8,6,4,6]},{"group_id":"W035-01","layers":[6,0,5,0]},{"group_id":"W035-01","layers":[4,0,6,12]},{"group_id":"W035-01","layers":[12,2,2,8],"hidden":[1,2,3]},{"group_id":"W035-01","layers":[8,12,12,4]},{"group_id":"W035-04","layers":[3,4,0,4]},{"group_id":"W035-01","layers":[3,12,5,5]},{"group_id":"W035-01","layers":[12,0,2,6]},{"group_id":"W035-01","layers":[4,3,3,5]},{"group_id":"W035-02","layers":[]},{"group_id":"W035-02","layers":[]}],"stock":[],"demand_sequences":[[6,5,2,3,3,12,2,5],[8,8,0,12,4,4,0,6]]}</ns0:v>
      </ns0:c>
      <ns0:c r="R190" s="149" t="n">
        <ns0:f>E190*H190</ns0:f>
        <ns0:v>0</ns0:v>
      </ns0:c>
    </ns0:row>
    <ns0:row r="191" ht="21" customHeight="1">
      <ns0:c r="A191" s="150" t="n">
        <ns0:v>35</ns0:v>
      </ns0:c>
      <ns0:c r="B191" s="147" t="str">
        <ns0:v>开局</ns0:v>
      </ns0:c>
      <ns0:c r="C191" s="147" t="str">
        <ns0:v>W035-02</ns0:v>
      </ns0:c>
      <ns0:c r="D191" s="147" t="str">
        <ns0:v>普通盒</ns0:v>
      </ns0:c>
      <ns0:c r="E191" s="152" t="n">
        <ns0:v>2</ns0:v>
      </ns0:c>
      <ns0:c r="F191" s="152" t="n">
        <ns0:v>4</ns0:v>
      </ns0:c>
      <ns0:c r="G191" s="152" t="n">
        <ns0:v>0</ns0:v>
      </ns0:c>
      <ns0:c r="H191" s="152" t="n">
        <ns0:v>0</ns0:v>
      </ns0:c>
      <ns0:c r="I191" s="150" t="n">
        <ns0:f>E191*G191</ns0:f>
        <ns0:v>0</ns0:v>
      </ns0:c>
      <ns0:c r="J191" s="150" t="n">
        <ns0:f>E191*(F191-G191)</ns0:f>
        <ns0:v>8</ns0:v>
      </ns0:c>
      <ns0:c r="K191" s="150" t="n">
        <ns0:f>IF(AND(B191="开局",G191=0,OR(D191="普通盒",D191="单颗暂存盒")),J191,0)</ns0:f>
        <ns0:v>8</ns0:v>
      </ns0:c>
      <ns0:c r="L191" s="150" t="n">
        <ns0:f>IF(AND(B191="开局",G191&gt;0,OR(D191="普通盒",D191="底部置顶盒",D191="炸弹盒")),J191,0)</ns0:f>
        <ns0:v>0</ns0:v>
      </ns0:c>
      <ns0:c r="M191" s="150" t="n">
        <ns0:f>IF(AND(B191="开局",OR(D191="固定颜色盒",D191="单向收纳盒")),J191,0)</ns0:f>
        <ns0:v>0</ns0:v>
      </ns0:c>
      <ns0:c r="N191" s="150" t="n">
        <ns0:f>IF(AND(B191="开局",OR(D191="数字盖盒",D191="普通冰冻盒",D191="数字冰冻盒",D191="数字冰冻单颗暂存盒")),J191,0)</ns0:f>
        <ns0:v>0</ns0:v>
      </ns0:c>
      <ns0:c r="O191" s="147" t="str">
        <ns0:f>IF(AND(E191&gt;0,E191=INT(E191),G191&gt;=0,G191&lt;=F191,G191=INT(G191),OR(AND(F191=1,OR(D191="单颗暂存盒",D191="数字冰冻单颗暂存盒")),AND(F191=4,NOT(OR(D191="单颗暂存盒",D191="数字冰冻单颗暂存盒")))),IF(OR(D191="数字盖盒",D191="数字冰冻盒",D191="数字冰冻单颗暂存盒"),AND(H191&gt;=1,H191=INT(H191)),H191=0),IF(B191="开局",AND(IF(OR(D191="数字盖盒",D191="普通冰冻盒",D191="数字冰冻盒",D191="炸弹盒",D191="底部置顶盒"),OR(G191=3,G191=4),TRUE),IF(OR(D191="单向收纳盒",D191="单颗暂存盒",D191="数字冰冻单颗暂存盒"),OR(G191=0,G191=1),TRUE),IF(OR(D191="固定颜色盒",D191="广告锁定周转盒"),G191=0,TRUE)),TRUE)),"通过","需调整")</ns0:f>
        <ns0:v>通过</ns0:v>
      </ns0:c>
      <ns0:c r="P191" s="147" t="str">
        <ns0:v>双空盒回落</ns0:v>
      </ns0:c>
      <ns0:c r="Q191" s="147" t="str">
        <ns0:v>按本关首组层序JSON复现；不独立随机生成</ns0:v>
      </ns0:c>
      <ns0:c r="R191" s="150" t="n">
        <ns0:f>E191*H191</ns0:f>
        <ns0:v>0</ns0:v>
      </ns0:c>
    </ns0:row>
    <ns0:row r="192" ht="21" customHeight="1">
      <ns0:c r="A192" s="149" t="n">
        <ns0:v>35</ns0:v>
      </ns0:c>
      <ns0:c r="B192" s="145" t="str">
        <ns0:v>开局</ns0:v>
      </ns0:c>
      <ns0:c r="C192" s="145" t="str">
        <ns0:v>W035-03</ns0:v>
      </ns0:c>
      <ns0:c r="D192" s="145" t="str">
        <ns0:v>数字冰冻盒</ns0:v>
      </ns0:c>
      <ns0:c r="E192" s="152" t="n">
        <ns0:v>1</ns0:v>
      </ns0:c>
      <ns0:c r="F192" s="152" t="n">
        <ns0:v>4</ns0:v>
      </ns0:c>
      <ns0:c r="G192" s="152" t="n">
        <ns0:v>4</ns0:v>
      </ns0:c>
      <ns0:c r="H192" s="152" t="n">
        <ns0:v>1</ns0:v>
      </ns0:c>
      <ns0:c r="I192" s="149" t="n">
        <ns0:f>E192*G192</ns0:f>
        <ns0:v>4</ns0:v>
      </ns0:c>
      <ns0:c r="J192" s="149" t="n">
        <ns0:f>E192*(F192-G192)</ns0:f>
        <ns0:v>0</ns0:v>
      </ns0:c>
      <ns0:c r="K192" s="149" t="n">
        <ns0:f>IF(AND(B192="开局",G192=0,OR(D192="普通盒",D192="单颗暂存盒")),J192,0)</ns0:f>
        <ns0:v>0</ns0:v>
      </ns0:c>
      <ns0:c r="L192" s="149" t="n">
        <ns0:f>IF(AND(B192="开局",G192&gt;0,OR(D192="普通盒",D192="底部置顶盒",D192="炸弹盒")),J192,0)</ns0:f>
        <ns0:v>0</ns0:v>
      </ns0:c>
      <ns0:c r="M192" s="149" t="n">
        <ns0:f>IF(AND(B192="开局",OR(D192="固定颜色盒",D192="单向收纳盒")),J192,0)</ns0:f>
        <ns0:v>0</ns0:v>
      </ns0:c>
      <ns0:c r="N192" s="149" t="n">
        <ns0:f>IF(AND(B192="开局",OR(D192="数字盖盒",D192="普通冰冻盒",D192="数字冰冻盒",D192="数字冰冻单颗暂存盒")),J192,0)</ns0:f>
        <ns0:v>0</ns0:v>
      </ns0:c>
      <ns0:c r="O192" s="145" t="str">
        <ns0:f>IF(AND(E192&gt;0,E192=INT(E192),G192&gt;=0,G192&lt;=F192,G192=INT(G192),OR(AND(F192=1,OR(D192="单颗暂存盒",D192="数字冰冻单颗暂存盒")),AND(F192=4,NOT(OR(D192="单颗暂存盒",D192="数字冰冻单颗暂存盒")))),IF(OR(D192="数字盖盒",D192="数字冰冻盒",D192="数字冰冻单颗暂存盒"),AND(H192&gt;=1,H192=INT(H192)),H192=0),IF(B192="开局",AND(IF(OR(D192="数字盖盒",D192="普通冰冻盒",D192="数字冰冻盒",D192="炸弹盒",D192="底部置顶盒"),OR(G192=3,G192=4),TRUE),IF(OR(D192="单向收纳盒",D192="单颗暂存盒",D192="数字冰冻单颗暂存盒"),OR(G192=0,G192=1),TRUE),IF(OR(D192="固定颜色盒",D192="广告锁定周转盒"),G192=0,TRUE)),TRUE)),"通过","需调整")</ns0:f>
        <ns0:v>通过</ns0:v>
      </ns0:c>
      <ns0:c r="P192" s="145" t="str">
        <ns0:v>双空盒回落</ns0:v>
      </ns0:c>
      <ns0:c r="Q192" s="145" t="str">
        <ns0:v>按本关首组层序JSON复现；不独立随机生成</ns0:v>
      </ns0:c>
      <ns0:c r="R192" s="149" t="n">
        <ns0:f>E192*H192</ns0:f>
        <ns0:v>1</ns0:v>
      </ns0:c>
    </ns0:row>
    <ns0:row r="193" ht="21" customHeight="1">
      <ns0:c r="A193" s="150" t="n">
        <ns0:v>35</ns0:v>
      </ns0:c>
      <ns0:c r="B193" s="147" t="str">
        <ns0:v>开局</ns0:v>
      </ns0:c>
      <ns0:c r="C193" s="147" t="str">
        <ns0:v>W035-04</ns0:v>
      </ns0:c>
      <ns0:c r="D193" s="147" t="str">
        <ns0:v>数字冰冻盒</ns0:v>
      </ns0:c>
      <ns0:c r="E193" s="152" t="n">
        <ns0:v>1</ns0:v>
      </ns0:c>
      <ns0:c r="F193" s="152" t="n">
        <ns0:v>4</ns0:v>
      </ns0:c>
      <ns0:c r="G193" s="152" t="n">
        <ns0:v>4</ns0:v>
      </ns0:c>
      <ns0:c r="H193" s="152" t="n">
        <ns0:v>2</ns0:v>
      </ns0:c>
      <ns0:c r="I193" s="150" t="n">
        <ns0:f>E193*G193</ns0:f>
        <ns0:v>4</ns0:v>
      </ns0:c>
      <ns0:c r="J193" s="150" t="n">
        <ns0:f>E193*(F193-G193)</ns0:f>
        <ns0:v>0</ns0:v>
      </ns0:c>
      <ns0:c r="K193" s="150" t="n">
        <ns0:f>IF(AND(B193="开局",G193=0,OR(D193="普通盒",D193="单颗暂存盒")),J193,0)</ns0:f>
        <ns0:v>0</ns0:v>
      </ns0:c>
      <ns0:c r="L193" s="150" t="n">
        <ns0:f>IF(AND(B193="开局",G193&gt;0,OR(D193="普通盒",D193="底部置顶盒",D193="炸弹盒")),J193,0)</ns0:f>
        <ns0:v>0</ns0:v>
      </ns0:c>
      <ns0:c r="M193" s="150" t="n">
        <ns0:f>IF(AND(B193="开局",OR(D193="固定颜色盒",D193="单向收纳盒")),J193,0)</ns0:f>
        <ns0:v>0</ns0:v>
      </ns0:c>
      <ns0:c r="N193" s="150" t="n">
        <ns0:f>IF(AND(B193="开局",OR(D193="数字盖盒",D193="普通冰冻盒",D193="数字冰冻盒",D193="数字冰冻单颗暂存盒")),J193,0)</ns0:f>
        <ns0:v>0</ns0:v>
      </ns0:c>
      <ns0:c r="O193" s="147" t="str">
        <ns0:f>IF(AND(E193&gt;0,E193=INT(E193),G193&gt;=0,G193&lt;=F193,G193=INT(G193),OR(AND(F193=1,OR(D193="单颗暂存盒",D193="数字冰冻单颗暂存盒")),AND(F193=4,NOT(OR(D193="单颗暂存盒",D193="数字冰冻单颗暂存盒")))),IF(OR(D193="数字盖盒",D193="数字冰冻盒",D193="数字冰冻单颗暂存盒"),AND(H193&gt;=1,H193=INT(H193)),H193=0),IF(B193="开局",AND(IF(OR(D193="数字盖盒",D193="普通冰冻盒",D193="数字冰冻盒",D193="炸弹盒",D193="底部置顶盒"),OR(G193=3,G193=4),TRUE),IF(OR(D193="单向收纳盒",D193="单颗暂存盒",D193="数字冰冻单颗暂存盒"),OR(G193=0,G193=1),TRUE),IF(OR(D193="固定颜色盒",D193="广告锁定周转盒"),G193=0,TRUE)),TRUE)),"通过","需调整")</ns0:f>
        <ns0:v>通过</ns0:v>
      </ns0:c>
      <ns0:c r="P193" s="147" t="str">
        <ns0:v>双空盒回落</ns0:v>
      </ns0:c>
      <ns0:c r="Q193" s="147" t="str">
        <ns0:v>按本关首组层序JSON复现；不独立随机生成</ns0:v>
      </ns0:c>
      <ns0:c r="R193" s="150" t="n">
        <ns0:f>E193*H193</ns0:f>
        <ns0:v>2</ns0:v>
      </ns0:c>
    </ns0:row>
    <ns0:row r="194" ht="21" customHeight="1">
      <ns0:c r="A194" s="149" t="n">
        <ns0:v>35</ns0:v>
      </ns0:c>
      <ns0:c r="B194" s="145" t="str">
        <ns0:v>开局</ns0:v>
      </ns0:c>
      <ns0:c r="C194" s="145" t="str">
        <ns0:v>W035-05</ns0:v>
      </ns0:c>
      <ns0:c r="D194" s="145" t="str">
        <ns0:v>广告锁定周转盒</ns0:v>
      </ns0:c>
      <ns0:c r="E194" s="152" t="n">
        <ns0:v>2</ns0:v>
      </ns0:c>
      <ns0:c r="F194" s="152" t="n">
        <ns0:v>4</ns0:v>
      </ns0:c>
      <ns0:c r="G194" s="152" t="n">
        <ns0:v>0</ns0:v>
      </ns0:c>
      <ns0:c r="H194" s="152" t="n">
        <ns0:v>0</ns0:v>
      </ns0:c>
      <ns0:c r="I194" s="149" t="n">
        <ns0:f>E194*G194</ns0:f>
        <ns0:v>0</ns0:v>
      </ns0:c>
      <ns0:c r="J194" s="149" t="n">
        <ns0:f>E194*(F194-G194)</ns0:f>
        <ns0:v>8</ns0:v>
      </ns0:c>
      <ns0:c r="K194" s="149" t="n">
        <ns0:f>IF(AND(B194="开局",G194=0,OR(D194="普通盒",D194="单颗暂存盒")),J194,0)</ns0:f>
        <ns0:v>0</ns0:v>
      </ns0:c>
      <ns0:c r="L194" s="149" t="n">
        <ns0:f>IF(AND(B194="开局",G194&gt;0,OR(D194="普通盒",D194="底部置顶盒",D194="炸弹盒")),J194,0)</ns0:f>
        <ns0:v>0</ns0:v>
      </ns0:c>
      <ns0:c r="M194" s="149" t="n">
        <ns0:f>IF(AND(B194="开局",OR(D194="固定颜色盒",D194="单向收纳盒")),J194,0)</ns0:f>
        <ns0:v>0</ns0:v>
      </ns0:c>
      <ns0:c r="N194" s="149" t="n">
        <ns0:f>IF(AND(B194="开局",OR(D194="数字盖盒",D194="普通冰冻盒",D194="数字冰冻盒",D194="数字冰冻单颗暂存盒")),J194,0)</ns0:f>
        <ns0:v>0</ns0:v>
      </ns0:c>
      <ns0:c r="O194" s="145" t="str">
        <ns0:f>IF(AND(E194&gt;0,E194=INT(E194),G194&gt;=0,G194&lt;=F194,G194=INT(G194),OR(AND(F194=1,OR(D194="单颗暂存盒",D194="数字冰冻单颗暂存盒")),AND(F194=4,NOT(OR(D194="单颗暂存盒",D194="数字冰冻单颗暂存盒")))),IF(OR(D194="数字盖盒",D194="数字冰冻盒",D194="数字冰冻单颗暂存盒"),AND(H194&gt;=1,H194=INT(H194)),H194=0),IF(B194="开局",AND(IF(OR(D194="数字盖盒",D194="普通冰冻盒",D194="数字冰冻盒",D194="炸弹盒",D194="底部置顶盒"),OR(G194=3,G194=4),TRUE),IF(OR(D194="单向收纳盒",D194="单颗暂存盒",D194="数字冰冻单颗暂存盒"),OR(G194=0,G194=1),TRUE),IF(OR(D194="固定颜色盒",D194="广告锁定周转盒"),G194=0,TRUE)),TRUE)),"通过","需调整")</ns0:f>
        <ns0:v>通过</ns0:v>
      </ns0:c>
      <ns0:c r="P194" s="145" t="str">
        <ns0:v>双空盒回落</ns0:v>
      </ns0:c>
      <ns0:c r="Q194" s="145" t="str">
        <ns0:v>按本关首组层序JSON复现；不独立随机生成</ns0:v>
      </ns0:c>
      <ns0:c r="R194" s="149" t="n">
        <ns0:f>E194*H194</ns0:f>
        <ns0:v>0</ns0:v>
      </ns0:c>
    </ns0:row>
    <ns0:row r="195" ht="21" customHeight="1">
      <ns0:c r="A195" s="150" t="n">
        <ns0:v>36</ns0:v>
      </ns0:c>
      <ns0:c r="B195" s="147" t="str">
        <ns0:v>开局</ns0:v>
      </ns0:c>
      <ns0:c r="C195" s="147" t="str">
        <ns0:v>W036-01</ns0:v>
      </ns0:c>
      <ns0:c r="D195" s="147" t="str">
        <ns0:v>普通盒</ns0:v>
      </ns0:c>
      <ns0:c r="E195" s="152" t="n">
        <ns0:v>11</ns0:v>
      </ns0:c>
      <ns0:c r="F195" s="152" t="n">
        <ns0:v>4</ns0:v>
      </ns0:c>
      <ns0:c r="G195" s="152" t="n">
        <ns0:v>4</ns0:v>
      </ns0:c>
      <ns0:c r="H195" s="152" t="n">
        <ns0:v>0</ns0:v>
      </ns0:c>
      <ns0:c r="I195" s="150" t="n">
        <ns0:f>E195*G195</ns0:f>
        <ns0:v>44</ns0:v>
      </ns0:c>
      <ns0:c r="J195" s="150" t="n">
        <ns0:f>E195*(F195-G195)</ns0:f>
        <ns0:v>0</ns0:v>
      </ns0:c>
      <ns0:c r="K195" s="150" t="n">
        <ns0:f>IF(AND(B195="开局",G195=0,OR(D195="普通盒",D195="单颗暂存盒")),J195,0)</ns0:f>
        <ns0:v>0</ns0:v>
      </ns0:c>
      <ns0:c r="L195" s="150" t="n">
        <ns0:f>IF(AND(B195="开局",G195&gt;0,OR(D195="普通盒",D195="底部置顶盒",D195="炸弹盒")),J195,0)</ns0:f>
        <ns0:v>0</ns0:v>
      </ns0:c>
      <ns0:c r="M195" s="150" t="n">
        <ns0:f>IF(AND(B195="开局",OR(D195="固定颜色盒",D195="单向收纳盒")),J195,0)</ns0:f>
        <ns0:v>0</ns0:v>
      </ns0:c>
      <ns0:c r="N195" s="150" t="n">
        <ns0:f>IF(AND(B195="开局",OR(D195="数字盖盒",D195="普通冰冻盒",D195="数字冰冻盒",D195="数字冰冻单颗暂存盒")),J195,0)</ns0:f>
        <ns0:v>0</ns0:v>
      </ns0:c>
      <ns0:c r="O195" s="147" t="str">
        <ns0:f>IF(AND(E195&gt;0,E195=INT(E195),G195&gt;=0,G195&lt;=F195,G195=INT(G195),OR(AND(F195=1,OR(D195="单颗暂存盒",D195="数字冰冻单颗暂存盒")),AND(F195=4,NOT(OR(D195="单颗暂存盒",D195="数字冰冻单颗暂存盒")))),IF(OR(D195="数字盖盒",D195="数字冰冻盒",D195="数字冰冻单颗暂存盒"),AND(H195&gt;=1,H195=INT(H195)),H195=0),IF(B195="开局",AND(IF(OR(D195="数字盖盒",D195="普通冰冻盒",D195="数字冰冻盒",D195="炸弹盒",D195="底部置顶盒"),OR(G195=3,G195=4),TRUE),IF(OR(D195="单向收纳盒",D195="单颗暂存盒",D195="数字冰冻单颗暂存盒"),OR(G195=0,G195=1),TRUE),IF(OR(D195="固定颜色盒",D195="广告锁定周转盒"),G195=0,TRUE)),TRUE)),"通过","需调整")</ns0:f>
        <ns0:v>通过</ns0:v>
      </ns0:c>
      <ns0:c r="P195" s="147" t="str">
        <ns0:v>预装暂存与隐藏</ns0:v>
      </ns0:c>
      <ns0:c r="Q195" s="147" t="str">
        <ns0:v>层序JSON:{"reference":"已确认的31–40关续接方案；第36关：预装暂存与隐藏；固定层序与订单，非参考小游戏逐关复刻","slots":[{"group_id":"W036-01","layers":[3,4,6,5]},{"group_id":"W036-01","layers":[0,6,3,12]},{"group_id":"W036-01","layers":[2,8,6,0]},{"group_id":"W036-01","layers":[0,5,4,3]},{"group_id":"W036-06","layers":[12]},{"group_id":"W036-05","layers":[12,12,0,0]},{"group_id":"W036-01","layers":[5,8,12,3]},{"group_id":"W036-01","layers":[8,2,6,0]},{"group_id":"W036-01","layers":[6,4,3,3],"hidden":[1,2,3]},{"group_id":"W036-02","layers":[5,4,8]},{"group_id":"W036-02","layers":[8,12,2]},{"group_id":"W036-03","layers":[4,6]},{"group_id":"W036-01","layers":[0,8,8,5],"hidden":[1,2,3]},{"group_id":"W036-05","layers":[4,4,0,3]},{"group_id":"W036-01","layers":[8,2,5,6]},{"group_id":"W036-01","layers":[5,4,2,5]},{"group_id":"W036-01","layers":[12,6,2,2]},{"group_id":"W036-02","layers":[2,12,3]},{"group_id":"W036-04","layers":[]}],"stock":[],"demand_sequences":[[2,12,5,4,0,6,3,12],[6,0,2,5,4,3,8,8]]}</ns0:v>
      </ns0:c>
      <ns0:c r="R195" s="150" t="n">
        <ns0:f>E195*H195</ns0:f>
        <ns0:v>0</ns0:v>
      </ns0:c>
    </ns0:row>
    <ns0:row r="196" ht="21" customHeight="1">
      <ns0:c r="A196" s="149" t="n">
        <ns0:v>36</ns0:v>
      </ns0:c>
      <ns0:c r="B196" s="145" t="str">
        <ns0:v>开局</ns0:v>
      </ns0:c>
      <ns0:c r="C196" s="145" t="str">
        <ns0:v>W036-02</ns0:v>
      </ns0:c>
      <ns0:c r="D196" s="145" t="str">
        <ns0:v>普通盒</ns0:v>
      </ns0:c>
      <ns0:c r="E196" s="152" t="n">
        <ns0:v>3</ns0:v>
      </ns0:c>
      <ns0:c r="F196" s="152" t="n">
        <ns0:v>4</ns0:v>
      </ns0:c>
      <ns0:c r="G196" s="152" t="n">
        <ns0:v>3</ns0:v>
      </ns0:c>
      <ns0:c r="H196" s="152" t="n">
        <ns0:v>0</ns0:v>
      </ns0:c>
      <ns0:c r="I196" s="149" t="n">
        <ns0:f>E196*G196</ns0:f>
        <ns0:v>9</ns0:v>
      </ns0:c>
      <ns0:c r="J196" s="149" t="n">
        <ns0:f>E196*(F196-G196)</ns0:f>
        <ns0:v>3</ns0:v>
      </ns0:c>
      <ns0:c r="K196" s="149" t="n">
        <ns0:f>IF(AND(B196="开局",G196=0,OR(D196="普通盒",D196="单颗暂存盒")),J196,0)</ns0:f>
        <ns0:v>0</ns0:v>
      </ns0:c>
      <ns0:c r="L196" s="149" t="n">
        <ns0:f>IF(AND(B196="开局",G196&gt;0,OR(D196="普通盒",D196="底部置顶盒",D196="炸弹盒")),J196,0)</ns0:f>
        <ns0:v>3</ns0:v>
      </ns0:c>
      <ns0:c r="M196" s="149" t="n">
        <ns0:f>IF(AND(B196="开局",OR(D196="固定颜色盒",D196="单向收纳盒")),J196,0)</ns0:f>
        <ns0:v>0</ns0:v>
      </ns0:c>
      <ns0:c r="N196" s="149" t="n">
        <ns0:f>IF(AND(B196="开局",OR(D196="数字盖盒",D196="普通冰冻盒",D196="数字冰冻盒",D196="数字冰冻单颗暂存盒")),J196,0)</ns0:f>
        <ns0:v>0</ns0:v>
      </ns0:c>
      <ns0:c r="O196" s="145" t="str">
        <ns0:f>IF(AND(E196&gt;0,E196=INT(E196),G196&gt;=0,G196&lt;=F196,G196=INT(G196),OR(AND(F196=1,OR(D196="单颗暂存盒",D196="数字冰冻单颗暂存盒")),AND(F196=4,NOT(OR(D196="单颗暂存盒",D196="数字冰冻单颗暂存盒")))),IF(OR(D196="数字盖盒",D196="数字冰冻盒",D196="数字冰冻单颗暂存盒"),AND(H196&gt;=1,H196=INT(H196)),H196=0),IF(B196="开局",AND(IF(OR(D196="数字盖盒",D196="普通冰冻盒",D196="数字冰冻盒",D196="炸弹盒",D196="底部置顶盒"),OR(G196=3,G196=4),TRUE),IF(OR(D196="单向收纳盒",D196="单颗暂存盒",D196="数字冰冻单颗暂存盒"),OR(G196=0,G196=1),TRUE),IF(OR(D196="固定颜色盒",D196="广告锁定周转盒"),G196=0,TRUE)),TRUE)),"通过","需调整")</ns0:f>
        <ns0:v>通过</ns0:v>
      </ns0:c>
      <ns0:c r="P196" s="145" t="str">
        <ns0:v>预装暂存与隐藏</ns0:v>
      </ns0:c>
      <ns0:c r="Q196" s="145" t="str">
        <ns0:v>按本关首组层序JSON复现；不独立随机生成</ns0:v>
      </ns0:c>
      <ns0:c r="R196" s="149" t="n">
        <ns0:f>E196*H196</ns0:f>
        <ns0:v>0</ns0:v>
      </ns0:c>
    </ns0:row>
    <ns0:row r="197" ht="21" customHeight="1">
      <ns0:c r="A197" s="150" t="n">
        <ns0:v>36</ns0:v>
      </ns0:c>
      <ns0:c r="B197" s="147" t="str">
        <ns0:v>开局</ns0:v>
      </ns0:c>
      <ns0:c r="C197" s="147" t="str">
        <ns0:v>W036-03</ns0:v>
      </ns0:c>
      <ns0:c r="D197" s="147" t="str">
        <ns0:v>普通盒</ns0:v>
      </ns0:c>
      <ns0:c r="E197" s="152" t="n">
        <ns0:v>1</ns0:v>
      </ns0:c>
      <ns0:c r="F197" s="152" t="n">
        <ns0:v>4</ns0:v>
      </ns0:c>
      <ns0:c r="G197" s="152" t="n">
        <ns0:v>2</ns0:v>
      </ns0:c>
      <ns0:c r="H197" s="152" t="n">
        <ns0:v>0</ns0:v>
      </ns0:c>
      <ns0:c r="I197" s="150" t="n">
        <ns0:f>E197*G197</ns0:f>
        <ns0:v>2</ns0:v>
      </ns0:c>
      <ns0:c r="J197" s="150" t="n">
        <ns0:f>E197*(F197-G197)</ns0:f>
        <ns0:v>2</ns0:v>
      </ns0:c>
      <ns0:c r="K197" s="150" t="n">
        <ns0:f>IF(AND(B197="开局",G197=0,OR(D197="普通盒",D197="单颗暂存盒")),J197,0)</ns0:f>
        <ns0:v>0</ns0:v>
      </ns0:c>
      <ns0:c r="L197" s="150" t="n">
        <ns0:f>IF(AND(B197="开局",G197&gt;0,OR(D197="普通盒",D197="底部置顶盒",D197="炸弹盒")),J197,0)</ns0:f>
        <ns0:v>2</ns0:v>
      </ns0:c>
      <ns0:c r="M197" s="150" t="n">
        <ns0:f>IF(AND(B197="开局",OR(D197="固定颜色盒",D197="单向收纳盒")),J197,0)</ns0:f>
        <ns0:v>0</ns0:v>
      </ns0:c>
      <ns0:c r="N197" s="150" t="n">
        <ns0:f>IF(AND(B197="开局",OR(D197="数字盖盒",D197="普通冰冻盒",D197="数字冰冻盒",D197="数字冰冻单颗暂存盒")),J197,0)</ns0:f>
        <ns0:v>0</ns0:v>
      </ns0:c>
      <ns0:c r="O197" s="147" t="str">
        <ns0:f>IF(AND(E197&gt;0,E197=INT(E197),G197&gt;=0,G197&lt;=F197,G197=INT(G197),OR(AND(F197=1,OR(D197="单颗暂存盒",D197="数字冰冻单颗暂存盒")),AND(F197=4,NOT(OR(D197="单颗暂存盒",D197="数字冰冻单颗暂存盒")))),IF(OR(D197="数字盖盒",D197="数字冰冻盒",D197="数字冰冻单颗暂存盒"),AND(H197&gt;=1,H197=INT(H197)),H197=0),IF(B197="开局",AND(IF(OR(D197="数字盖盒",D197="普通冰冻盒",D197="数字冰冻盒",D197="炸弹盒",D197="底部置顶盒"),OR(G197=3,G197=4),TRUE),IF(OR(D197="单向收纳盒",D197="单颗暂存盒",D197="数字冰冻单颗暂存盒"),OR(G197=0,G197=1),TRUE),IF(OR(D197="固定颜色盒",D197="广告锁定周转盒"),G197=0,TRUE)),TRUE)),"通过","需调整")</ns0:f>
        <ns0:v>通过</ns0:v>
      </ns0:c>
      <ns0:c r="P197" s="147" t="str">
        <ns0:v>预装暂存与隐藏</ns0:v>
      </ns0:c>
      <ns0:c r="Q197" s="147" t="str">
        <ns0:v>按本关首组层序JSON复现；不独立随机生成</ns0:v>
      </ns0:c>
      <ns0:c r="R197" s="150" t="n">
        <ns0:f>E197*H197</ns0:f>
        <ns0:v>0</ns0:v>
      </ns0:c>
    </ns0:row>
    <ns0:row r="198" ht="21" customHeight="1">
      <ns0:c r="A198" s="149" t="n">
        <ns0:v>36</ns0:v>
      </ns0:c>
      <ns0:c r="B198" s="145" t="str">
        <ns0:v>开局</ns0:v>
      </ns0:c>
      <ns0:c r="C198" s="145" t="str">
        <ns0:v>W036-04</ns0:v>
      </ns0:c>
      <ns0:c r="D198" s="145" t="str">
        <ns0:v>普通盒</ns0:v>
      </ns0:c>
      <ns0:c r="E198" s="152" t="n">
        <ns0:v>1</ns0:v>
      </ns0:c>
      <ns0:c r="F198" s="152" t="n">
        <ns0:v>4</ns0:v>
      </ns0:c>
      <ns0:c r="G198" s="152" t="n">
        <ns0:v>0</ns0:v>
      </ns0:c>
      <ns0:c r="H198" s="152" t="n">
        <ns0:v>0</ns0:v>
      </ns0:c>
      <ns0:c r="I198" s="149" t="n">
        <ns0:f>E198*G198</ns0:f>
        <ns0:v>0</ns0:v>
      </ns0:c>
      <ns0:c r="J198" s="149" t="n">
        <ns0:f>E198*(F198-G198)</ns0:f>
        <ns0:v>4</ns0:v>
      </ns0:c>
      <ns0:c r="K198" s="149" t="n">
        <ns0:f>IF(AND(B198="开局",G198=0,OR(D198="普通盒",D198="单颗暂存盒")),J198,0)</ns0:f>
        <ns0:v>4</ns0:v>
      </ns0:c>
      <ns0:c r="L198" s="149" t="n">
        <ns0:f>IF(AND(B198="开局",G198&gt;0,OR(D198="普通盒",D198="底部置顶盒",D198="炸弹盒")),J198,0)</ns0:f>
        <ns0:v>0</ns0:v>
      </ns0:c>
      <ns0:c r="M198" s="149" t="n">
        <ns0:f>IF(AND(B198="开局",OR(D198="固定颜色盒",D198="单向收纳盒")),J198,0)</ns0:f>
        <ns0:v>0</ns0:v>
      </ns0:c>
      <ns0:c r="N198" s="149" t="n">
        <ns0:f>IF(AND(B198="开局",OR(D198="数字盖盒",D198="普通冰冻盒",D198="数字冰冻盒",D198="数字冰冻单颗暂存盒")),J198,0)</ns0:f>
        <ns0:v>0</ns0:v>
      </ns0:c>
      <ns0:c r="O198" s="145" t="str">
        <ns0:f>IF(AND(E198&gt;0,E198=INT(E198),G198&gt;=0,G198&lt;=F198,G198=INT(G198),OR(AND(F198=1,OR(D198="单颗暂存盒",D198="数字冰冻单颗暂存盒")),AND(F198=4,NOT(OR(D198="单颗暂存盒",D198="数字冰冻单颗暂存盒")))),IF(OR(D198="数字盖盒",D198="数字冰冻盒",D198="数字冰冻单颗暂存盒"),AND(H198&gt;=1,H198=INT(H198)),H198=0),IF(B198="开局",AND(IF(OR(D198="数字盖盒",D198="普通冰冻盒",D198="数字冰冻盒",D198="炸弹盒",D198="底部置顶盒"),OR(G198=3,G198=4),TRUE),IF(OR(D198="单向收纳盒",D198="单颗暂存盒",D198="数字冰冻单颗暂存盒"),OR(G198=0,G198=1),TRUE),IF(OR(D198="固定颜色盒",D198="广告锁定周转盒"),G198=0,TRUE)),TRUE)),"通过","需调整")</ns0:f>
        <ns0:v>通过</ns0:v>
      </ns0:c>
      <ns0:c r="P198" s="145" t="str">
        <ns0:v>预装暂存与隐藏</ns0:v>
      </ns0:c>
      <ns0:c r="Q198" s="145" t="str">
        <ns0:v>按本关首组层序JSON复现；不独立随机生成</ns0:v>
      </ns0:c>
      <ns0:c r="R198" s="149" t="n">
        <ns0:f>E198*H198</ns0:f>
        <ns0:v>0</ns0:v>
      </ns0:c>
    </ns0:row>
    <ns0:row r="199" ht="21" customHeight="1">
      <ns0:c r="A199" s="150" t="n">
        <ns0:v>36</ns0:v>
      </ns0:c>
      <ns0:c r="B199" s="147" t="str">
        <ns0:v>开局</ns0:v>
      </ns0:c>
      <ns0:c r="C199" s="147" t="str">
        <ns0:v>W036-05</ns0:v>
      </ns0:c>
      <ns0:c r="D199" s="147" t="str">
        <ns0:v>普通冰冻盒</ns0:v>
      </ns0:c>
      <ns0:c r="E199" s="152" t="n">
        <ns0:v>2</ns0:v>
      </ns0:c>
      <ns0:c r="F199" s="152" t="n">
        <ns0:v>4</ns0:v>
      </ns0:c>
      <ns0:c r="G199" s="152" t="n">
        <ns0:v>4</ns0:v>
      </ns0:c>
      <ns0:c r="H199" s="152" t="n">
        <ns0:v>0</ns0:v>
      </ns0:c>
      <ns0:c r="I199" s="150" t="n">
        <ns0:f>E199*G199</ns0:f>
        <ns0:v>8</ns0:v>
      </ns0:c>
      <ns0:c r="J199" s="150" t="n">
        <ns0:f>E199*(F199-G199)</ns0:f>
        <ns0:v>0</ns0:v>
      </ns0:c>
      <ns0:c r="K199" s="150" t="n">
        <ns0:f>IF(AND(B199="开局",G199=0,OR(D199="普通盒",D199="单颗暂存盒")),J199,0)</ns0:f>
        <ns0:v>0</ns0:v>
      </ns0:c>
      <ns0:c r="L199" s="150" t="n">
        <ns0:f>IF(AND(B199="开局",G199&gt;0,OR(D199="普通盒",D199="底部置顶盒",D199="炸弹盒")),J199,0)</ns0:f>
        <ns0:v>0</ns0:v>
      </ns0:c>
      <ns0:c r="M199" s="150" t="n">
        <ns0:f>IF(AND(B199="开局",OR(D199="固定颜色盒",D199="单向收纳盒")),J199,0)</ns0:f>
        <ns0:v>0</ns0:v>
      </ns0:c>
      <ns0:c r="N199" s="150" t="n">
        <ns0:f>IF(AND(B199="开局",OR(D199="数字盖盒",D199="普通冰冻盒",D199="数字冰冻盒",D199="数字冰冻单颗暂存盒")),J199,0)</ns0:f>
        <ns0:v>0</ns0:v>
      </ns0:c>
      <ns0:c r="O199" s="147" t="str">
        <ns0:f>IF(AND(E199&gt;0,E199=INT(E199),G199&gt;=0,G199&lt;=F199,G199=INT(G199),OR(AND(F199=1,OR(D199="单颗暂存盒",D199="数字冰冻单颗暂存盒")),AND(F199=4,NOT(OR(D199="单颗暂存盒",D199="数字冰冻单颗暂存盒")))),IF(OR(D199="数字盖盒",D199="数字冰冻盒",D199="数字冰冻单颗暂存盒"),AND(H199&gt;=1,H199=INT(H199)),H199=0),IF(B199="开局",AND(IF(OR(D199="数字盖盒",D199="普通冰冻盒",D199="数字冰冻盒",D199="炸弹盒",D199="底部置顶盒"),OR(G199=3,G199=4),TRUE),IF(OR(D199="单向收纳盒",D199="单颗暂存盒",D199="数字冰冻单颗暂存盒"),OR(G199=0,G199=1),TRUE),IF(OR(D199="固定颜色盒",D199="广告锁定周转盒"),G199=0,TRUE)),TRUE)),"通过","需调整")</ns0:f>
        <ns0:v>通过</ns0:v>
      </ns0:c>
      <ns0:c r="P199" s="147" t="str">
        <ns0:v>预装暂存与隐藏</ns0:v>
      </ns0:c>
      <ns0:c r="Q199" s="147" t="str">
        <ns0:v>按本关首组层序JSON复现；不独立随机生成</ns0:v>
      </ns0:c>
      <ns0:c r="R199" s="150" t="n">
        <ns0:f>E199*H199</ns0:f>
        <ns0:v>0</ns0:v>
      </ns0:c>
    </ns0:row>
    <ns0:row r="200" ht="21" customHeight="1">
      <ns0:c r="A200" s="149" t="n">
        <ns0:v>36</ns0:v>
      </ns0:c>
      <ns0:c r="B200" s="145" t="str">
        <ns0:v>开局</ns0:v>
      </ns0:c>
      <ns0:c r="C200" s="145" t="str">
        <ns0:v>W036-06</ns0:v>
      </ns0:c>
      <ns0:c r="D200" s="145" t="str">
        <ns0:v>单颗暂存盒</ns0:v>
      </ns0:c>
      <ns0:c r="E200" s="152" t="n">
        <ns0:v>1</ns0:v>
      </ns0:c>
      <ns0:c r="F200" s="152" t="n">
        <ns0:v>1</ns0:v>
      </ns0:c>
      <ns0:c r="G200" s="152" t="n">
        <ns0:v>1</ns0:v>
      </ns0:c>
      <ns0:c r="H200" s="152" t="n">
        <ns0:v>0</ns0:v>
      </ns0:c>
      <ns0:c r="I200" s="149" t="n">
        <ns0:f>E200*G200</ns0:f>
        <ns0:v>1</ns0:v>
      </ns0:c>
      <ns0:c r="J200" s="149" t="n">
        <ns0:f>E200*(F200-G200)</ns0:f>
        <ns0:v>0</ns0:v>
      </ns0:c>
      <ns0:c r="K200" s="149" t="n">
        <ns0:f>IF(AND(B200="开局",G200=0,OR(D200="普通盒",D200="单颗暂存盒")),J200,0)</ns0:f>
        <ns0:v>0</ns0:v>
      </ns0:c>
      <ns0:c r="L200" s="149" t="n">
        <ns0:f>IF(AND(B200="开局",G200&gt;0,OR(D200="普通盒",D200="底部置顶盒",D200="炸弹盒")),J200,0)</ns0:f>
        <ns0:v>0</ns0:v>
      </ns0:c>
      <ns0:c r="M200" s="149" t="n">
        <ns0:f>IF(AND(B200="开局",OR(D200="固定颜色盒",D200="单向收纳盒")),J200,0)</ns0:f>
        <ns0:v>0</ns0:v>
      </ns0:c>
      <ns0:c r="N200" s="149" t="n">
        <ns0:f>IF(AND(B200="开局",OR(D200="数字盖盒",D200="普通冰冻盒",D200="数字冰冻盒",D200="数字冰冻单颗暂存盒")),J200,0)</ns0:f>
        <ns0:v>0</ns0:v>
      </ns0:c>
      <ns0:c r="O200" s="145" t="str">
        <ns0:f>IF(AND(E200&gt;0,E200=INT(E200),G200&gt;=0,G200&lt;=F200,G200=INT(G200),OR(AND(F200=1,OR(D200="单颗暂存盒",D200="数字冰冻单颗暂存盒")),AND(F200=4,NOT(OR(D200="单颗暂存盒",D200="数字冰冻单颗暂存盒")))),IF(OR(D200="数字盖盒",D200="数字冰冻盒",D200="数字冰冻单颗暂存盒"),AND(H200&gt;=1,H200=INT(H200)),H200=0),IF(B200="开局",AND(IF(OR(D200="数字盖盒",D200="普通冰冻盒",D200="数字冰冻盒",D200="炸弹盒",D200="底部置顶盒"),OR(G200=3,G200=4),TRUE),IF(OR(D200="单向收纳盒",D200="单颗暂存盒",D200="数字冰冻单颗暂存盒"),OR(G200=0,G200=1),TRUE),IF(OR(D200="固定颜色盒",D200="广告锁定周转盒"),G200=0,TRUE)),TRUE)),"通过","需调整")</ns0:f>
        <ns0:v>通过</ns0:v>
      </ns0:c>
      <ns0:c r="P200" s="145" t="str">
        <ns0:v>预装暂存与隐藏</ns0:v>
      </ns0:c>
      <ns0:c r="Q200" s="145" t="str">
        <ns0:v>按本关首组层序JSON复现；不独立随机生成</ns0:v>
      </ns0:c>
      <ns0:c r="R200" s="149" t="n">
        <ns0:f>E200*H200</ns0:f>
        <ns0:v>0</ns0:v>
      </ns0:c>
    </ns0:row>
    <ns0:row r="201" ht="21" customHeight="1">
      <ns0:c r="A201" s="150" t="n">
        <ns0:v>36</ns0:v>
      </ns0:c>
      <ns0:c r="B201" s="147" t="str">
        <ns0:v>开局</ns0:v>
      </ns0:c>
      <ns0:c r="C201" s="147" t="str">
        <ns0:v>W036-07</ns0:v>
      </ns0:c>
      <ns0:c r="D201" s="147" t="str">
        <ns0:v>广告锁定周转盒</ns0:v>
      </ns0:c>
      <ns0:c r="E201" s="152" t="n">
        <ns0:v>2</ns0:v>
      </ns0:c>
      <ns0:c r="F201" s="152" t="n">
        <ns0:v>4</ns0:v>
      </ns0:c>
      <ns0:c r="G201" s="152" t="n">
        <ns0:v>0</ns0:v>
      </ns0:c>
      <ns0:c r="H201" s="152" t="n">
        <ns0:v>0</ns0:v>
      </ns0:c>
      <ns0:c r="I201" s="150" t="n">
        <ns0:f>E201*G201</ns0:f>
        <ns0:v>0</ns0:v>
      </ns0:c>
      <ns0:c r="J201" s="150" t="n">
        <ns0:f>E201*(F201-G201)</ns0:f>
        <ns0:v>8</ns0:v>
      </ns0:c>
      <ns0:c r="K201" s="150" t="n">
        <ns0:f>IF(AND(B201="开局",G201=0,OR(D201="普通盒",D201="单颗暂存盒")),J201,0)</ns0:f>
        <ns0:v>0</ns0:v>
      </ns0:c>
      <ns0:c r="L201" s="150" t="n">
        <ns0:f>IF(AND(B201="开局",G201&gt;0,OR(D201="普通盒",D201="底部置顶盒",D201="炸弹盒")),J201,0)</ns0:f>
        <ns0:v>0</ns0:v>
      </ns0:c>
      <ns0:c r="M201" s="150" t="n">
        <ns0:f>IF(AND(B201="开局",OR(D201="固定颜色盒",D201="单向收纳盒")),J201,0)</ns0:f>
        <ns0:v>0</ns0:v>
      </ns0:c>
      <ns0:c r="N201" s="150" t="n">
        <ns0:f>IF(AND(B201="开局",OR(D201="数字盖盒",D201="普通冰冻盒",D201="数字冰冻盒",D201="数字冰冻单颗暂存盒")),J201,0)</ns0:f>
        <ns0:v>0</ns0:v>
      </ns0:c>
      <ns0:c r="O201" s="147" t="str">
        <ns0:f>IF(AND(E201&gt;0,E201=INT(E201),G201&gt;=0,G201&lt;=F201,G201=INT(G201),OR(AND(F201=1,OR(D201="单颗暂存盒",D201="数字冰冻单颗暂存盒")),AND(F201=4,NOT(OR(D201="单颗暂存盒",D201="数字冰冻单颗暂存盒")))),IF(OR(D201="数字盖盒",D201="数字冰冻盒",D201="数字冰冻单颗暂存盒"),AND(H201&gt;=1,H201=INT(H201)),H201=0),IF(B201="开局",AND(IF(OR(D201="数字盖盒",D201="普通冰冻盒",D201="数字冰冻盒",D201="炸弹盒",D201="底部置顶盒"),OR(G201=3,G201=4),TRUE),IF(OR(D201="单向收纳盒",D201="单颗暂存盒",D201="数字冰冻单颗暂存盒"),OR(G201=0,G201=1),TRUE),IF(OR(D201="固定颜色盒",D201="广告锁定周转盒"),G201=0,TRUE)),TRUE)),"通过","需调整")</ns0:f>
        <ns0:v>通过</ns0:v>
      </ns0:c>
      <ns0:c r="P201" s="147" t="str">
        <ns0:v>预装暂存与隐藏</ns0:v>
      </ns0:c>
      <ns0:c r="Q201" s="147" t="str">
        <ns0:v>按本关首组层序JSON复现；不独立随机生成</ns0:v>
      </ns0:c>
      <ns0:c r="R201" s="150" t="n">
        <ns0:f>E201*H201</ns0:f>
        <ns0:v>0</ns0:v>
      </ns0:c>
    </ns0:row>
    <ns0:row r="202" ht="21" customHeight="1">
      <ns0:c r="A202" s="149" t="n">
        <ns0:v>37</ns0:v>
      </ns0:c>
      <ns0:c r="B202" s="145" t="str">
        <ns0:v>开局</ns0:v>
      </ns0:c>
      <ns0:c r="C202" s="145" t="str">
        <ns0:v>W037-01</ns0:v>
      </ns0:c>
      <ns0:c r="D202" s="145" t="str">
        <ns0:v>普通盒</ns0:v>
      </ns0:c>
      <ns0:c r="E202" s="152" t="n">
        <ns0:v>12</ns0:v>
      </ns0:c>
      <ns0:c r="F202" s="152" t="n">
        <ns0:v>4</ns0:v>
      </ns0:c>
      <ns0:c r="G202" s="152" t="n">
        <ns0:v>4</ns0:v>
      </ns0:c>
      <ns0:c r="H202" s="152" t="n">
        <ns0:v>0</ns0:v>
      </ns0:c>
      <ns0:c r="I202" s="149" t="n">
        <ns0:f>E202*G202</ns0:f>
        <ns0:v>48</ns0:v>
      </ns0:c>
      <ns0:c r="J202" s="149" t="n">
        <ns0:f>E202*(F202-G202)</ns0:f>
        <ns0:v>0</ns0:v>
      </ns0:c>
      <ns0:c r="K202" s="149" t="n">
        <ns0:f>IF(AND(B202="开局",G202=0,OR(D202="普通盒",D202="单颗暂存盒")),J202,0)</ns0:f>
        <ns0:v>0</ns0:v>
      </ns0:c>
      <ns0:c r="L202" s="149" t="n">
        <ns0:f>IF(AND(B202="开局",G202&gt;0,OR(D202="普通盒",D202="底部置顶盒",D202="炸弹盒")),J202,0)</ns0:f>
        <ns0:v>0</ns0:v>
      </ns0:c>
      <ns0:c r="M202" s="149" t="n">
        <ns0:f>IF(AND(B202="开局",OR(D202="固定颜色盒",D202="单向收纳盒")),J202,0)</ns0:f>
        <ns0:v>0</ns0:v>
      </ns0:c>
      <ns0:c r="N202" s="149" t="n">
        <ns0:f>IF(AND(B202="开局",OR(D202="数字盖盒",D202="普通冰冻盒",D202="数字冰冻盒",D202="数字冰冻单颗暂存盒")),J202,0)</ns0:f>
        <ns0:v>0</ns0:v>
      </ns0:c>
      <ns0:c r="O202" s="145" t="str">
        <ns0:f>IF(AND(E202&gt;0,E202=INT(E202),G202&gt;=0,G202&lt;=F202,G202=INT(G202),OR(AND(F202=1,OR(D202="单颗暂存盒",D202="数字冰冻单颗暂存盒")),AND(F202=4,NOT(OR(D202="单颗暂存盒",D202="数字冰冻单颗暂存盒")))),IF(OR(D202="数字盖盒",D202="数字冰冻盒",D202="数字冰冻单颗暂存盒"),AND(H202&gt;=1,H202=INT(H202)),H202=0),IF(B202="开局",AND(IF(OR(D202="数字盖盒",D202="普通冰冻盒",D202="数字冰冻盒",D202="炸弹盒",D202="底部置顶盒"),OR(G202=3,G202=4),TRUE),IF(OR(D202="单向收纳盒",D202="单颗暂存盒",D202="数字冰冻单颗暂存盒"),OR(G202=0,G202=1),TRUE),IF(OR(D202="固定颜色盒",D202="广告锁定周转盒"),G202=0,TRUE)),TRUE)),"通过","需调整")</ns0:f>
        <ns0:v>通过</ns0:v>
      </ns0:c>
      <ns0:c r="P202" s="145" t="str">
        <ns0:v>零空盒分段补货</ns0:v>
      </ns0:c>
      <ns0:c r="Q202" s="145" t="str">
        <ns0:v>层序JSON:{"reference":"已确认的31–40关续接方案；第37关：零空盒分段补货；固定层序与订单，非参考小游戏逐关复刻","slots":[{"group_id":"W037-01","layers":[2,12,3,2]},{"group_id":"W037-01","layers":[12,6,4,2]},{"group_id":"W037-01","layers":[0,8,8,6]},{"group_id":"W037-01","layers":[3,5,0,0]},{"group_id":"W037-01","layers":[3,6,6,8]},{"group_id":"W037-03","layers":[12,4]},{"group_id":"W037-01","layers":[2,12,3,12]},{"group_id":"W037-01","layers":[5,0,3,4]},{"group_id":"W037-02","layers":[6,2,3]},{"group_id":"W037-02","layers":[4,0,5]},{"group_id":"W037-04","layers":[6,8,0,4]},{"group_id":"W037-01","layers":[4,5,6,3]},{"group_id":"W037-01","layers":[2,12,4,0]},{"group_id":"W037-01","layers":[3,8,5,2]},{"group_id":"W037-01","layers":[2,3,0,5]},{"group_id":"W037-05","layers":[5,0,3,3]},{"group_id":"W037-03","layers":[8,12]},{"group_id":"W037-03","layers":[0,8]},{"group_id":"W037-01","layers":[2,0,0,8]},{"group_id":"W037-06","layers":[]}],"stock":[{"group_id":"W037-08","layers":[6,3,2,2]},{"group_id":"W037-08","layers":[5,2,4,12]}],"demand_sequences":[[3,3,6,5,8,2,8,5,6,2],[0,0,12,2,12,4,3,4,0]]}</ns0:v>
      </ns0:c>
      <ns0:c r="R202" s="149" t="n">
        <ns0:f>E202*H202</ns0:f>
        <ns0:v>0</ns0:v>
      </ns0:c>
    </ns0:row>
    <ns0:row r="203" ht="21" customHeight="1">
      <ns0:c r="A203" s="150" t="n">
        <ns0:v>37</ns0:v>
      </ns0:c>
      <ns0:c r="B203" s="147" t="str">
        <ns0:v>开局</ns0:v>
      </ns0:c>
      <ns0:c r="C203" s="147" t="str">
        <ns0:v>W037-02</ns0:v>
      </ns0:c>
      <ns0:c r="D203" s="147" t="str">
        <ns0:v>普通盒</ns0:v>
      </ns0:c>
      <ns0:c r="E203" s="152" t="n">
        <ns0:v>2</ns0:v>
      </ns0:c>
      <ns0:c r="F203" s="152" t="n">
        <ns0:v>4</ns0:v>
      </ns0:c>
      <ns0:c r="G203" s="152" t="n">
        <ns0:v>3</ns0:v>
      </ns0:c>
      <ns0:c r="H203" s="152" t="n">
        <ns0:v>0</ns0:v>
      </ns0:c>
      <ns0:c r="I203" s="150" t="n">
        <ns0:f>E203*G203</ns0:f>
        <ns0:v>6</ns0:v>
      </ns0:c>
      <ns0:c r="J203" s="150" t="n">
        <ns0:f>E203*(F203-G203)</ns0:f>
        <ns0:v>2</ns0:v>
      </ns0:c>
      <ns0:c r="K203" s="150" t="n">
        <ns0:f>IF(AND(B203="开局",G203=0,OR(D203="普通盒",D203="单颗暂存盒")),J203,0)</ns0:f>
        <ns0:v>0</ns0:v>
      </ns0:c>
      <ns0:c r="L203" s="150" t="n">
        <ns0:f>IF(AND(B203="开局",G203&gt;0,OR(D203="普通盒",D203="底部置顶盒",D203="炸弹盒")),J203,0)</ns0:f>
        <ns0:v>2</ns0:v>
      </ns0:c>
      <ns0:c r="M203" s="150" t="n">
        <ns0:f>IF(AND(B203="开局",OR(D203="固定颜色盒",D203="单向收纳盒")),J203,0)</ns0:f>
        <ns0:v>0</ns0:v>
      </ns0:c>
      <ns0:c r="N203" s="150" t="n">
        <ns0:f>IF(AND(B203="开局",OR(D203="数字盖盒",D203="普通冰冻盒",D203="数字冰冻盒",D203="数字冰冻单颗暂存盒")),J203,0)</ns0:f>
        <ns0:v>0</ns0:v>
      </ns0:c>
      <ns0:c r="O203" s="147" t="str">
        <ns0:f>IF(AND(E203&gt;0,E203=INT(E203),G203&gt;=0,G203&lt;=F203,G203=INT(G203),OR(AND(F203=1,OR(D203="单颗暂存盒",D203="数字冰冻单颗暂存盒")),AND(F203=4,NOT(OR(D203="单颗暂存盒",D203="数字冰冻单颗暂存盒")))),IF(OR(D203="数字盖盒",D203="数字冰冻盒",D203="数字冰冻单颗暂存盒"),AND(H203&gt;=1,H203=INT(H203)),H203=0),IF(B203="开局",AND(IF(OR(D203="数字盖盒",D203="普通冰冻盒",D203="数字冰冻盒",D203="炸弹盒",D203="底部置顶盒"),OR(G203=3,G203=4),TRUE),IF(OR(D203="单向收纳盒",D203="单颗暂存盒",D203="数字冰冻单颗暂存盒"),OR(G203=0,G203=1),TRUE),IF(OR(D203="固定颜色盒",D203="广告锁定周转盒"),G203=0,TRUE)),TRUE)),"通过","需调整")</ns0:f>
        <ns0:v>通过</ns0:v>
      </ns0:c>
      <ns0:c r="P203" s="147" t="str">
        <ns0:v>零空盒分段补货</ns0:v>
      </ns0:c>
      <ns0:c r="Q203" s="147" t="str">
        <ns0:v>按本关首组层序JSON复现；不独立随机生成</ns0:v>
      </ns0:c>
      <ns0:c r="R203" s="150" t="n">
        <ns0:f>E203*H203</ns0:f>
        <ns0:v>0</ns0:v>
      </ns0:c>
    </ns0:row>
    <ns0:row r="204" ht="21" customHeight="1">
      <ns0:c r="A204" s="149" t="n">
        <ns0:v>37</ns0:v>
      </ns0:c>
      <ns0:c r="B204" s="145" t="str">
        <ns0:v>开局</ns0:v>
      </ns0:c>
      <ns0:c r="C204" s="145" t="str">
        <ns0:v>W037-03</ns0:v>
      </ns0:c>
      <ns0:c r="D204" s="145" t="str">
        <ns0:v>普通盒</ns0:v>
      </ns0:c>
      <ns0:c r="E204" s="152" t="n">
        <ns0:v>3</ns0:v>
      </ns0:c>
      <ns0:c r="F204" s="152" t="n">
        <ns0:v>4</ns0:v>
      </ns0:c>
      <ns0:c r="G204" s="152" t="n">
        <ns0:v>2</ns0:v>
      </ns0:c>
      <ns0:c r="H204" s="152" t="n">
        <ns0:v>0</ns0:v>
      </ns0:c>
      <ns0:c r="I204" s="149" t="n">
        <ns0:f>E204*G204</ns0:f>
        <ns0:v>6</ns0:v>
      </ns0:c>
      <ns0:c r="J204" s="149" t="n">
        <ns0:f>E204*(F204-G204)</ns0:f>
        <ns0:v>6</ns0:v>
      </ns0:c>
      <ns0:c r="K204" s="149" t="n">
        <ns0:f>IF(AND(B204="开局",G204=0,OR(D204="普通盒",D204="单颗暂存盒")),J204,0)</ns0:f>
        <ns0:v>0</ns0:v>
      </ns0:c>
      <ns0:c r="L204" s="149" t="n">
        <ns0:f>IF(AND(B204="开局",G204&gt;0,OR(D204="普通盒",D204="底部置顶盒",D204="炸弹盒")),J204,0)</ns0:f>
        <ns0:v>6</ns0:v>
      </ns0:c>
      <ns0:c r="M204" s="149" t="n">
        <ns0:f>IF(AND(B204="开局",OR(D204="固定颜色盒",D204="单向收纳盒")),J204,0)</ns0:f>
        <ns0:v>0</ns0:v>
      </ns0:c>
      <ns0:c r="N204" s="149" t="n">
        <ns0:f>IF(AND(B204="开局",OR(D204="数字盖盒",D204="普通冰冻盒",D204="数字冰冻盒",D204="数字冰冻单颗暂存盒")),J204,0)</ns0:f>
        <ns0:v>0</ns0:v>
      </ns0:c>
      <ns0:c r="O204" s="145" t="str">
        <ns0:f>IF(AND(E204&gt;0,E204=INT(E204),G204&gt;=0,G204&lt;=F204,G204=INT(G204),OR(AND(F204=1,OR(D204="单颗暂存盒",D204="数字冰冻单颗暂存盒")),AND(F204=4,NOT(OR(D204="单颗暂存盒",D204="数字冰冻单颗暂存盒")))),IF(OR(D204="数字盖盒",D204="数字冰冻盒",D204="数字冰冻单颗暂存盒"),AND(H204&gt;=1,H204=INT(H204)),H204=0),IF(B204="开局",AND(IF(OR(D204="数字盖盒",D204="普通冰冻盒",D204="数字冰冻盒",D204="炸弹盒",D204="底部置顶盒"),OR(G204=3,G204=4),TRUE),IF(OR(D204="单向收纳盒",D204="单颗暂存盒",D204="数字冰冻单颗暂存盒"),OR(G204=0,G204=1),TRUE),IF(OR(D204="固定颜色盒",D204="广告锁定周转盒"),G204=0,TRUE)),TRUE)),"通过","需调整")</ns0:f>
        <ns0:v>通过</ns0:v>
      </ns0:c>
      <ns0:c r="P204" s="145" t="str">
        <ns0:v>零空盒分段补货</ns0:v>
      </ns0:c>
      <ns0:c r="Q204" s="145" t="str">
        <ns0:v>按本关首组层序JSON复现；不独立随机生成</ns0:v>
      </ns0:c>
      <ns0:c r="R204" s="149" t="n">
        <ns0:f>E204*H204</ns0:f>
        <ns0:v>0</ns0:v>
      </ns0:c>
    </ns0:row>
    <ns0:row r="205" ht="21" customHeight="1">
      <ns0:c r="A205" s="150" t="n">
        <ns0:v>37</ns0:v>
      </ns0:c>
      <ns0:c r="B205" s="147" t="str">
        <ns0:v>开局</ns0:v>
      </ns0:c>
      <ns0:c r="C205" s="147" t="str">
        <ns0:v>W037-04</ns0:v>
      </ns0:c>
      <ns0:c r="D205" s="147" t="str">
        <ns0:v>数字冰冻盒</ns0:v>
      </ns0:c>
      <ns0:c r="E205" s="152" t="n">
        <ns0:v>1</ns0:v>
      </ns0:c>
      <ns0:c r="F205" s="152" t="n">
        <ns0:v>4</ns0:v>
      </ns0:c>
      <ns0:c r="G205" s="152" t="n">
        <ns0:v>4</ns0:v>
      </ns0:c>
      <ns0:c r="H205" s="152" t="n">
        <ns0:v>1</ns0:v>
      </ns0:c>
      <ns0:c r="I205" s="150" t="n">
        <ns0:f>E205*G205</ns0:f>
        <ns0:v>4</ns0:v>
      </ns0:c>
      <ns0:c r="J205" s="150" t="n">
        <ns0:f>E205*(F205-G205)</ns0:f>
        <ns0:v>0</ns0:v>
      </ns0:c>
      <ns0:c r="K205" s="150" t="n">
        <ns0:f>IF(AND(B205="开局",G205=0,OR(D205="普通盒",D205="单颗暂存盒")),J205,0)</ns0:f>
        <ns0:v>0</ns0:v>
      </ns0:c>
      <ns0:c r="L205" s="150" t="n">
        <ns0:f>IF(AND(B205="开局",G205&gt;0,OR(D205="普通盒",D205="底部置顶盒",D205="炸弹盒")),J205,0)</ns0:f>
        <ns0:v>0</ns0:v>
      </ns0:c>
      <ns0:c r="M205" s="150" t="n">
        <ns0:f>IF(AND(B205="开局",OR(D205="固定颜色盒",D205="单向收纳盒")),J205,0)</ns0:f>
        <ns0:v>0</ns0:v>
      </ns0:c>
      <ns0:c r="N205" s="150" t="n">
        <ns0:f>IF(AND(B205="开局",OR(D205="数字盖盒",D205="普通冰冻盒",D205="数字冰冻盒",D205="数字冰冻单颗暂存盒")),J205,0)</ns0:f>
        <ns0:v>0</ns0:v>
      </ns0:c>
      <ns0:c r="O205" s="147" t="str">
        <ns0:f>IF(AND(E205&gt;0,E205=INT(E205),G205&gt;=0,G205&lt;=F205,G205=INT(G205),OR(AND(F205=1,OR(D205="单颗暂存盒",D205="数字冰冻单颗暂存盒")),AND(F205=4,NOT(OR(D205="单颗暂存盒",D205="数字冰冻单颗暂存盒")))),IF(OR(D205="数字盖盒",D205="数字冰冻盒",D205="数字冰冻单颗暂存盒"),AND(H205&gt;=1,H205=INT(H205)),H205=0),IF(B205="开局",AND(IF(OR(D205="数字盖盒",D205="普通冰冻盒",D205="数字冰冻盒",D205="炸弹盒",D205="底部置顶盒"),OR(G205=3,G205=4),TRUE),IF(OR(D205="单向收纳盒",D205="单颗暂存盒",D205="数字冰冻单颗暂存盒"),OR(G205=0,G205=1),TRUE),IF(OR(D205="固定颜色盒",D205="广告锁定周转盒"),G205=0,TRUE)),TRUE)),"通过","需调整")</ns0:f>
        <ns0:v>通过</ns0:v>
      </ns0:c>
      <ns0:c r="P205" s="147" t="str">
        <ns0:v>零空盒分段补货</ns0:v>
      </ns0:c>
      <ns0:c r="Q205" s="147" t="str">
        <ns0:v>按本关首组层序JSON复现；不独立随机生成</ns0:v>
      </ns0:c>
      <ns0:c r="R205" s="150" t="n">
        <ns0:f>E205*H205</ns0:f>
        <ns0:v>1</ns0:v>
      </ns0:c>
    </ns0:row>
    <ns0:row r="206" ht="21" customHeight="1">
      <ns0:c r="A206" s="149" t="n">
        <ns0:v>37</ns0:v>
      </ns0:c>
      <ns0:c r="B206" s="145" t="str">
        <ns0:v>开局</ns0:v>
      </ns0:c>
      <ns0:c r="C206" s="145" t="str">
        <ns0:v>W037-05</ns0:v>
      </ns0:c>
      <ns0:c r="D206" s="145" t="str">
        <ns0:v>数字盖盒</ns0:v>
      </ns0:c>
      <ns0:c r="E206" s="152" t="n">
        <ns0:v>1</ns0:v>
      </ns0:c>
      <ns0:c r="F206" s="152" t="n">
        <ns0:v>4</ns0:v>
      </ns0:c>
      <ns0:c r="G206" s="152" t="n">
        <ns0:v>4</ns0:v>
      </ns0:c>
      <ns0:c r="H206" s="152" t="n">
        <ns0:v>1</ns0:v>
      </ns0:c>
      <ns0:c r="I206" s="149" t="n">
        <ns0:f>E206*G206</ns0:f>
        <ns0:v>4</ns0:v>
      </ns0:c>
      <ns0:c r="J206" s="149" t="n">
        <ns0:f>E206*(F206-G206)</ns0:f>
        <ns0:v>0</ns0:v>
      </ns0:c>
      <ns0:c r="K206" s="149" t="n">
        <ns0:f>IF(AND(B206="开局",G206=0,OR(D206="普通盒",D206="单颗暂存盒")),J206,0)</ns0:f>
        <ns0:v>0</ns0:v>
      </ns0:c>
      <ns0:c r="L206" s="149" t="n">
        <ns0:f>IF(AND(B206="开局",G206&gt;0,OR(D206="普通盒",D206="底部置顶盒",D206="炸弹盒")),J206,0)</ns0:f>
        <ns0:v>0</ns0:v>
      </ns0:c>
      <ns0:c r="M206" s="149" t="n">
        <ns0:f>IF(AND(B206="开局",OR(D206="固定颜色盒",D206="单向收纳盒")),J206,0)</ns0:f>
        <ns0:v>0</ns0:v>
      </ns0:c>
      <ns0:c r="N206" s="149" t="n">
        <ns0:f>IF(AND(B206="开局",OR(D206="数字盖盒",D206="普通冰冻盒",D206="数字冰冻盒",D206="数字冰冻单颗暂存盒")),J206,0)</ns0:f>
        <ns0:v>0</ns0:v>
      </ns0:c>
      <ns0:c r="O206" s="145" t="str">
        <ns0:f>IF(AND(E206&gt;0,E206=INT(E206),G206&gt;=0,G206&lt;=F206,G206=INT(G206),OR(AND(F206=1,OR(D206="单颗暂存盒",D206="数字冰冻单颗暂存盒")),AND(F206=4,NOT(OR(D206="单颗暂存盒",D206="数字冰冻单颗暂存盒")))),IF(OR(D206="数字盖盒",D206="数字冰冻盒",D206="数字冰冻单颗暂存盒"),AND(H206&gt;=1,H206=INT(H206)),H206=0),IF(B206="开局",AND(IF(OR(D206="数字盖盒",D206="普通冰冻盒",D206="数字冰冻盒",D206="炸弹盒",D206="底部置顶盒"),OR(G206=3,G206=4),TRUE),IF(OR(D206="单向收纳盒",D206="单颗暂存盒",D206="数字冰冻单颗暂存盒"),OR(G206=0,G206=1),TRUE),IF(OR(D206="固定颜色盒",D206="广告锁定周转盒"),G206=0,TRUE)),TRUE)),"通过","需调整")</ns0:f>
        <ns0:v>通过</ns0:v>
      </ns0:c>
      <ns0:c r="P206" s="145" t="str">
        <ns0:v>零空盒分段补货</ns0:v>
      </ns0:c>
      <ns0:c r="Q206" s="145" t="str">
        <ns0:v>按本关首组层序JSON复现；不独立随机生成</ns0:v>
      </ns0:c>
      <ns0:c r="R206" s="149" t="n">
        <ns0:f>E206*H206</ns0:f>
        <ns0:v>1</ns0:v>
      </ns0:c>
    </ns0:row>
    <ns0:row r="207" ht="21" customHeight="1">
      <ns0:c r="A207" s="150" t="n">
        <ns0:v>37</ns0:v>
      </ns0:c>
      <ns0:c r="B207" s="147" t="str">
        <ns0:v>开局</ns0:v>
      </ns0:c>
      <ns0:c r="C207" s="147" t="str">
        <ns0:v>W037-06</ns0:v>
      </ns0:c>
      <ns0:c r="D207" s="147" t="str">
        <ns0:v>单颗暂存盒</ns0:v>
      </ns0:c>
      <ns0:c r="E207" s="152" t="n">
        <ns0:v>1</ns0:v>
      </ns0:c>
      <ns0:c r="F207" s="152" t="n">
        <ns0:v>1</ns0:v>
      </ns0:c>
      <ns0:c r="G207" s="152" t="n">
        <ns0:v>0</ns0:v>
      </ns0:c>
      <ns0:c r="H207" s="152" t="n">
        <ns0:v>0</ns0:v>
      </ns0:c>
      <ns0:c r="I207" s="150" t="n">
        <ns0:f>E207*G207</ns0:f>
        <ns0:v>0</ns0:v>
      </ns0:c>
      <ns0:c r="J207" s="150" t="n">
        <ns0:f>E207*(F207-G207)</ns0:f>
        <ns0:v>1</ns0:v>
      </ns0:c>
      <ns0:c r="K207" s="150" t="n">
        <ns0:f>IF(AND(B207="开局",G207=0,OR(D207="普通盒",D207="单颗暂存盒")),J207,0)</ns0:f>
        <ns0:v>1</ns0:v>
      </ns0:c>
      <ns0:c r="L207" s="150" t="n">
        <ns0:f>IF(AND(B207="开局",G207&gt;0,OR(D207="普通盒",D207="底部置顶盒",D207="炸弹盒")),J207,0)</ns0:f>
        <ns0:v>0</ns0:v>
      </ns0:c>
      <ns0:c r="M207" s="150" t="n">
        <ns0:f>IF(AND(B207="开局",OR(D207="固定颜色盒",D207="单向收纳盒")),J207,0)</ns0:f>
        <ns0:v>0</ns0:v>
      </ns0:c>
      <ns0:c r="N207" s="150" t="n">
        <ns0:f>IF(AND(B207="开局",OR(D207="数字盖盒",D207="普通冰冻盒",D207="数字冰冻盒",D207="数字冰冻单颗暂存盒")),J207,0)</ns0:f>
        <ns0:v>0</ns0:v>
      </ns0:c>
      <ns0:c r="O207" s="147" t="str">
        <ns0:f>IF(AND(E207&gt;0,E207=INT(E207),G207&gt;=0,G207&lt;=F207,G207=INT(G207),OR(AND(F207=1,OR(D207="单颗暂存盒",D207="数字冰冻单颗暂存盒")),AND(F207=4,NOT(OR(D207="单颗暂存盒",D207="数字冰冻单颗暂存盒")))),IF(OR(D207="数字盖盒",D207="数字冰冻盒",D207="数字冰冻单颗暂存盒"),AND(H207&gt;=1,H207=INT(H207)),H207=0),IF(B207="开局",AND(IF(OR(D207="数字盖盒",D207="普通冰冻盒",D207="数字冰冻盒",D207="炸弹盒",D207="底部置顶盒"),OR(G207=3,G207=4),TRUE),IF(OR(D207="单向收纳盒",D207="单颗暂存盒",D207="数字冰冻单颗暂存盒"),OR(G207=0,G207=1),TRUE),IF(OR(D207="固定颜色盒",D207="广告锁定周转盒"),G207=0,TRUE)),TRUE)),"通过","需调整")</ns0:f>
        <ns0:v>通过</ns0:v>
      </ns0:c>
      <ns0:c r="P207" s="147" t="str">
        <ns0:v>零空盒分段补货</ns0:v>
      </ns0:c>
      <ns0:c r="Q207" s="147" t="str">
        <ns0:v>按本关首组层序JSON复现；不独立随机生成</ns0:v>
      </ns0:c>
      <ns0:c r="R207" s="150" t="n">
        <ns0:f>E207*H207</ns0:f>
        <ns0:v>0</ns0:v>
      </ns0:c>
    </ns0:row>
    <ns0:row r="208" ht="21" customHeight="1">
      <ns0:c r="A208" s="149" t="n">
        <ns0:v>37</ns0:v>
      </ns0:c>
      <ns0:c r="B208" s="145" t="str">
        <ns0:v>开局</ns0:v>
      </ns0:c>
      <ns0:c r="C208" s="145" t="str">
        <ns0:v>W037-07</ns0:v>
      </ns0:c>
      <ns0:c r="D208" s="145" t="str">
        <ns0:v>广告锁定周转盒</ns0:v>
      </ns0:c>
      <ns0:c r="E208" s="152" t="n">
        <ns0:v>2</ns0:v>
      </ns0:c>
      <ns0:c r="F208" s="152" t="n">
        <ns0:v>4</ns0:v>
      </ns0:c>
      <ns0:c r="G208" s="152" t="n">
        <ns0:v>0</ns0:v>
      </ns0:c>
      <ns0:c r="H208" s="152" t="n">
        <ns0:v>0</ns0:v>
      </ns0:c>
      <ns0:c r="I208" s="149" t="n">
        <ns0:f>E208*G208</ns0:f>
        <ns0:v>0</ns0:v>
      </ns0:c>
      <ns0:c r="J208" s="149" t="n">
        <ns0:f>E208*(F208-G208)</ns0:f>
        <ns0:v>8</ns0:v>
      </ns0:c>
      <ns0:c r="K208" s="149" t="n">
        <ns0:f>IF(AND(B208="开局",G208=0,OR(D208="普通盒",D208="单颗暂存盒")),J208,0)</ns0:f>
        <ns0:v>0</ns0:v>
      </ns0:c>
      <ns0:c r="L208" s="149" t="n">
        <ns0:f>IF(AND(B208="开局",G208&gt;0,OR(D208="普通盒",D208="底部置顶盒",D208="炸弹盒")),J208,0)</ns0:f>
        <ns0:v>0</ns0:v>
      </ns0:c>
      <ns0:c r="M208" s="149" t="n">
        <ns0:f>IF(AND(B208="开局",OR(D208="固定颜色盒",D208="单向收纳盒")),J208,0)</ns0:f>
        <ns0:v>0</ns0:v>
      </ns0:c>
      <ns0:c r="N208" s="149" t="n">
        <ns0:f>IF(AND(B208="开局",OR(D208="数字盖盒",D208="普通冰冻盒",D208="数字冰冻盒",D208="数字冰冻单颗暂存盒")),J208,0)</ns0:f>
        <ns0:v>0</ns0:v>
      </ns0:c>
      <ns0:c r="O208" s="145" t="str">
        <ns0:f>IF(AND(E208&gt;0,E208=INT(E208),G208&gt;=0,G208&lt;=F208,G208=INT(G208),OR(AND(F208=1,OR(D208="单颗暂存盒",D208="数字冰冻单颗暂存盒")),AND(F208=4,NOT(OR(D208="单颗暂存盒",D208="数字冰冻单颗暂存盒")))),IF(OR(D208="数字盖盒",D208="数字冰冻盒",D208="数字冰冻单颗暂存盒"),AND(H208&gt;=1,H208=INT(H208)),H208=0),IF(B208="开局",AND(IF(OR(D208="数字盖盒",D208="普通冰冻盒",D208="数字冰冻盒",D208="炸弹盒",D208="底部置顶盒"),OR(G208=3,G208=4),TRUE),IF(OR(D208="单向收纳盒",D208="单颗暂存盒",D208="数字冰冻单颗暂存盒"),OR(G208=0,G208=1),TRUE),IF(OR(D208="固定颜色盒",D208="广告锁定周转盒"),G208=0,TRUE)),TRUE)),"通过","需调整")</ns0:f>
        <ns0:v>通过</ns0:v>
      </ns0:c>
      <ns0:c r="P208" s="145" t="str">
        <ns0:v>零空盒分段补货</ns0:v>
      </ns0:c>
      <ns0:c r="Q208" s="145" t="str">
        <ns0:v>按本关首组层序JSON复现；不独立随机生成</ns0:v>
      </ns0:c>
      <ns0:c r="R208" s="149" t="n">
        <ns0:f>E208*H208</ns0:f>
        <ns0:v>0</ns0:v>
      </ns0:c>
    </ns0:row>
    <ns0:row r="209" ht="21" customHeight="1">
      <ns0:c r="A209" s="150" t="n">
        <ns0:v>37</ns0:v>
      </ns0:c>
      <ns0:c r="B209" s="147" t="str">
        <ns0:v>备货</ns0:v>
      </ns0:c>
      <ns0:c r="C209" s="147" t="str">
        <ns0:v>W037-08</ns0:v>
      </ns0:c>
      <ns0:c r="D209" s="147" t="str">
        <ns0:v>普通盒</ns0:v>
      </ns0:c>
      <ns0:c r="E209" s="152" t="n">
        <ns0:v>2</ns0:v>
      </ns0:c>
      <ns0:c r="F209" s="152" t="n">
        <ns0:v>4</ns0:v>
      </ns0:c>
      <ns0:c r="G209" s="152" t="n">
        <ns0:v>4</ns0:v>
      </ns0:c>
      <ns0:c r="H209" s="152" t="n">
        <ns0:v>0</ns0:v>
      </ns0:c>
      <ns0:c r="I209" s="150" t="n">
        <ns0:f>E209*G209</ns0:f>
        <ns0:v>8</ns0:v>
      </ns0:c>
      <ns0:c r="J209" s="150" t="n">
        <ns0:f>E209*(F209-G209)</ns0:f>
        <ns0:v>0</ns0:v>
      </ns0:c>
      <ns0:c r="K209" s="150" t="n">
        <ns0:f>IF(AND(B209="开局",G209=0,OR(D209="普通盒",D209="单颗暂存盒")),J209,0)</ns0:f>
        <ns0:v>0</ns0:v>
      </ns0:c>
      <ns0:c r="L209" s="150" t="n">
        <ns0:f>IF(AND(B209="开局",G209&gt;0,OR(D209="普通盒",D209="底部置顶盒",D209="炸弹盒")),J209,0)</ns0:f>
        <ns0:v>0</ns0:v>
      </ns0:c>
      <ns0:c r="M209" s="150" t="n">
        <ns0:f>IF(AND(B209="开局",OR(D209="固定颜色盒",D209="单向收纳盒")),J209,0)</ns0:f>
        <ns0:v>0</ns0:v>
      </ns0:c>
      <ns0:c r="N209" s="150" t="n">
        <ns0:f>IF(AND(B209="开局",OR(D209="数字盖盒",D209="普通冰冻盒",D209="数字冰冻盒",D209="数字冰冻单颗暂存盒")),J209,0)</ns0:f>
        <ns0:v>0</ns0:v>
      </ns0:c>
      <ns0:c r="O209" s="147" t="str">
        <ns0:f>IF(AND(E209&gt;0,E209=INT(E209),G209&gt;=0,G209&lt;=F209,G209=INT(G209),OR(AND(F209=1,OR(D209="单颗暂存盒",D209="数字冰冻单颗暂存盒")),AND(F209=4,NOT(OR(D209="单颗暂存盒",D209="数字冰冻单颗暂存盒")))),IF(OR(D209="数字盖盒",D209="数字冰冻盒",D209="数字冰冻单颗暂存盒"),AND(H209&gt;=1,H209=INT(H209)),H209=0),IF(B209="开局",AND(IF(OR(D209="数字盖盒",D209="普通冰冻盒",D209="数字冰冻盒",D209="炸弹盒",D209="底部置顶盒"),OR(G209=3,G209=4),TRUE),IF(OR(D209="单向收纳盒",D209="单颗暂存盒",D209="数字冰冻单颗暂存盒"),OR(G209=0,G209=1),TRUE),IF(OR(D209="固定颜色盒",D209="广告锁定周转盒"),G209=0,TRUE)),TRUE)),"通过","需调整")</ns0:f>
        <ns0:v>通过</ns0:v>
      </ns0:c>
      <ns0:c r="P209" s="147" t="str">
        <ns0:v>零空盒分段补货</ns0:v>
      </ns0:c>
      <ns0:c r="Q209" s="147" t="str">
        <ns0:v>按本关首组层序JSON复现；不独立随机生成</ns0:v>
      </ns0:c>
      <ns0:c r="R209" s="150" t="n">
        <ns0:f>E209*H209</ns0:f>
        <ns0:v>0</ns0:v>
      </ns0:c>
    </ns0:row>
    <ns0:row r="210" ht="21" customHeight="1">
      <ns0:c r="A210" s="149" t="n">
        <ns0:v>38</ns0:v>
      </ns0:c>
      <ns0:c r="B210" s="145" t="str">
        <ns0:v>开局</ns0:v>
      </ns0:c>
      <ns0:c r="C210" s="145" t="str">
        <ns0:v>W038-01</ns0:v>
      </ns0:c>
      <ns0:c r="D210" s="145" t="str">
        <ns0:v>普通盒</ns0:v>
      </ns0:c>
      <ns0:c r="E210" s="152" t="n">
        <ns0:v>12</ns0:v>
      </ns0:c>
      <ns0:c r="F210" s="152" t="n">
        <ns0:v>4</ns0:v>
      </ns0:c>
      <ns0:c r="G210" s="152" t="n">
        <ns0:v>4</ns0:v>
      </ns0:c>
      <ns0:c r="H210" s="152" t="n">
        <ns0:v>0</ns0:v>
      </ns0:c>
      <ns0:c r="I210" s="149" t="n">
        <ns0:f>E210*G210</ns0:f>
        <ns0:v>48</ns0:v>
      </ns0:c>
      <ns0:c r="J210" s="149" t="n">
        <ns0:f>E210*(F210-G210)</ns0:f>
        <ns0:v>0</ns0:v>
      </ns0:c>
      <ns0:c r="K210" s="149" t="n">
        <ns0:f>IF(AND(B210="开局",G210=0,OR(D210="普通盒",D210="单颗暂存盒")),J210,0)</ns0:f>
        <ns0:v>0</ns0:v>
      </ns0:c>
      <ns0:c r="L210" s="149" t="n">
        <ns0:f>IF(AND(B210="开局",G210&gt;0,OR(D210="普通盒",D210="底部置顶盒",D210="炸弹盒")),J210,0)</ns0:f>
        <ns0:v>0</ns0:v>
      </ns0:c>
      <ns0:c r="M210" s="149" t="n">
        <ns0:f>IF(AND(B210="开局",OR(D210="固定颜色盒",D210="单向收纳盒")),J210,0)</ns0:f>
        <ns0:v>0</ns0:v>
      </ns0:c>
      <ns0:c r="N210" s="149" t="n">
        <ns0:f>IF(AND(B210="开局",OR(D210="数字盖盒",D210="普通冰冻盒",D210="数字冰冻盒",D210="数字冰冻单颗暂存盒")),J210,0)</ns0:f>
        <ns0:v>0</ns0:v>
      </ns0:c>
      <ns0:c r="O210" s="145" t="str">
        <ns0:f>IF(AND(E210&gt;0,E210=INT(E210),G210&gt;=0,G210&lt;=F210,G210=INT(G210),OR(AND(F210=1,OR(D210="单颗暂存盒",D210="数字冰冻单颗暂存盒")),AND(F210=4,NOT(OR(D210="单颗暂存盒",D210="数字冰冻单颗暂存盒")))),IF(OR(D210="数字盖盒",D210="数字冰冻盒",D210="数字冰冻单颗暂存盒"),AND(H210&gt;=1,H210=INT(H210)),H210=0),IF(B210="开局",AND(IF(OR(D210="数字盖盒",D210="普通冰冻盒",D210="数字冰冻盒",D210="炸弹盒",D210="底部置顶盒"),OR(G210=3,G210=4),TRUE),IF(OR(D210="单向收纳盒",D210="单颗暂存盒",D210="数字冰冻单颗暂存盒"),OR(G210=0,G210=1),TRUE),IF(OR(D210="固定颜色盒",D210="广告锁定周转盒"),G210=0,TRUE)),TRUE)),"通过","需调整")</ns0:f>
        <ns0:v>通过</ns0:v>
      </ns0:c>
      <ns0:c r="P210" s="145" t="str">
        <ns0:v>补货缓和</ns0:v>
      </ns0:c>
      <ns0:c r="Q210" s="145" t="str">
        <ns0:v>层序JSON:{"reference":"已确认的31–40关续接方案；第38关：补货缓和；固定层序与订单，非参考小游戏逐关复刻","slots":[{"group_id":"W038-01","layers":[12,0,2,0]},{"group_id":"W038-02","layers":[6,2,5]},{"group_id":"W038-01","layers":[4,6,4,3]},{"group_id":"W038-01","layers":[3,12,6,2]},{"group_id":"W038-01","layers":[2,5,3,3]},{"group_id":"W038-01","layers":[0,5,4,3]},{"group_id":"W038-01","layers":[6,2,8,5]},{"group_id":"W038-01","layers":[6,8,6,2]},{"group_id":"W038-01","layers":[6,4,4,0]},{"group_id":"W038-01","layers":[4,2,4,0]},{"group_id":"W038-03","layers":[8,0]},{"group_id":"W038-02","layers":[8,3,0]},{"group_id":"W038-05","layers":[8,3,0,12]},{"group_id":"W038-01","layers":[12,2,6,5]},{"group_id":"W038-01","layers":[12,8,5,12]},{"group_id":"W038-01","layers":[4,3,8,8]},{"group_id":"W038-04","layers":[]},{"group_id":"W038-06","layers":[]}],"stock":[{"group_id":"W038-08","layers":[5,5,12,12]}],"demand_sequences":[[12,2,6,8,4,4,2,12],[5,0,6,0,5,3,8,3]]}</ns0:v>
      </ns0:c>
      <ns0:c r="R210" s="149" t="n">
        <ns0:f>E210*H210</ns0:f>
        <ns0:v>0</ns0:v>
      </ns0:c>
    </ns0:row>
    <ns0:row r="211" ht="21" customHeight="1">
      <ns0:c r="A211" s="150" t="n">
        <ns0:v>38</ns0:v>
      </ns0:c>
      <ns0:c r="B211" s="147" t="str">
        <ns0:v>开局</ns0:v>
      </ns0:c>
      <ns0:c r="C211" s="147" t="str">
        <ns0:v>W038-02</ns0:v>
      </ns0:c>
      <ns0:c r="D211" s="147" t="str">
        <ns0:v>普通盒</ns0:v>
      </ns0:c>
      <ns0:c r="E211" s="152" t="n">
        <ns0:v>2</ns0:v>
      </ns0:c>
      <ns0:c r="F211" s="152" t="n">
        <ns0:v>4</ns0:v>
      </ns0:c>
      <ns0:c r="G211" s="152" t="n">
        <ns0:v>3</ns0:v>
      </ns0:c>
      <ns0:c r="H211" s="152" t="n">
        <ns0:v>0</ns0:v>
      </ns0:c>
      <ns0:c r="I211" s="150" t="n">
        <ns0:f>E211*G211</ns0:f>
        <ns0:v>6</ns0:v>
      </ns0:c>
      <ns0:c r="J211" s="150" t="n">
        <ns0:f>E211*(F211-G211)</ns0:f>
        <ns0:v>2</ns0:v>
      </ns0:c>
      <ns0:c r="K211" s="150" t="n">
        <ns0:f>IF(AND(B211="开局",G211=0,OR(D211="普通盒",D211="单颗暂存盒")),J211,0)</ns0:f>
        <ns0:v>0</ns0:v>
      </ns0:c>
      <ns0:c r="L211" s="150" t="n">
        <ns0:f>IF(AND(B211="开局",G211&gt;0,OR(D211="普通盒",D211="底部置顶盒",D211="炸弹盒")),J211,0)</ns0:f>
        <ns0:v>2</ns0:v>
      </ns0:c>
      <ns0:c r="M211" s="150" t="n">
        <ns0:f>IF(AND(B211="开局",OR(D211="固定颜色盒",D211="单向收纳盒")),J211,0)</ns0:f>
        <ns0:v>0</ns0:v>
      </ns0:c>
      <ns0:c r="N211" s="150" t="n">
        <ns0:f>IF(AND(B211="开局",OR(D211="数字盖盒",D211="普通冰冻盒",D211="数字冰冻盒",D211="数字冰冻单颗暂存盒")),J211,0)</ns0:f>
        <ns0:v>0</ns0:v>
      </ns0:c>
      <ns0:c r="O211" s="147" t="str">
        <ns0:f>IF(AND(E211&gt;0,E211=INT(E211),G211&gt;=0,G211&lt;=F211,G211=INT(G211),OR(AND(F211=1,OR(D211="单颗暂存盒",D211="数字冰冻单颗暂存盒")),AND(F211=4,NOT(OR(D211="单颗暂存盒",D211="数字冰冻单颗暂存盒")))),IF(OR(D211="数字盖盒",D211="数字冰冻盒",D211="数字冰冻单颗暂存盒"),AND(H211&gt;=1,H211=INT(H211)),H211=0),IF(B211="开局",AND(IF(OR(D211="数字盖盒",D211="普通冰冻盒",D211="数字冰冻盒",D211="炸弹盒",D211="底部置顶盒"),OR(G211=3,G211=4),TRUE),IF(OR(D211="单向收纳盒",D211="单颗暂存盒",D211="数字冰冻单颗暂存盒"),OR(G211=0,G211=1),TRUE),IF(OR(D211="固定颜色盒",D211="广告锁定周转盒"),G211=0,TRUE)),TRUE)),"通过","需调整")</ns0:f>
        <ns0:v>通过</ns0:v>
      </ns0:c>
      <ns0:c r="P211" s="147" t="str">
        <ns0:v>补货缓和</ns0:v>
      </ns0:c>
      <ns0:c r="Q211" s="147" t="str">
        <ns0:v>按本关首组层序JSON复现；不独立随机生成</ns0:v>
      </ns0:c>
      <ns0:c r="R211" s="150" t="n">
        <ns0:f>E211*H211</ns0:f>
        <ns0:v>0</ns0:v>
      </ns0:c>
    </ns0:row>
    <ns0:row r="212" ht="21" customHeight="1">
      <ns0:c r="A212" s="149" t="n">
        <ns0:v>38</ns0:v>
      </ns0:c>
      <ns0:c r="B212" s="145" t="str">
        <ns0:v>开局</ns0:v>
      </ns0:c>
      <ns0:c r="C212" s="145" t="str">
        <ns0:v>W038-03</ns0:v>
      </ns0:c>
      <ns0:c r="D212" s="145" t="str">
        <ns0:v>普通盒</ns0:v>
      </ns0:c>
      <ns0:c r="E212" s="152" t="n">
        <ns0:v>1</ns0:v>
      </ns0:c>
      <ns0:c r="F212" s="152" t="n">
        <ns0:v>4</ns0:v>
      </ns0:c>
      <ns0:c r="G212" s="152" t="n">
        <ns0:v>2</ns0:v>
      </ns0:c>
      <ns0:c r="H212" s="152" t="n">
        <ns0:v>0</ns0:v>
      </ns0:c>
      <ns0:c r="I212" s="149" t="n">
        <ns0:f>E212*G212</ns0:f>
        <ns0:v>2</ns0:v>
      </ns0:c>
      <ns0:c r="J212" s="149" t="n">
        <ns0:f>E212*(F212-G212)</ns0:f>
        <ns0:v>2</ns0:v>
      </ns0:c>
      <ns0:c r="K212" s="149" t="n">
        <ns0:f>IF(AND(B212="开局",G212=0,OR(D212="普通盒",D212="单颗暂存盒")),J212,0)</ns0:f>
        <ns0:v>0</ns0:v>
      </ns0:c>
      <ns0:c r="L212" s="149" t="n">
        <ns0:f>IF(AND(B212="开局",G212&gt;0,OR(D212="普通盒",D212="底部置顶盒",D212="炸弹盒")),J212,0)</ns0:f>
        <ns0:v>2</ns0:v>
      </ns0:c>
      <ns0:c r="M212" s="149" t="n">
        <ns0:f>IF(AND(B212="开局",OR(D212="固定颜色盒",D212="单向收纳盒")),J212,0)</ns0:f>
        <ns0:v>0</ns0:v>
      </ns0:c>
      <ns0:c r="N212" s="149" t="n">
        <ns0:f>IF(AND(B212="开局",OR(D212="数字盖盒",D212="普通冰冻盒",D212="数字冰冻盒",D212="数字冰冻单颗暂存盒")),J212,0)</ns0:f>
        <ns0:v>0</ns0:v>
      </ns0:c>
      <ns0:c r="O212" s="145" t="str">
        <ns0:f>IF(AND(E212&gt;0,E212=INT(E212),G212&gt;=0,G212&lt;=F212,G212=INT(G212),OR(AND(F212=1,OR(D212="单颗暂存盒",D212="数字冰冻单颗暂存盒")),AND(F212=4,NOT(OR(D212="单颗暂存盒",D212="数字冰冻单颗暂存盒")))),IF(OR(D212="数字盖盒",D212="数字冰冻盒",D212="数字冰冻单颗暂存盒"),AND(H212&gt;=1,H212=INT(H212)),H212=0),IF(B212="开局",AND(IF(OR(D212="数字盖盒",D212="普通冰冻盒",D212="数字冰冻盒",D212="炸弹盒",D212="底部置顶盒"),OR(G212=3,G212=4),TRUE),IF(OR(D212="单向收纳盒",D212="单颗暂存盒",D212="数字冰冻单颗暂存盒"),OR(G212=0,G212=1),TRUE),IF(OR(D212="固定颜色盒",D212="广告锁定周转盒"),G212=0,TRUE)),TRUE)),"通过","需调整")</ns0:f>
        <ns0:v>通过</ns0:v>
      </ns0:c>
      <ns0:c r="P212" s="145" t="str">
        <ns0:v>补货缓和</ns0:v>
      </ns0:c>
      <ns0:c r="Q212" s="145" t="str">
        <ns0:v>按本关首组层序JSON复现；不独立随机生成</ns0:v>
      </ns0:c>
      <ns0:c r="R212" s="149" t="n">
        <ns0:f>E212*H212</ns0:f>
        <ns0:v>0</ns0:v>
      </ns0:c>
    </ns0:row>
    <ns0:row r="213" ht="21" customHeight="1">
      <ns0:c r="A213" s="150" t="n">
        <ns0:v>38</ns0:v>
      </ns0:c>
      <ns0:c r="B213" s="147" t="str">
        <ns0:v>开局</ns0:v>
      </ns0:c>
      <ns0:c r="C213" s="147" t="str">
        <ns0:v>W038-04</ns0:v>
      </ns0:c>
      <ns0:c r="D213" s="147" t="str">
        <ns0:v>普通盒</ns0:v>
      </ns0:c>
      <ns0:c r="E213" s="152" t="n">
        <ns0:v>1</ns0:v>
      </ns0:c>
      <ns0:c r="F213" s="152" t="n">
        <ns0:v>4</ns0:v>
      </ns0:c>
      <ns0:c r="G213" s="152" t="n">
        <ns0:v>0</ns0:v>
      </ns0:c>
      <ns0:c r="H213" s="152" t="n">
        <ns0:v>0</ns0:v>
      </ns0:c>
      <ns0:c r="I213" s="150" t="n">
        <ns0:f>E213*G213</ns0:f>
        <ns0:v>0</ns0:v>
      </ns0:c>
      <ns0:c r="J213" s="150" t="n">
        <ns0:f>E213*(F213-G213)</ns0:f>
        <ns0:v>4</ns0:v>
      </ns0:c>
      <ns0:c r="K213" s="150" t="n">
        <ns0:f>IF(AND(B213="开局",G213=0,OR(D213="普通盒",D213="单颗暂存盒")),J213,0)</ns0:f>
        <ns0:v>4</ns0:v>
      </ns0:c>
      <ns0:c r="L213" s="150" t="n">
        <ns0:f>IF(AND(B213="开局",G213&gt;0,OR(D213="普通盒",D213="底部置顶盒",D213="炸弹盒")),J213,0)</ns0:f>
        <ns0:v>0</ns0:v>
      </ns0:c>
      <ns0:c r="M213" s="150" t="n">
        <ns0:f>IF(AND(B213="开局",OR(D213="固定颜色盒",D213="单向收纳盒")),J213,0)</ns0:f>
        <ns0:v>0</ns0:v>
      </ns0:c>
      <ns0:c r="N213" s="150" t="n">
        <ns0:f>IF(AND(B213="开局",OR(D213="数字盖盒",D213="普通冰冻盒",D213="数字冰冻盒",D213="数字冰冻单颗暂存盒")),J213,0)</ns0:f>
        <ns0:v>0</ns0:v>
      </ns0:c>
      <ns0:c r="O213" s="147" t="str">
        <ns0:f>IF(AND(E213&gt;0,E213=INT(E213),G213&gt;=0,G213&lt;=F213,G213=INT(G213),OR(AND(F213=1,OR(D213="单颗暂存盒",D213="数字冰冻单颗暂存盒")),AND(F213=4,NOT(OR(D213="单颗暂存盒",D213="数字冰冻单颗暂存盒")))),IF(OR(D213="数字盖盒",D213="数字冰冻盒",D213="数字冰冻单颗暂存盒"),AND(H213&gt;=1,H213=INT(H213)),H213=0),IF(B213="开局",AND(IF(OR(D213="数字盖盒",D213="普通冰冻盒",D213="数字冰冻盒",D213="炸弹盒",D213="底部置顶盒"),OR(G213=3,G213=4),TRUE),IF(OR(D213="单向收纳盒",D213="单颗暂存盒",D213="数字冰冻单颗暂存盒"),OR(G213=0,G213=1),TRUE),IF(OR(D213="固定颜色盒",D213="广告锁定周转盒"),G213=0,TRUE)),TRUE)),"通过","需调整")</ns0:f>
        <ns0:v>通过</ns0:v>
      </ns0:c>
      <ns0:c r="P213" s="147" t="str">
        <ns0:v>补货缓和</ns0:v>
      </ns0:c>
      <ns0:c r="Q213" s="147" t="str">
        <ns0:v>按本关首组层序JSON复现；不独立随机生成</ns0:v>
      </ns0:c>
      <ns0:c r="R213" s="150" t="n">
        <ns0:f>E213*H213</ns0:f>
        <ns0:v>0</ns0:v>
      </ns0:c>
    </ns0:row>
    <ns0:row r="214" ht="21" customHeight="1">
      <ns0:c r="A214" s="149" t="n">
        <ns0:v>38</ns0:v>
      </ns0:c>
      <ns0:c r="B214" s="145" t="str">
        <ns0:v>开局</ns0:v>
      </ns0:c>
      <ns0:c r="C214" s="145" t="str">
        <ns0:v>W038-05</ns0:v>
      </ns0:c>
      <ns0:c r="D214" s="145" t="str">
        <ns0:v>普通冰冻盒</ns0:v>
      </ns0:c>
      <ns0:c r="E214" s="152" t="n">
        <ns0:v>1</ns0:v>
      </ns0:c>
      <ns0:c r="F214" s="152" t="n">
        <ns0:v>4</ns0:v>
      </ns0:c>
      <ns0:c r="G214" s="152" t="n">
        <ns0:v>4</ns0:v>
      </ns0:c>
      <ns0:c r="H214" s="152" t="n">
        <ns0:v>0</ns0:v>
      </ns0:c>
      <ns0:c r="I214" s="149" t="n">
        <ns0:f>E214*G214</ns0:f>
        <ns0:v>4</ns0:v>
      </ns0:c>
      <ns0:c r="J214" s="149" t="n">
        <ns0:f>E214*(F214-G214)</ns0:f>
        <ns0:v>0</ns0:v>
      </ns0:c>
      <ns0:c r="K214" s="149" t="n">
        <ns0:f>IF(AND(B214="开局",G214=0,OR(D214="普通盒",D214="单颗暂存盒")),J214,0)</ns0:f>
        <ns0:v>0</ns0:v>
      </ns0:c>
      <ns0:c r="L214" s="149" t="n">
        <ns0:f>IF(AND(B214="开局",G214&gt;0,OR(D214="普通盒",D214="底部置顶盒",D214="炸弹盒")),J214,0)</ns0:f>
        <ns0:v>0</ns0:v>
      </ns0:c>
      <ns0:c r="M214" s="149" t="n">
        <ns0:f>IF(AND(B214="开局",OR(D214="固定颜色盒",D214="单向收纳盒")),J214,0)</ns0:f>
        <ns0:v>0</ns0:v>
      </ns0:c>
      <ns0:c r="N214" s="149" t="n">
        <ns0:f>IF(AND(B214="开局",OR(D214="数字盖盒",D214="普通冰冻盒",D214="数字冰冻盒",D214="数字冰冻单颗暂存盒")),J214,0)</ns0:f>
        <ns0:v>0</ns0:v>
      </ns0:c>
      <ns0:c r="O214" s="145" t="str">
        <ns0:f>IF(AND(E214&gt;0,E214=INT(E214),G214&gt;=0,G214&lt;=F214,G214=INT(G214),OR(AND(F214=1,OR(D214="单颗暂存盒",D214="数字冰冻单颗暂存盒")),AND(F214=4,NOT(OR(D214="单颗暂存盒",D214="数字冰冻单颗暂存盒")))),IF(OR(D214="数字盖盒",D214="数字冰冻盒",D214="数字冰冻单颗暂存盒"),AND(H214&gt;=1,H214=INT(H214)),H214=0),IF(B214="开局",AND(IF(OR(D214="数字盖盒",D214="普通冰冻盒",D214="数字冰冻盒",D214="炸弹盒",D214="底部置顶盒"),OR(G214=3,G214=4),TRUE),IF(OR(D214="单向收纳盒",D214="单颗暂存盒",D214="数字冰冻单颗暂存盒"),OR(G214=0,G214=1),TRUE),IF(OR(D214="固定颜色盒",D214="广告锁定周转盒"),G214=0,TRUE)),TRUE)),"通过","需调整")</ns0:f>
        <ns0:v>通过</ns0:v>
      </ns0:c>
      <ns0:c r="P214" s="145" t="str">
        <ns0:v>补货缓和</ns0:v>
      </ns0:c>
      <ns0:c r="Q214" s="145" t="str">
        <ns0:v>按本关首组层序JSON复现；不独立随机生成</ns0:v>
      </ns0:c>
      <ns0:c r="R214" s="149" t="n">
        <ns0:f>E214*H214</ns0:f>
        <ns0:v>0</ns0:v>
      </ns0:c>
    </ns0:row>
    <ns0:row r="215" ht="21" customHeight="1">
      <ns0:c r="A215" s="150" t="n">
        <ns0:v>38</ns0:v>
      </ns0:c>
      <ns0:c r="B215" s="147" t="str">
        <ns0:v>开局</ns0:v>
      </ns0:c>
      <ns0:c r="C215" s="147" t="str">
        <ns0:v>W038-06</ns0:v>
      </ns0:c>
      <ns0:c r="D215" s="147" t="str">
        <ns0:v>单颗暂存盒</ns0:v>
      </ns0:c>
      <ns0:c r="E215" s="152" t="n">
        <ns0:v>1</ns0:v>
      </ns0:c>
      <ns0:c r="F215" s="152" t="n">
        <ns0:v>1</ns0:v>
      </ns0:c>
      <ns0:c r="G215" s="152" t="n">
        <ns0:v>0</ns0:v>
      </ns0:c>
      <ns0:c r="H215" s="152" t="n">
        <ns0:v>0</ns0:v>
      </ns0:c>
      <ns0:c r="I215" s="150" t="n">
        <ns0:f>E215*G215</ns0:f>
        <ns0:v>0</ns0:v>
      </ns0:c>
      <ns0:c r="J215" s="150" t="n">
        <ns0:f>E215*(F215-G215)</ns0:f>
        <ns0:v>1</ns0:v>
      </ns0:c>
      <ns0:c r="K215" s="150" t="n">
        <ns0:f>IF(AND(B215="开局",G215=0,OR(D215="普通盒",D215="单颗暂存盒")),J215,0)</ns0:f>
        <ns0:v>1</ns0:v>
      </ns0:c>
      <ns0:c r="L215" s="150" t="n">
        <ns0:f>IF(AND(B215="开局",G215&gt;0,OR(D215="普通盒",D215="底部置顶盒",D215="炸弹盒")),J215,0)</ns0:f>
        <ns0:v>0</ns0:v>
      </ns0:c>
      <ns0:c r="M215" s="150" t="n">
        <ns0:f>IF(AND(B215="开局",OR(D215="固定颜色盒",D215="单向收纳盒")),J215,0)</ns0:f>
        <ns0:v>0</ns0:v>
      </ns0:c>
      <ns0:c r="N215" s="150" t="n">
        <ns0:f>IF(AND(B215="开局",OR(D215="数字盖盒",D215="普通冰冻盒",D215="数字冰冻盒",D215="数字冰冻单颗暂存盒")),J215,0)</ns0:f>
        <ns0:v>0</ns0:v>
      </ns0:c>
      <ns0:c r="O215" s="147" t="str">
        <ns0:f>IF(AND(E215&gt;0,E215=INT(E215),G215&gt;=0,G215&lt;=F215,G215=INT(G215),OR(AND(F215=1,OR(D215="单颗暂存盒",D215="数字冰冻单颗暂存盒")),AND(F215=4,NOT(OR(D215="单颗暂存盒",D215="数字冰冻单颗暂存盒")))),IF(OR(D215="数字盖盒",D215="数字冰冻盒",D215="数字冰冻单颗暂存盒"),AND(H215&gt;=1,H215=INT(H215)),H215=0),IF(B215="开局",AND(IF(OR(D215="数字盖盒",D215="普通冰冻盒",D215="数字冰冻盒",D215="炸弹盒",D215="底部置顶盒"),OR(G215=3,G215=4),TRUE),IF(OR(D215="单向收纳盒",D215="单颗暂存盒",D215="数字冰冻单颗暂存盒"),OR(G215=0,G215=1),TRUE),IF(OR(D215="固定颜色盒",D215="广告锁定周转盒"),G215=0,TRUE)),TRUE)),"通过","需调整")</ns0:f>
        <ns0:v>通过</ns0:v>
      </ns0:c>
      <ns0:c r="P215" s="147" t="str">
        <ns0:v>补货缓和</ns0:v>
      </ns0:c>
      <ns0:c r="Q215" s="147" t="str">
        <ns0:v>按本关首组层序JSON复现；不独立随机生成</ns0:v>
      </ns0:c>
      <ns0:c r="R215" s="150" t="n">
        <ns0:f>E215*H215</ns0:f>
        <ns0:v>0</ns0:v>
      </ns0:c>
    </ns0:row>
    <ns0:row r="216" ht="21" customHeight="1">
      <ns0:c r="A216" s="149" t="n">
        <ns0:v>38</ns0:v>
      </ns0:c>
      <ns0:c r="B216" s="145" t="str">
        <ns0:v>开局</ns0:v>
      </ns0:c>
      <ns0:c r="C216" s="145" t="str">
        <ns0:v>W038-07</ns0:v>
      </ns0:c>
      <ns0:c r="D216" s="145" t="str">
        <ns0:v>广告锁定周转盒</ns0:v>
      </ns0:c>
      <ns0:c r="E216" s="152" t="n">
        <ns0:v>2</ns0:v>
      </ns0:c>
      <ns0:c r="F216" s="152" t="n">
        <ns0:v>4</ns0:v>
      </ns0:c>
      <ns0:c r="G216" s="152" t="n">
        <ns0:v>0</ns0:v>
      </ns0:c>
      <ns0:c r="H216" s="152" t="n">
        <ns0:v>0</ns0:v>
      </ns0:c>
      <ns0:c r="I216" s="149" t="n">
        <ns0:f>E216*G216</ns0:f>
        <ns0:v>0</ns0:v>
      </ns0:c>
      <ns0:c r="J216" s="149" t="n">
        <ns0:f>E216*(F216-G216)</ns0:f>
        <ns0:v>8</ns0:v>
      </ns0:c>
      <ns0:c r="K216" s="149" t="n">
        <ns0:f>IF(AND(B216="开局",G216=0,OR(D216="普通盒",D216="单颗暂存盒")),J216,0)</ns0:f>
        <ns0:v>0</ns0:v>
      </ns0:c>
      <ns0:c r="L216" s="149" t="n">
        <ns0:f>IF(AND(B216="开局",G216&gt;0,OR(D216="普通盒",D216="底部置顶盒",D216="炸弹盒")),J216,0)</ns0:f>
        <ns0:v>0</ns0:v>
      </ns0:c>
      <ns0:c r="M216" s="149" t="n">
        <ns0:f>IF(AND(B216="开局",OR(D216="固定颜色盒",D216="单向收纳盒")),J216,0)</ns0:f>
        <ns0:v>0</ns0:v>
      </ns0:c>
      <ns0:c r="N216" s="149" t="n">
        <ns0:f>IF(AND(B216="开局",OR(D216="数字盖盒",D216="普通冰冻盒",D216="数字冰冻盒",D216="数字冰冻单颗暂存盒")),J216,0)</ns0:f>
        <ns0:v>0</ns0:v>
      </ns0:c>
      <ns0:c r="O216" s="145" t="str">
        <ns0:f>IF(AND(E216&gt;0,E216=INT(E216),G216&gt;=0,G216&lt;=F216,G216=INT(G216),OR(AND(F216=1,OR(D216="单颗暂存盒",D216="数字冰冻单颗暂存盒")),AND(F216=4,NOT(OR(D216="单颗暂存盒",D216="数字冰冻单颗暂存盒")))),IF(OR(D216="数字盖盒",D216="数字冰冻盒",D216="数字冰冻单颗暂存盒"),AND(H216&gt;=1,H216=INT(H216)),H216=0),IF(B216="开局",AND(IF(OR(D216="数字盖盒",D216="普通冰冻盒",D216="数字冰冻盒",D216="炸弹盒",D216="底部置顶盒"),OR(G216=3,G216=4),TRUE),IF(OR(D216="单向收纳盒",D216="单颗暂存盒",D216="数字冰冻单颗暂存盒"),OR(G216=0,G216=1),TRUE),IF(OR(D216="固定颜色盒",D216="广告锁定周转盒"),G216=0,TRUE)),TRUE)),"通过","需调整")</ns0:f>
        <ns0:v>通过</ns0:v>
      </ns0:c>
      <ns0:c r="P216" s="145" t="str">
        <ns0:v>补货缓和</ns0:v>
      </ns0:c>
      <ns0:c r="Q216" s="145" t="str">
        <ns0:v>按本关首组层序JSON复现；不独立随机生成</ns0:v>
      </ns0:c>
      <ns0:c r="R216" s="149" t="n">
        <ns0:f>E216*H216</ns0:f>
        <ns0:v>0</ns0:v>
      </ns0:c>
    </ns0:row>
    <ns0:row r="217" ht="21" customHeight="1">
      <ns0:c r="A217" s="150" t="n">
        <ns0:v>38</ns0:v>
      </ns0:c>
      <ns0:c r="B217" s="147" t="str">
        <ns0:v>备货</ns0:v>
      </ns0:c>
      <ns0:c r="C217" s="147" t="str">
        <ns0:v>W038-08</ns0:v>
      </ns0:c>
      <ns0:c r="D217" s="147" t="str">
        <ns0:v>普通盒</ns0:v>
      </ns0:c>
      <ns0:c r="E217" s="152" t="n">
        <ns0:v>1</ns0:v>
      </ns0:c>
      <ns0:c r="F217" s="152" t="n">
        <ns0:v>4</ns0:v>
      </ns0:c>
      <ns0:c r="G217" s="152" t="n">
        <ns0:v>4</ns0:v>
      </ns0:c>
      <ns0:c r="H217" s="152" t="n">
        <ns0:v>0</ns0:v>
      </ns0:c>
      <ns0:c r="I217" s="150" t="n">
        <ns0:f>E217*G217</ns0:f>
        <ns0:v>4</ns0:v>
      </ns0:c>
      <ns0:c r="J217" s="150" t="n">
        <ns0:f>E217*(F217-G217)</ns0:f>
        <ns0:v>0</ns0:v>
      </ns0:c>
      <ns0:c r="K217" s="150" t="n">
        <ns0:f>IF(AND(B217="开局",G217=0,OR(D217="普通盒",D217="单颗暂存盒")),J217,0)</ns0:f>
        <ns0:v>0</ns0:v>
      </ns0:c>
      <ns0:c r="L217" s="150" t="n">
        <ns0:f>IF(AND(B217="开局",G217&gt;0,OR(D217="普通盒",D217="底部置顶盒",D217="炸弹盒")),J217,0)</ns0:f>
        <ns0:v>0</ns0:v>
      </ns0:c>
      <ns0:c r="M217" s="150" t="n">
        <ns0:f>IF(AND(B217="开局",OR(D217="固定颜色盒",D217="单向收纳盒")),J217,0)</ns0:f>
        <ns0:v>0</ns0:v>
      </ns0:c>
      <ns0:c r="N217" s="150" t="n">
        <ns0:f>IF(AND(B217="开局",OR(D217="数字盖盒",D217="普通冰冻盒",D217="数字冰冻盒",D217="数字冰冻单颗暂存盒")),J217,0)</ns0:f>
        <ns0:v>0</ns0:v>
      </ns0:c>
      <ns0:c r="O217" s="147" t="str">
        <ns0:f>IF(AND(E217&gt;0,E217=INT(E217),G217&gt;=0,G217&lt;=F217,G217=INT(G217),OR(AND(F217=1,OR(D217="单颗暂存盒",D217="数字冰冻单颗暂存盒")),AND(F217=4,NOT(OR(D217="单颗暂存盒",D217="数字冰冻单颗暂存盒")))),IF(OR(D217="数字盖盒",D217="数字冰冻盒",D217="数字冰冻单颗暂存盒"),AND(H217&gt;=1,H217=INT(H217)),H217=0),IF(B217="开局",AND(IF(OR(D217="数字盖盒",D217="普通冰冻盒",D217="数字冰冻盒",D217="炸弹盒",D217="底部置顶盒"),OR(G217=3,G217=4),TRUE),IF(OR(D217="单向收纳盒",D217="单颗暂存盒",D217="数字冰冻单颗暂存盒"),OR(G217=0,G217=1),TRUE),IF(OR(D217="固定颜色盒",D217="广告锁定周转盒"),G217=0,TRUE)),TRUE)),"通过","需调整")</ns0:f>
        <ns0:v>通过</ns0:v>
      </ns0:c>
      <ns0:c r="P217" s="147" t="str">
        <ns0:v>补货缓和</ns0:v>
      </ns0:c>
      <ns0:c r="Q217" s="147" t="str">
        <ns0:v>按本关首组层序JSON复现；不独立随机生成</ns0:v>
      </ns0:c>
      <ns0:c r="R217" s="150" t="n">
        <ns0:f>E217*H217</ns0:f>
        <ns0:v>0</ns0:v>
      </ns0:c>
    </ns0:row>
    <ns0:row r="218" ht="21" customHeight="1">
      <ns0:c r="A218" s="149" t="n">
        <ns0:v>39</ns0:v>
      </ns0:c>
      <ns0:c r="B218" s="145" t="str">
        <ns0:v>开局</ns0:v>
      </ns0:c>
      <ns0:c r="C218" s="145" t="str">
        <ns0:v>W039-01</ns0:v>
      </ns0:c>
      <ns0:c r="D218" s="145" t="str">
        <ns0:v>普通盒</ns0:v>
      </ns0:c>
      <ns0:c r="E218" s="152" t="n">
        <ns0:v>10</ns0:v>
      </ns0:c>
      <ns0:c r="F218" s="152" t="n">
        <ns0:v>4</ns0:v>
      </ns0:c>
      <ns0:c r="G218" s="152" t="n">
        <ns0:v>4</ns0:v>
      </ns0:c>
      <ns0:c r="H218" s="152" t="n">
        <ns0:v>0</ns0:v>
      </ns0:c>
      <ns0:c r="I218" s="149" t="n">
        <ns0:f>E218*G218</ns0:f>
        <ns0:v>40</ns0:v>
      </ns0:c>
      <ns0:c r="J218" s="149" t="n">
        <ns0:f>E218*(F218-G218)</ns0:f>
        <ns0:v>0</ns0:v>
      </ns0:c>
      <ns0:c r="K218" s="149" t="n">
        <ns0:f>IF(AND(B218="开局",G218=0,OR(D218="普通盒",D218="单颗暂存盒")),J218,0)</ns0:f>
        <ns0:v>0</ns0:v>
      </ns0:c>
      <ns0:c r="L218" s="149" t="n">
        <ns0:f>IF(AND(B218="开局",G218&gt;0,OR(D218="普通盒",D218="底部置顶盒",D218="炸弹盒")),J218,0)</ns0:f>
        <ns0:v>0</ns0:v>
      </ns0:c>
      <ns0:c r="M218" s="149" t="n">
        <ns0:f>IF(AND(B218="开局",OR(D218="固定颜色盒",D218="单向收纳盒")),J218,0)</ns0:f>
        <ns0:v>0</ns0:v>
      </ns0:c>
      <ns0:c r="N218" s="149" t="n">
        <ns0:f>IF(AND(B218="开局",OR(D218="数字盖盒",D218="普通冰冻盒",D218="数字冰冻盒",D218="数字冰冻单颗暂存盒")),J218,0)</ns0:f>
        <ns0:v>0</ns0:v>
      </ns0:c>
      <ns0:c r="O218" s="145" t="str">
        <ns0:f>IF(AND(E218&gt;0,E218=INT(E218),G218&gt;=0,G218&lt;=F218,G218=INT(G218),OR(AND(F218=1,OR(D218="单颗暂存盒",D218="数字冰冻单颗暂存盒")),AND(F218=4,NOT(OR(D218="单颗暂存盒",D218="数字冰冻单颗暂存盒")))),IF(OR(D218="数字盖盒",D218="数字冰冻盒",D218="数字冰冻单颗暂存盒"),AND(H218&gt;=1,H218=INT(H218)),H218=0),IF(B218="开局",AND(IF(OR(D218="数字盖盒",D218="普通冰冻盒",D218="数字冰冻盒",D218="炸弹盒",D218="底部置顶盒"),OR(G218=3,G218=4),TRUE),IF(OR(D218="单向收纳盒",D218="单颗暂存盒",D218="数字冰冻单颗暂存盒"),OR(G218=0,G218=1),TRUE),IF(OR(D218="固定颜色盒",D218="广告锁定周转盒"),G218=0,TRUE)),TRUE)),"通过","需调整")</ns0:f>
        <ns0:v>通过</ns0:v>
      </ns0:c>
      <ns0:c r="P218" s="145" t="str">
        <ns0:v>阶段高点</ns0:v>
      </ns0:c>
      <ns0:c r="Q218" s="145" t="str">
        <ns0:v>层序JSON:{"reference":"已确认的31–40关续接方案；第39关：阶段高点；固定层序与订单，非参考小游戏逐关复刻","slots":[{"group_id":"W039-01","layers":[4,3,0,2]},{"group_id":"W039-05","layers":[0,0,3,5]},{"group_id":"W039-02","layers":[6,5,6]},{"group_id":"W039-06","layers":[8]},{"group_id":"W039-01","layers":[2,6,4,12]},{"group_id":"W039-01","layers":[2,6,2,4]},{"group_id":"W039-01","layers":[8,4,3,6]},{"group_id":"W039-01","layers":[8,0,2,6]},{"group_id":"W039-02","layers":[12,12,5]},{"group_id":"W039-01","layers":[8,6,3,12]},{"group_id":"W039-01","layers":[2,4,5,12],"hidden":[1,2,3]},{"group_id":"W039-03","layers":[8,0]},{"group_id":"W039-04","layers":[0,8,2,5]},{"group_id":"W039-03","layers":[4,3]},{"group_id":"W039-02","layers":[5,8,0]},{"group_id":"W039-01","layers":[5,3,2,8],"hidden":[1,2,3]},{"group_id":"W039-01","layers":[0,5,6,0]},{"group_id":"W039-04","layers":[3,4,4,12]},{"group_id":"W039-01","layers":[0,0,12,3]},{"group_id":"W039-03","layers":[0,12]}],"stock":[],"demand_sequences":[[4,8,6,2,5,4,2,0,12],[12,6,0,5,8,0,3,3]]}</ns0:v>
      </ns0:c>
      <ns0:c r="R218" s="149" t="n">
        <ns0:f>E218*H218</ns0:f>
        <ns0:v>0</ns0:v>
      </ns0:c>
    </ns0:row>
    <ns0:row r="219" ht="21" customHeight="1">
      <ns0:c r="A219" s="150" t="n">
        <ns0:v>39</ns0:v>
      </ns0:c>
      <ns0:c r="B219" s="147" t="str">
        <ns0:v>开局</ns0:v>
      </ns0:c>
      <ns0:c r="C219" s="147" t="str">
        <ns0:v>W039-02</ns0:v>
      </ns0:c>
      <ns0:c r="D219" s="147" t="str">
        <ns0:v>普通盒</ns0:v>
      </ns0:c>
      <ns0:c r="E219" s="152" t="n">
        <ns0:v>3</ns0:v>
      </ns0:c>
      <ns0:c r="F219" s="152" t="n">
        <ns0:v>4</ns0:v>
      </ns0:c>
      <ns0:c r="G219" s="152" t="n">
        <ns0:v>3</ns0:v>
      </ns0:c>
      <ns0:c r="H219" s="152" t="n">
        <ns0:v>0</ns0:v>
      </ns0:c>
      <ns0:c r="I219" s="150" t="n">
        <ns0:f>E219*G219</ns0:f>
        <ns0:v>9</ns0:v>
      </ns0:c>
      <ns0:c r="J219" s="150" t="n">
        <ns0:f>E219*(F219-G219)</ns0:f>
        <ns0:v>3</ns0:v>
      </ns0:c>
      <ns0:c r="K219" s="150" t="n">
        <ns0:f>IF(AND(B219="开局",G219=0,OR(D219="普通盒",D219="单颗暂存盒")),J219,0)</ns0:f>
        <ns0:v>0</ns0:v>
      </ns0:c>
      <ns0:c r="L219" s="150" t="n">
        <ns0:f>IF(AND(B219="开局",G219&gt;0,OR(D219="普通盒",D219="底部置顶盒",D219="炸弹盒")),J219,0)</ns0:f>
        <ns0:v>3</ns0:v>
      </ns0:c>
      <ns0:c r="M219" s="150" t="n">
        <ns0:f>IF(AND(B219="开局",OR(D219="固定颜色盒",D219="单向收纳盒")),J219,0)</ns0:f>
        <ns0:v>0</ns0:v>
      </ns0:c>
      <ns0:c r="N219" s="150" t="n">
        <ns0:f>IF(AND(B219="开局",OR(D219="数字盖盒",D219="普通冰冻盒",D219="数字冰冻盒",D219="数字冰冻单颗暂存盒")),J219,0)</ns0:f>
        <ns0:v>0</ns0:v>
      </ns0:c>
      <ns0:c r="O219" s="147" t="str">
        <ns0:f>IF(AND(E219&gt;0,E219=INT(E219),G219&gt;=0,G219&lt;=F219,G219=INT(G219),OR(AND(F219=1,OR(D219="单颗暂存盒",D219="数字冰冻单颗暂存盒")),AND(F219=4,NOT(OR(D219="单颗暂存盒",D219="数字冰冻单颗暂存盒")))),IF(OR(D219="数字盖盒",D219="数字冰冻盒",D219="数字冰冻单颗暂存盒"),AND(H219&gt;=1,H219=INT(H219)),H219=0),IF(B219="开局",AND(IF(OR(D219="数字盖盒",D219="普通冰冻盒",D219="数字冰冻盒",D219="炸弹盒",D219="底部置顶盒"),OR(G219=3,G219=4),TRUE),IF(OR(D219="单向收纳盒",D219="单颗暂存盒",D219="数字冰冻单颗暂存盒"),OR(G219=0,G219=1),TRUE),IF(OR(D219="固定颜色盒",D219="广告锁定周转盒"),G219=0,TRUE)),TRUE)),"通过","需调整")</ns0:f>
        <ns0:v>通过</ns0:v>
      </ns0:c>
      <ns0:c r="P219" s="147" t="str">
        <ns0:v>阶段高点</ns0:v>
      </ns0:c>
      <ns0:c r="Q219" s="147" t="str">
        <ns0:v>按本关首组层序JSON复现；不独立随机生成</ns0:v>
      </ns0:c>
      <ns0:c r="R219" s="150" t="n">
        <ns0:f>E219*H219</ns0:f>
        <ns0:v>0</ns0:v>
      </ns0:c>
    </ns0:row>
    <ns0:row r="220" ht="21" customHeight="1">
      <ns0:c r="A220" s="149" t="n">
        <ns0:v>39</ns0:v>
      </ns0:c>
      <ns0:c r="B220" s="145" t="str">
        <ns0:v>开局</ns0:v>
      </ns0:c>
      <ns0:c r="C220" s="145" t="str">
        <ns0:v>W039-03</ns0:v>
      </ns0:c>
      <ns0:c r="D220" s="145" t="str">
        <ns0:v>普通盒</ns0:v>
      </ns0:c>
      <ns0:c r="E220" s="152" t="n">
        <ns0:v>3</ns0:v>
      </ns0:c>
      <ns0:c r="F220" s="152" t="n">
        <ns0:v>4</ns0:v>
      </ns0:c>
      <ns0:c r="G220" s="152" t="n">
        <ns0:v>2</ns0:v>
      </ns0:c>
      <ns0:c r="H220" s="152" t="n">
        <ns0:v>0</ns0:v>
      </ns0:c>
      <ns0:c r="I220" s="149" t="n">
        <ns0:f>E220*G220</ns0:f>
        <ns0:v>6</ns0:v>
      </ns0:c>
      <ns0:c r="J220" s="149" t="n">
        <ns0:f>E220*(F220-G220)</ns0:f>
        <ns0:v>6</ns0:v>
      </ns0:c>
      <ns0:c r="K220" s="149" t="n">
        <ns0:f>IF(AND(B220="开局",G220=0,OR(D220="普通盒",D220="单颗暂存盒")),J220,0)</ns0:f>
        <ns0:v>0</ns0:v>
      </ns0:c>
      <ns0:c r="L220" s="149" t="n">
        <ns0:f>IF(AND(B220="开局",G220&gt;0,OR(D220="普通盒",D220="底部置顶盒",D220="炸弹盒")),J220,0)</ns0:f>
        <ns0:v>6</ns0:v>
      </ns0:c>
      <ns0:c r="M220" s="149" t="n">
        <ns0:f>IF(AND(B220="开局",OR(D220="固定颜色盒",D220="单向收纳盒")),J220,0)</ns0:f>
        <ns0:v>0</ns0:v>
      </ns0:c>
      <ns0:c r="N220" s="149" t="n">
        <ns0:f>IF(AND(B220="开局",OR(D220="数字盖盒",D220="普通冰冻盒",D220="数字冰冻盒",D220="数字冰冻单颗暂存盒")),J220,0)</ns0:f>
        <ns0:v>0</ns0:v>
      </ns0:c>
      <ns0:c r="O220" s="145" t="str">
        <ns0:f>IF(AND(E220&gt;0,E220=INT(E220),G220&gt;=0,G220&lt;=F220,G220=INT(G220),OR(AND(F220=1,OR(D220="单颗暂存盒",D220="数字冰冻单颗暂存盒")),AND(F220=4,NOT(OR(D220="单颗暂存盒",D220="数字冰冻单颗暂存盒")))),IF(OR(D220="数字盖盒",D220="数字冰冻盒",D220="数字冰冻单颗暂存盒"),AND(H220&gt;=1,H220=INT(H220)),H220=0),IF(B220="开局",AND(IF(OR(D220="数字盖盒",D220="普通冰冻盒",D220="数字冰冻盒",D220="炸弹盒",D220="底部置顶盒"),OR(G220=3,G220=4),TRUE),IF(OR(D220="单向收纳盒",D220="单颗暂存盒",D220="数字冰冻单颗暂存盒"),OR(G220=0,G220=1),TRUE),IF(OR(D220="固定颜色盒",D220="广告锁定周转盒"),G220=0,TRUE)),TRUE)),"通过","需调整")</ns0:f>
        <ns0:v>通过</ns0:v>
      </ns0:c>
      <ns0:c r="P220" s="145" t="str">
        <ns0:v>阶段高点</ns0:v>
      </ns0:c>
      <ns0:c r="Q220" s="145" t="str">
        <ns0:v>按本关首组层序JSON复现；不独立随机生成</ns0:v>
      </ns0:c>
      <ns0:c r="R220" s="149" t="n">
        <ns0:f>E220*H220</ns0:f>
        <ns0:v>0</ns0:v>
      </ns0:c>
    </ns0:row>
    <ns0:row r="221" ht="21" customHeight="1">
      <ns0:c r="A221" s="150" t="n">
        <ns0:v>39</ns0:v>
      </ns0:c>
      <ns0:c r="B221" s="147" t="str">
        <ns0:v>开局</ns0:v>
      </ns0:c>
      <ns0:c r="C221" s="147" t="str">
        <ns0:v>W039-04</ns0:v>
      </ns0:c>
      <ns0:c r="D221" s="147" t="str">
        <ns0:v>普通冰冻盒</ns0:v>
      </ns0:c>
      <ns0:c r="E221" s="152" t="n">
        <ns0:v>2</ns0:v>
      </ns0:c>
      <ns0:c r="F221" s="152" t="n">
        <ns0:v>4</ns0:v>
      </ns0:c>
      <ns0:c r="G221" s="152" t="n">
        <ns0:v>4</ns0:v>
      </ns0:c>
      <ns0:c r="H221" s="152" t="n">
        <ns0:v>0</ns0:v>
      </ns0:c>
      <ns0:c r="I221" s="150" t="n">
        <ns0:f>E221*G221</ns0:f>
        <ns0:v>8</ns0:v>
      </ns0:c>
      <ns0:c r="J221" s="150" t="n">
        <ns0:f>E221*(F221-G221)</ns0:f>
        <ns0:v>0</ns0:v>
      </ns0:c>
      <ns0:c r="K221" s="150" t="n">
        <ns0:f>IF(AND(B221="开局",G221=0,OR(D221="普通盒",D221="单颗暂存盒")),J221,0)</ns0:f>
        <ns0:v>0</ns0:v>
      </ns0:c>
      <ns0:c r="L221" s="150" t="n">
        <ns0:f>IF(AND(B221="开局",G221&gt;0,OR(D221="普通盒",D221="底部置顶盒",D221="炸弹盒")),J221,0)</ns0:f>
        <ns0:v>0</ns0:v>
      </ns0:c>
      <ns0:c r="M221" s="150" t="n">
        <ns0:f>IF(AND(B221="开局",OR(D221="固定颜色盒",D221="单向收纳盒")),J221,0)</ns0:f>
        <ns0:v>0</ns0:v>
      </ns0:c>
      <ns0:c r="N221" s="150" t="n">
        <ns0:f>IF(AND(B221="开局",OR(D221="数字盖盒",D221="普通冰冻盒",D221="数字冰冻盒",D221="数字冰冻单颗暂存盒")),J221,0)</ns0:f>
        <ns0:v>0</ns0:v>
      </ns0:c>
      <ns0:c r="O221" s="147" t="str">
        <ns0:f>IF(AND(E221&gt;0,E221=INT(E221),G221&gt;=0,G221&lt;=F221,G221=INT(G221),OR(AND(F221=1,OR(D221="单颗暂存盒",D221="数字冰冻单颗暂存盒")),AND(F221=4,NOT(OR(D221="单颗暂存盒",D221="数字冰冻单颗暂存盒")))),IF(OR(D221="数字盖盒",D221="数字冰冻盒",D221="数字冰冻单颗暂存盒"),AND(H221&gt;=1,H221=INT(H221)),H221=0),IF(B221="开局",AND(IF(OR(D221="数字盖盒",D221="普通冰冻盒",D221="数字冰冻盒",D221="炸弹盒",D221="底部置顶盒"),OR(G221=3,G221=4),TRUE),IF(OR(D221="单向收纳盒",D221="单颗暂存盒",D221="数字冰冻单颗暂存盒"),OR(G221=0,G221=1),TRUE),IF(OR(D221="固定颜色盒",D221="广告锁定周转盒"),G221=0,TRUE)),TRUE)),"通过","需调整")</ns0:f>
        <ns0:v>通过</ns0:v>
      </ns0:c>
      <ns0:c r="P221" s="147" t="str">
        <ns0:v>阶段高点</ns0:v>
      </ns0:c>
      <ns0:c r="Q221" s="147" t="str">
        <ns0:v>按本关首组层序JSON复现；不独立随机生成</ns0:v>
      </ns0:c>
      <ns0:c r="R221" s="150" t="n">
        <ns0:f>E221*H221</ns0:f>
        <ns0:v>0</ns0:v>
      </ns0:c>
    </ns0:row>
    <ns0:row r="222" ht="21" customHeight="1">
      <ns0:c r="A222" s="149" t="n">
        <ns0:v>39</ns0:v>
      </ns0:c>
      <ns0:c r="B222" s="145" t="str">
        <ns0:v>开局</ns0:v>
      </ns0:c>
      <ns0:c r="C222" s="145" t="str">
        <ns0:v>W039-05</ns0:v>
      </ns0:c>
      <ns0:c r="D222" s="145" t="str">
        <ns0:v>数字冰冻盒</ns0:v>
      </ns0:c>
      <ns0:c r="E222" s="152" t="n">
        <ns0:v>1</ns0:v>
      </ns0:c>
      <ns0:c r="F222" s="152" t="n">
        <ns0:v>4</ns0:v>
      </ns0:c>
      <ns0:c r="G222" s="152" t="n">
        <ns0:v>4</ns0:v>
      </ns0:c>
      <ns0:c r="H222" s="152" t="n">
        <ns0:v>2</ns0:v>
      </ns0:c>
      <ns0:c r="I222" s="149" t="n">
        <ns0:f>E222*G222</ns0:f>
        <ns0:v>4</ns0:v>
      </ns0:c>
      <ns0:c r="J222" s="149" t="n">
        <ns0:f>E222*(F222-G222)</ns0:f>
        <ns0:v>0</ns0:v>
      </ns0:c>
      <ns0:c r="K222" s="149" t="n">
        <ns0:f>IF(AND(B222="开局",G222=0,OR(D222="普通盒",D222="单颗暂存盒")),J222,0)</ns0:f>
        <ns0:v>0</ns0:v>
      </ns0:c>
      <ns0:c r="L222" s="149" t="n">
        <ns0:f>IF(AND(B222="开局",G222&gt;0,OR(D222="普通盒",D222="底部置顶盒",D222="炸弹盒")),J222,0)</ns0:f>
        <ns0:v>0</ns0:v>
      </ns0:c>
      <ns0:c r="M222" s="149" t="n">
        <ns0:f>IF(AND(B222="开局",OR(D222="固定颜色盒",D222="单向收纳盒")),J222,0)</ns0:f>
        <ns0:v>0</ns0:v>
      </ns0:c>
      <ns0:c r="N222" s="149" t="n">
        <ns0:f>IF(AND(B222="开局",OR(D222="数字盖盒",D222="普通冰冻盒",D222="数字冰冻盒",D222="数字冰冻单颗暂存盒")),J222,0)</ns0:f>
        <ns0:v>0</ns0:v>
      </ns0:c>
      <ns0:c r="O222" s="145" t="str">
        <ns0:f>IF(AND(E222&gt;0,E222=INT(E222),G222&gt;=0,G222&lt;=F222,G222=INT(G222),OR(AND(F222=1,OR(D222="单颗暂存盒",D222="数字冰冻单颗暂存盒")),AND(F222=4,NOT(OR(D222="单颗暂存盒",D222="数字冰冻单颗暂存盒")))),IF(OR(D222="数字盖盒",D222="数字冰冻盒",D222="数字冰冻单颗暂存盒"),AND(H222&gt;=1,H222=INT(H222)),H222=0),IF(B222="开局",AND(IF(OR(D222="数字盖盒",D222="普通冰冻盒",D222="数字冰冻盒",D222="炸弹盒",D222="底部置顶盒"),OR(G222=3,G222=4),TRUE),IF(OR(D222="单向收纳盒",D222="单颗暂存盒",D222="数字冰冻单颗暂存盒"),OR(G222=0,G222=1),TRUE),IF(OR(D222="固定颜色盒",D222="广告锁定周转盒"),G222=0,TRUE)),TRUE)),"通过","需调整")</ns0:f>
        <ns0:v>通过</ns0:v>
      </ns0:c>
      <ns0:c r="P222" s="145" t="str">
        <ns0:v>阶段高点</ns0:v>
      </ns0:c>
      <ns0:c r="Q222" s="145" t="str">
        <ns0:v>按本关首组层序JSON复现；不独立随机生成</ns0:v>
      </ns0:c>
      <ns0:c r="R222" s="149" t="n">
        <ns0:f>E222*H222</ns0:f>
        <ns0:v>2</ns0:v>
      </ns0:c>
    </ns0:row>
    <ns0:row r="223" ht="21" customHeight="1">
      <ns0:c r="A223" s="150" t="n">
        <ns0:v>39</ns0:v>
      </ns0:c>
      <ns0:c r="B223" s="147" t="str">
        <ns0:v>开局</ns0:v>
      </ns0:c>
      <ns0:c r="C223" s="147" t="str">
        <ns0:v>W039-06</ns0:v>
      </ns0:c>
      <ns0:c r="D223" s="147" t="str">
        <ns0:v>单颗暂存盒</ns0:v>
      </ns0:c>
      <ns0:c r="E223" s="152" t="n">
        <ns0:v>1</ns0:v>
      </ns0:c>
      <ns0:c r="F223" s="152" t="n">
        <ns0:v>1</ns0:v>
      </ns0:c>
      <ns0:c r="G223" s="152" t="n">
        <ns0:v>1</ns0:v>
      </ns0:c>
      <ns0:c r="H223" s="152" t="n">
        <ns0:v>0</ns0:v>
      </ns0:c>
      <ns0:c r="I223" s="150" t="n">
        <ns0:f>E223*G223</ns0:f>
        <ns0:v>1</ns0:v>
      </ns0:c>
      <ns0:c r="J223" s="150" t="n">
        <ns0:f>E223*(F223-G223)</ns0:f>
        <ns0:v>0</ns0:v>
      </ns0:c>
      <ns0:c r="K223" s="150" t="n">
        <ns0:f>IF(AND(B223="开局",G223=0,OR(D223="普通盒",D223="单颗暂存盒")),J223,0)</ns0:f>
        <ns0:v>0</ns0:v>
      </ns0:c>
      <ns0:c r="L223" s="150" t="n">
        <ns0:f>IF(AND(B223="开局",G223&gt;0,OR(D223="普通盒",D223="底部置顶盒",D223="炸弹盒")),J223,0)</ns0:f>
        <ns0:v>0</ns0:v>
      </ns0:c>
      <ns0:c r="M223" s="150" t="n">
        <ns0:f>IF(AND(B223="开局",OR(D223="固定颜色盒",D223="单向收纳盒")),J223,0)</ns0:f>
        <ns0:v>0</ns0:v>
      </ns0:c>
      <ns0:c r="N223" s="150" t="n">
        <ns0:f>IF(AND(B223="开局",OR(D223="数字盖盒",D223="普通冰冻盒",D223="数字冰冻盒",D223="数字冰冻单颗暂存盒")),J223,0)</ns0:f>
        <ns0:v>0</ns0:v>
      </ns0:c>
      <ns0:c r="O223" s="147" t="str">
        <ns0:f>IF(AND(E223&gt;0,E223=INT(E223),G223&gt;=0,G223&lt;=F223,G223=INT(G223),OR(AND(F223=1,OR(D223="单颗暂存盒",D223="数字冰冻单颗暂存盒")),AND(F223=4,NOT(OR(D223="单颗暂存盒",D223="数字冰冻单颗暂存盒")))),IF(OR(D223="数字盖盒",D223="数字冰冻盒",D223="数字冰冻单颗暂存盒"),AND(H223&gt;=1,H223=INT(H223)),H223=0),IF(B223="开局",AND(IF(OR(D223="数字盖盒",D223="普通冰冻盒",D223="数字冰冻盒",D223="炸弹盒",D223="底部置顶盒"),OR(G223=3,G223=4),TRUE),IF(OR(D223="单向收纳盒",D223="单颗暂存盒",D223="数字冰冻单颗暂存盒"),OR(G223=0,G223=1),TRUE),IF(OR(D223="固定颜色盒",D223="广告锁定周转盒"),G223=0,TRUE)),TRUE)),"通过","需调整")</ns0:f>
        <ns0:v>通过</ns0:v>
      </ns0:c>
      <ns0:c r="P223" s="147" t="str">
        <ns0:v>阶段高点</ns0:v>
      </ns0:c>
      <ns0:c r="Q223" s="147" t="str">
        <ns0:v>按本关首组层序JSON复现；不独立随机生成</ns0:v>
      </ns0:c>
      <ns0:c r="R223" s="150" t="n">
        <ns0:f>E223*H223</ns0:f>
        <ns0:v>0</ns0:v>
      </ns0:c>
    </ns0:row>
    <ns0:row r="224" ht="21" customHeight="1">
      <ns0:c r="A224" s="149" t="n">
        <ns0:v>39</ns0:v>
      </ns0:c>
      <ns0:c r="B224" s="145" t="str">
        <ns0:v>开局</ns0:v>
      </ns0:c>
      <ns0:c r="C224" s="145" t="str">
        <ns0:v>W039-07</ns0:v>
      </ns0:c>
      <ns0:c r="D224" s="145" t="str">
        <ns0:v>广告锁定周转盒</ns0:v>
      </ns0:c>
      <ns0:c r="E224" s="152" t="n">
        <ns0:v>2</ns0:v>
      </ns0:c>
      <ns0:c r="F224" s="152" t="n">
        <ns0:v>4</ns0:v>
      </ns0:c>
      <ns0:c r="G224" s="152" t="n">
        <ns0:v>0</ns0:v>
      </ns0:c>
      <ns0:c r="H224" s="152" t="n">
        <ns0:v>0</ns0:v>
      </ns0:c>
      <ns0:c r="I224" s="149" t="n">
        <ns0:f>E224*G224</ns0:f>
        <ns0:v>0</ns0:v>
      </ns0:c>
      <ns0:c r="J224" s="149" t="n">
        <ns0:f>E224*(F224-G224)</ns0:f>
        <ns0:v>8</ns0:v>
      </ns0:c>
      <ns0:c r="K224" s="149" t="n">
        <ns0:f>IF(AND(B224="开局",G224=0,OR(D224="普通盒",D224="单颗暂存盒")),J224,0)</ns0:f>
        <ns0:v>0</ns0:v>
      </ns0:c>
      <ns0:c r="L224" s="149" t="n">
        <ns0:f>IF(AND(B224="开局",G224&gt;0,OR(D224="普通盒",D224="底部置顶盒",D224="炸弹盒")),J224,0)</ns0:f>
        <ns0:v>0</ns0:v>
      </ns0:c>
      <ns0:c r="M224" s="149" t="n">
        <ns0:f>IF(AND(B224="开局",OR(D224="固定颜色盒",D224="单向收纳盒")),J224,0)</ns0:f>
        <ns0:v>0</ns0:v>
      </ns0:c>
      <ns0:c r="N224" s="149" t="n">
        <ns0:f>IF(AND(B224="开局",OR(D224="数字盖盒",D224="普通冰冻盒",D224="数字冰冻盒",D224="数字冰冻单颗暂存盒")),J224,0)</ns0:f>
        <ns0:v>0</ns0:v>
      </ns0:c>
      <ns0:c r="O224" s="145" t="str">
        <ns0:f>IF(AND(E224&gt;0,E224=INT(E224),G224&gt;=0,G224&lt;=F224,G224=INT(G224),OR(AND(F224=1,OR(D224="单颗暂存盒",D224="数字冰冻单颗暂存盒")),AND(F224=4,NOT(OR(D224="单颗暂存盒",D224="数字冰冻单颗暂存盒")))),IF(OR(D224="数字盖盒",D224="数字冰冻盒",D224="数字冰冻单颗暂存盒"),AND(H224&gt;=1,H224=INT(H224)),H224=0),IF(B224="开局",AND(IF(OR(D224="数字盖盒",D224="普通冰冻盒",D224="数字冰冻盒",D224="炸弹盒",D224="底部置顶盒"),OR(G224=3,G224=4),TRUE),IF(OR(D224="单向收纳盒",D224="单颗暂存盒",D224="数字冰冻单颗暂存盒"),OR(G224=0,G224=1),TRUE),IF(OR(D224="固定颜色盒",D224="广告锁定周转盒"),G224=0,TRUE)),TRUE)),"通过","需调整")</ns0:f>
        <ns0:v>通过</ns0:v>
      </ns0:c>
      <ns0:c r="P224" s="145" t="str">
        <ns0:v>阶段高点</ns0:v>
      </ns0:c>
      <ns0:c r="Q224" s="145" t="str">
        <ns0:v>按本关首组层序JSON复现；不独立随机生成</ns0:v>
      </ns0:c>
      <ns0:c r="R224" s="149" t="n">
        <ns0:f>E224*H224</ns0:f>
        <ns0:v>0</ns0:v>
      </ns0:c>
    </ns0:row>
    <ns0:row r="225" ht="21" customHeight="1">
      <ns0:c r="A225" s="150" t="n">
        <ns0:v>40</ns0:v>
      </ns0:c>
      <ns0:c r="B225" s="147" t="str">
        <ns0:v>开局</ns0:v>
      </ns0:c>
      <ns0:c r="C225" s="147" t="str">
        <ns0:v>W040-01</ns0:v>
      </ns0:c>
      <ns0:c r="D225" s="147" t="str">
        <ns0:v>普通盒</ns0:v>
      </ns0:c>
      <ns0:c r="E225" s="152" t="n">
        <ns0:v>12</ns0:v>
      </ns0:c>
      <ns0:c r="F225" s="152" t="n">
        <ns0:v>4</ns0:v>
      </ns0:c>
      <ns0:c r="G225" s="152" t="n">
        <ns0:v>4</ns0:v>
      </ns0:c>
      <ns0:c r="H225" s="152" t="n">
        <ns0:v>0</ns0:v>
      </ns0:c>
      <ns0:c r="I225" s="150" t="n">
        <ns0:f>E225*G225</ns0:f>
        <ns0:v>48</ns0:v>
      </ns0:c>
      <ns0:c r="J225" s="150" t="n">
        <ns0:f>E225*(F225-G225)</ns0:f>
        <ns0:v>0</ns0:v>
      </ns0:c>
      <ns0:c r="K225" s="150" t="n">
        <ns0:f>IF(AND(B225="开局",G225=0,OR(D225="普通盒",D225="单颗暂存盒")),J225,0)</ns0:f>
        <ns0:v>0</ns0:v>
      </ns0:c>
      <ns0:c r="L225" s="150" t="n">
        <ns0:f>IF(AND(B225="开局",G225&gt;0,OR(D225="普通盒",D225="底部置顶盒",D225="炸弹盒")),J225,0)</ns0:f>
        <ns0:v>0</ns0:v>
      </ns0:c>
      <ns0:c r="M225" s="150" t="n">
        <ns0:f>IF(AND(B225="开局",OR(D225="固定颜色盒",D225="单向收纳盒")),J225,0)</ns0:f>
        <ns0:v>0</ns0:v>
      </ns0:c>
      <ns0:c r="N225" s="150" t="n">
        <ns0:f>IF(AND(B225="开局",OR(D225="数字盖盒",D225="普通冰冻盒",D225="数字冰冻盒",D225="数字冰冻单颗暂存盒")),J225,0)</ns0:f>
        <ns0:v>0</ns0:v>
      </ns0:c>
      <ns0:c r="O225" s="147" t="str">
        <ns0:f>IF(AND(E225&gt;0,E225=INT(E225),G225&gt;=0,G225&lt;=F225,G225=INT(G225),OR(AND(F225=1,OR(D225="单颗暂存盒",D225="数字冰冻单颗暂存盒")),AND(F225=4,NOT(OR(D225="单颗暂存盒",D225="数字冰冻单颗暂存盒")))),IF(OR(D225="数字盖盒",D225="数字冰冻盒",D225="数字冰冻单颗暂存盒"),AND(H225&gt;=1,H225=INT(H225)),H225=0),IF(B225="开局",AND(IF(OR(D225="数字盖盒",D225="普通冰冻盒",D225="数字冰冻盒",D225="炸弹盒",D225="底部置顶盒"),OR(G225=3,G225=4),TRUE),IF(OR(D225="单向收纳盒",D225="单颗暂存盒",D225="数字冰冻单颗暂存盒"),OR(G225=0,G225=1),TRUE),IF(OR(D225="固定颜色盒",D225="广告锁定周转盒"),G225=0,TRUE)),TRUE)),"通过","需调整")</ns0:f>
        <ns0:v>通过</ns0:v>
      </ns0:c>
      <ns0:c r="P225" s="147" t="str">
        <ns0:v>三层盒收束</ns0:v>
      </ns0:c>
      <ns0:c r="Q225" s="147" t="str">
        <ns0:v>层序JSON:{"reference":"已确认的31–40关续接方案；第40关：三层盒收束；固定层序与订单，非参考小游戏逐关复刻","slots":[{"group_id":"W040-01","layers":[3,0,3,4]},{"group_id":"W040-01","layers":[3,0,4,4]},{"group_id":"W040-02","layers":[3,5,3]},{"group_id":"W040-01","layers":[12,0,6,2]},{"group_id":"W040-02","layers":[4,2,5]},{"group_id":"W040-01","layers":[5,0,12,8]},{"group_id":"W040-01","layers":[6,12,6,6]},{"group_id":"W040-01","layers":[6,5,8,12]},{"group_id":"W040-01","layers":[12,5,8,0]},{"group_id":"W040-04","layers":[12,4,3,6]},{"group_id":"W040-01","layers":[2,5,5,8]},{"group_id":"W040-04","layers":[0,8,4,0]},{"group_id":"W040-01","layers":[2,4,8,4]},{"group_id":"W040-01","layers":[3,2,3,5]},{"group_id":"W040-02","layers":[0,6,0]},{"group_id":"W040-01","layers":[12,8,12,0]},{"group_id":"W040-01","layers":[2,0,6,2]},{"group_id":"W040-02","layers":[0,8,2]},{"group_id":"W040-03","layers":[]}],"stock":[],"demand_sequences":[[6,0,12,0,5,2,0,6,8],[3,5,4,2,4,12,3,8]]}</ns0:v>
      </ns0:c>
      <ns0:c r="R225" s="150" t="n">
        <ns0:f>E225*H225</ns0:f>
        <ns0:v>0</ns0:v>
      </ns0:c>
    </ns0:row>
    <ns0:row r="226" ht="21" customHeight="1">
      <ns0:c r="A226" s="149" t="n">
        <ns0:v>40</ns0:v>
      </ns0:c>
      <ns0:c r="B226" s="145" t="str">
        <ns0:v>开局</ns0:v>
      </ns0:c>
      <ns0:c r="C226" s="145" t="str">
        <ns0:v>W040-02</ns0:v>
      </ns0:c>
      <ns0:c r="D226" s="145" t="str">
        <ns0:v>普通盒</ns0:v>
      </ns0:c>
      <ns0:c r="E226" s="152" t="n">
        <ns0:v>4</ns0:v>
      </ns0:c>
      <ns0:c r="F226" s="152" t="n">
        <ns0:v>4</ns0:v>
      </ns0:c>
      <ns0:c r="G226" s="152" t="n">
        <ns0:v>3</ns0:v>
      </ns0:c>
      <ns0:c r="H226" s="152" t="n">
        <ns0:v>0</ns0:v>
      </ns0:c>
      <ns0:c r="I226" s="149" t="n">
        <ns0:f>E226*G226</ns0:f>
        <ns0:v>12</ns0:v>
      </ns0:c>
      <ns0:c r="J226" s="149" t="n">
        <ns0:f>E226*(F226-G226)</ns0:f>
        <ns0:v>4</ns0:v>
      </ns0:c>
      <ns0:c r="K226" s="149" t="n">
        <ns0:f>IF(AND(B226="开局",G226=0,OR(D226="普通盒",D226="单颗暂存盒")),J226,0)</ns0:f>
        <ns0:v>0</ns0:v>
      </ns0:c>
      <ns0:c r="L226" s="149" t="n">
        <ns0:f>IF(AND(B226="开局",G226&gt;0,OR(D226="普通盒",D226="底部置顶盒",D226="炸弹盒")),J226,0)</ns0:f>
        <ns0:v>4</ns0:v>
      </ns0:c>
      <ns0:c r="M226" s="149" t="n">
        <ns0:f>IF(AND(B226="开局",OR(D226="固定颜色盒",D226="单向收纳盒")),J226,0)</ns0:f>
        <ns0:v>0</ns0:v>
      </ns0:c>
      <ns0:c r="N226" s="149" t="n">
        <ns0:f>IF(AND(B226="开局",OR(D226="数字盖盒",D226="普通冰冻盒",D226="数字冰冻盒",D226="数字冰冻单颗暂存盒")),J226,0)</ns0:f>
        <ns0:v>0</ns0:v>
      </ns0:c>
      <ns0:c r="O226" s="145" t="str">
        <ns0:f>IF(AND(E226&gt;0,E226=INT(E226),G226&gt;=0,G226&lt;=F226,G226=INT(G226),OR(AND(F226=1,OR(D226="单颗暂存盒",D226="数字冰冻单颗暂存盒")),AND(F226=4,NOT(OR(D226="单颗暂存盒",D226="数字冰冻单颗暂存盒")))),IF(OR(D226="数字盖盒",D226="数字冰冻盒",D226="数字冰冻单颗暂存盒"),AND(H226&gt;=1,H226=INT(H226)),H226=0),IF(B226="开局",AND(IF(OR(D226="数字盖盒",D226="普通冰冻盒",D226="数字冰冻盒",D226="炸弹盒",D226="底部置顶盒"),OR(G226=3,G226=4),TRUE),IF(OR(D226="单向收纳盒",D226="单颗暂存盒",D226="数字冰冻单颗暂存盒"),OR(G226=0,G226=1),TRUE),IF(OR(D226="固定颜色盒",D226="广告锁定周转盒"),G226=0,TRUE)),TRUE)),"通过","需调整")</ns0:f>
        <ns0:v>通过</ns0:v>
      </ns0:c>
      <ns0:c r="P226" s="145" t="str">
        <ns0:v>三层盒收束</ns0:v>
      </ns0:c>
      <ns0:c r="Q226" s="145" t="str">
        <ns0:v>按本关首组层序JSON复现；不独立随机生成</ns0:v>
      </ns0:c>
      <ns0:c r="R226" s="149" t="n">
        <ns0:f>E226*H226</ns0:f>
        <ns0:v>0</ns0:v>
      </ns0:c>
    </ns0:row>
    <ns0:row r="227" ht="21" customHeight="1">
      <ns0:c r="A227" s="150" t="n">
        <ns0:v>40</ns0:v>
      </ns0:c>
      <ns0:c r="B227" s="147" t="str">
        <ns0:v>开局</ns0:v>
      </ns0:c>
      <ns0:c r="C227" s="147" t="str">
        <ns0:v>W040-03</ns0:v>
      </ns0:c>
      <ns0:c r="D227" s="147" t="str">
        <ns0:v>普通盒</ns0:v>
      </ns0:c>
      <ns0:c r="E227" s="152" t="n">
        <ns0:v>1</ns0:v>
      </ns0:c>
      <ns0:c r="F227" s="152" t="n">
        <ns0:v>4</ns0:v>
      </ns0:c>
      <ns0:c r="G227" s="152" t="n">
        <ns0:v>0</ns0:v>
      </ns0:c>
      <ns0:c r="H227" s="152" t="n">
        <ns0:v>0</ns0:v>
      </ns0:c>
      <ns0:c r="I227" s="150" t="n">
        <ns0:f>E227*G227</ns0:f>
        <ns0:v>0</ns0:v>
      </ns0:c>
      <ns0:c r="J227" s="150" t="n">
        <ns0:f>E227*(F227-G227)</ns0:f>
        <ns0:v>4</ns0:v>
      </ns0:c>
      <ns0:c r="K227" s="150" t="n">
        <ns0:f>IF(AND(B227="开局",G227=0,OR(D227="普通盒",D227="单颗暂存盒")),J227,0)</ns0:f>
        <ns0:v>4</ns0:v>
      </ns0:c>
      <ns0:c r="L227" s="150" t="n">
        <ns0:f>IF(AND(B227="开局",G227&gt;0,OR(D227="普通盒",D227="底部置顶盒",D227="炸弹盒")),J227,0)</ns0:f>
        <ns0:v>0</ns0:v>
      </ns0:c>
      <ns0:c r="M227" s="150" t="n">
        <ns0:f>IF(AND(B227="开局",OR(D227="固定颜色盒",D227="单向收纳盒")),J227,0)</ns0:f>
        <ns0:v>0</ns0:v>
      </ns0:c>
      <ns0:c r="N227" s="150" t="n">
        <ns0:f>IF(AND(B227="开局",OR(D227="数字盖盒",D227="普通冰冻盒",D227="数字冰冻盒",D227="数字冰冻单颗暂存盒")),J227,0)</ns0:f>
        <ns0:v>0</ns0:v>
      </ns0:c>
      <ns0:c r="O227" s="147" t="str">
        <ns0:f>IF(AND(E227&gt;0,E227=INT(E227),G227&gt;=0,G227&lt;=F227,G227=INT(G227),OR(AND(F227=1,OR(D227="单颗暂存盒",D227="数字冰冻单颗暂存盒")),AND(F227=4,NOT(OR(D227="单颗暂存盒",D227="数字冰冻单颗暂存盒")))),IF(OR(D227="数字盖盒",D227="数字冰冻盒",D227="数字冰冻单颗暂存盒"),AND(H227&gt;=1,H227=INT(H227)),H227=0),IF(B227="开局",AND(IF(OR(D227="数字盖盒",D227="普通冰冻盒",D227="数字冰冻盒",D227="炸弹盒",D227="底部置顶盒"),OR(G227=3,G227=4),TRUE),IF(OR(D227="单向收纳盒",D227="单颗暂存盒",D227="数字冰冻单颗暂存盒"),OR(G227=0,G227=1),TRUE),IF(OR(D227="固定颜色盒",D227="广告锁定周转盒"),G227=0,TRUE)),TRUE)),"通过","需调整")</ns0:f>
        <ns0:v>通过</ns0:v>
      </ns0:c>
      <ns0:c r="P227" s="147" t="str">
        <ns0:v>三层盒收束</ns0:v>
      </ns0:c>
      <ns0:c r="Q227" s="147" t="str">
        <ns0:v>按本关首组层序JSON复现；不独立随机生成</ns0:v>
      </ns0:c>
      <ns0:c r="R227" s="150" t="n">
        <ns0:f>E227*H227</ns0:f>
        <ns0:v>0</ns0:v>
      </ns0:c>
    </ns0:row>
    <ns0:row r="228" ht="21" customHeight="1">
      <ns0:c r="A228" s="149" t="n">
        <ns0:v>40</ns0:v>
      </ns0:c>
      <ns0:c r="B228" s="145" t="str">
        <ns0:v>开局</ns0:v>
      </ns0:c>
      <ns0:c r="C228" s="145" t="str">
        <ns0:v>W040-04</ns0:v>
      </ns0:c>
      <ns0:c r="D228" s="145" t="str">
        <ns0:v>数字冰冻盒</ns0:v>
      </ns0:c>
      <ns0:c r="E228" s="152" t="n">
        <ns0:v>2</ns0:v>
      </ns0:c>
      <ns0:c r="F228" s="152" t="n">
        <ns0:v>4</ns0:v>
      </ns0:c>
      <ns0:c r="G228" s="152" t="n">
        <ns0:v>4</ns0:v>
      </ns0:c>
      <ns0:c r="H228" s="152" t="n">
        <ns0:v>1</ns0:v>
      </ns0:c>
      <ns0:c r="I228" s="149" t="n">
        <ns0:f>E228*G228</ns0:f>
        <ns0:v>8</ns0:v>
      </ns0:c>
      <ns0:c r="J228" s="149" t="n">
        <ns0:f>E228*(F228-G228)</ns0:f>
        <ns0:v>0</ns0:v>
      </ns0:c>
      <ns0:c r="K228" s="149" t="n">
        <ns0:f>IF(AND(B228="开局",G228=0,OR(D228="普通盒",D228="单颗暂存盒")),J228,0)</ns0:f>
        <ns0:v>0</ns0:v>
      </ns0:c>
      <ns0:c r="L228" s="149" t="n">
        <ns0:f>IF(AND(B228="开局",G228&gt;0,OR(D228="普通盒",D228="底部置顶盒",D228="炸弹盒")),J228,0)</ns0:f>
        <ns0:v>0</ns0:v>
      </ns0:c>
      <ns0:c r="M228" s="149" t="n">
        <ns0:f>IF(AND(B228="开局",OR(D228="固定颜色盒",D228="单向收纳盒")),J228,0)</ns0:f>
        <ns0:v>0</ns0:v>
      </ns0:c>
      <ns0:c r="N228" s="149" t="n">
        <ns0:f>IF(AND(B228="开局",OR(D228="数字盖盒",D228="普通冰冻盒",D228="数字冰冻盒",D228="数字冰冻单颗暂存盒")),J228,0)</ns0:f>
        <ns0:v>0</ns0:v>
      </ns0:c>
      <ns0:c r="O228" s="145" t="str">
        <ns0:f>IF(AND(E228&gt;0,E228=INT(E228),G228&gt;=0,G228&lt;=F228,G228=INT(G228),OR(AND(F228=1,OR(D228="单颗暂存盒",D228="数字冰冻单颗暂存盒")),AND(F228=4,NOT(OR(D228="单颗暂存盒",D228="数字冰冻单颗暂存盒")))),IF(OR(D228="数字盖盒",D228="数字冰冻盒",D228="数字冰冻单颗暂存盒"),AND(H228&gt;=1,H228=INT(H228)),H228=0),IF(B228="开局",AND(IF(OR(D228="数字盖盒",D228="普通冰冻盒",D228="数字冰冻盒",D228="炸弹盒",D228="底部置顶盒"),OR(G228=3,G228=4),TRUE),IF(OR(D228="单向收纳盒",D228="单颗暂存盒",D228="数字冰冻单颗暂存盒"),OR(G228=0,G228=1),TRUE),IF(OR(D228="固定颜色盒",D228="广告锁定周转盒"),G228=0,TRUE)),TRUE)),"通过","需调整")</ns0:f>
        <ns0:v>通过</ns0:v>
      </ns0:c>
      <ns0:c r="P228" s="145" t="str">
        <ns0:v>三层盒收束</ns0:v>
      </ns0:c>
      <ns0:c r="Q228" s="145" t="str">
        <ns0:v>按本关首组层序JSON复现；不独立随机生成</ns0:v>
      </ns0:c>
      <ns0:c r="R228" s="149" t="n">
        <ns0:f>E228*H228</ns0:f>
        <ns0:v>2</ns0:v>
      </ns0:c>
    </ns0:row>
    <ns0:row r="229" ht="21" customHeight="1">
      <ns0:c r="A229" s="150" t="n">
        <ns0:v>40</ns0:v>
      </ns0:c>
      <ns0:c r="B229" s="147" t="str">
        <ns0:v>开局</ns0:v>
      </ns0:c>
      <ns0:c r="C229" s="147" t="str">
        <ns0:v>W040-05</ns0:v>
      </ns0:c>
      <ns0:c r="D229" s="147" t="str">
        <ns0:v>广告锁定周转盒</ns0:v>
      </ns0:c>
      <ns0:c r="E229" s="152" t="n">
        <ns0:v>2</ns0:v>
      </ns0:c>
      <ns0:c r="F229" s="152" t="n">
        <ns0:v>4</ns0:v>
      </ns0:c>
      <ns0:c r="G229" s="152" t="n">
        <ns0:v>0</ns0:v>
      </ns0:c>
      <ns0:c r="H229" s="152" t="n">
        <ns0:v>0</ns0:v>
      </ns0:c>
      <ns0:c r="I229" s="150" t="n">
        <ns0:f>E229*G229</ns0:f>
        <ns0:v>0</ns0:v>
      </ns0:c>
      <ns0:c r="J229" s="150" t="n">
        <ns0:f>E229*(F229-G229)</ns0:f>
        <ns0:v>8</ns0:v>
      </ns0:c>
      <ns0:c r="K229" s="150" t="n">
        <ns0:f>IF(AND(B229="开局",G229=0,OR(D229="普通盒",D229="单颗暂存盒")),J229,0)</ns0:f>
        <ns0:v>0</ns0:v>
      </ns0:c>
      <ns0:c r="L229" s="150" t="n">
        <ns0:f>IF(AND(B229="开局",G229&gt;0,OR(D229="普通盒",D229="底部置顶盒",D229="炸弹盒")),J229,0)</ns0:f>
        <ns0:v>0</ns0:v>
      </ns0:c>
      <ns0:c r="M229" s="150" t="n">
        <ns0:f>IF(AND(B229="开局",OR(D229="固定颜色盒",D229="单向收纳盒")),J229,0)</ns0:f>
        <ns0:v>0</ns0:v>
      </ns0:c>
      <ns0:c r="N229" s="150" t="n">
        <ns0:f>IF(AND(B229="开局",OR(D229="数字盖盒",D229="普通冰冻盒",D229="数字冰冻盒",D229="数字冰冻单颗暂存盒")),J229,0)</ns0:f>
        <ns0:v>0</ns0:v>
      </ns0:c>
      <ns0:c r="O229" s="147" t="str">
        <ns0:f>IF(AND(E229&gt;0,E229=INT(E229),G229&gt;=0,G229&lt;=F229,G229=INT(G229),OR(AND(F229=1,OR(D229="单颗暂存盒",D229="数字冰冻单颗暂存盒")),AND(F229=4,NOT(OR(D229="单颗暂存盒",D229="数字冰冻单颗暂存盒")))),IF(OR(D229="数字盖盒",D229="数字冰冻盒",D229="数字冰冻单颗暂存盒"),AND(H229&gt;=1,H229=INT(H229)),H229=0),IF(B229="开局",AND(IF(OR(D229="数字盖盒",D229="普通冰冻盒",D229="数字冰冻盒",D229="炸弹盒",D229="底部置顶盒"),OR(G229=3,G229=4),TRUE),IF(OR(D229="单向收纳盒",D229="单颗暂存盒",D229="数字冰冻单颗暂存盒"),OR(G229=0,G229=1),TRUE),IF(OR(D229="固定颜色盒",D229="广告锁定周转盒"),G229=0,TRUE)),TRUE)),"通过","需调整")</ns0:f>
        <ns0:v>通过</ns0:v>
      </ns0:c>
      <ns0:c r="P229" s="147" t="str">
        <ns0:v>三层盒收束</ns0:v>
      </ns0:c>
      <ns0:c r="Q229" s="147" t="str">
        <ns0:v>按本关首组层序JSON复现；不独立随机生成</ns0:v>
      </ns0:c>
      <ns0:c r="R229" s="150" t="n">
        <ns0:f>E229*H229</ns0:f>
        <ns0:v>0</ns0:v>
      </ns0:c>
    </ns0:row>
    <ns0:row r="230" ht="21" customHeight="1">
      <ns0:c r="A230" s="149"/>
      <ns0:c r="B230" s="145"/>
      <ns0:c r="C230" s="145"/>
      <ns0:c r="D230" s="145"/>
      <ns0:c r="E230" s="152"/>
      <ns0:c r="F230" s="152"/>
      <ns0:c r="G230" s="152"/>
      <ns0:c r="H230" s="152"/>
      <ns0:c r="I230" s="149" t="n">
        <ns0:v>0</ns0:v>
      </ns0:c>
      <ns0:c r="J230" s="149" t="n">
        <ns0:v>0</ns0:v>
      </ns0:c>
      <ns0:c r="K230" s="149" t="n">
        <ns0:v>0</ns0:v>
      </ns0:c>
      <ns0:c r="L230" s="149" t="n">
        <ns0:v>0</ns0:v>
      </ns0:c>
      <ns0:c r="M230" s="149" t="n">
        <ns0:v>0</ns0:v>
      </ns0:c>
      <ns0:c r="N230" s="149" t="n">
        <ns0:v>0</ns0:v>
      </ns0:c>
      <ns0:c r="O230" s="145" t="str">
        <ns0:v>需调整</ns0:v>
      </ns0:c>
      <ns0:c r="P230" s="145"/>
      <ns0:c r="Q230" s="145"/>
      <ns0:c r="R230" s="149" t="n">
        <ns0:v>0</ns0:v>
      </ns0:c>
    </ns0:row>
    <ns0:row r="231" ht="21" customHeight="1">
      <ns0:c r="A231" s="150"/>
      <ns0:c r="B231" s="147"/>
      <ns0:c r="C231" s="147"/>
      <ns0:c r="D231" s="147"/>
      <ns0:c r="E231" s="152"/>
      <ns0:c r="F231" s="152"/>
      <ns0:c r="G231" s="152"/>
      <ns0:c r="H231" s="152"/>
      <ns0:c r="I231" s="150" t="n">
        <ns0:v>0</ns0:v>
      </ns0:c>
      <ns0:c r="J231" s="150" t="n">
        <ns0:v>0</ns0:v>
      </ns0:c>
      <ns0:c r="K231" s="150" t="n">
        <ns0:v>0</ns0:v>
      </ns0:c>
      <ns0:c r="L231" s="150" t="n">
        <ns0:v>0</ns0:v>
      </ns0:c>
      <ns0:c r="M231" s="150" t="n">
        <ns0:v>0</ns0:v>
      </ns0:c>
      <ns0:c r="N231" s="150" t="n">
        <ns0:v>0</ns0:v>
      </ns0:c>
      <ns0:c r="O231" s="147" t="str">
        <ns0:v>需调整</ns0:v>
      </ns0:c>
      <ns0:c r="P231" s="147"/>
      <ns0:c r="Q231" s="147"/>
      <ns0:c r="R231" s="150" t="n">
        <ns0:v>0</ns0:v>
      </ns0:c>
    </ns0:row>
    <ns0:row r="232" ht="21" customHeight="1">
      <ns0:c r="A232" s="149" t="n">
        <ns0:v>41</ns0:v>
      </ns0:c>
      <ns0:c r="B232" s="145" t="str">
        <ns0:v>开局</ns0:v>
      </ns0:c>
      <ns0:c r="C232" s="145" t="str">
        <ns0:v>W041-01</ns0:v>
      </ns0:c>
      <ns0:c r="D232" s="145" t="str">
        <ns0:v>普通盒</ns0:v>
      </ns0:c>
      <ns0:c r="E232" s="152" t="n">
        <ns0:v>13</ns0:v>
      </ns0:c>
      <ns0:c r="F232" s="152" t="n">
        <ns0:v>4</ns0:v>
      </ns0:c>
      <ns0:c r="G232" s="152" t="n">
        <ns0:v>4</ns0:v>
      </ns0:c>
      <ns0:c r="H232" s="152" t="n">
        <ns0:v>0</ns0:v>
      </ns0:c>
      <ns0:c r="I232" s="149" t="n">
        <ns0:f>E232*G232</ns0:f>
        <ns0:v>52</ns0:v>
      </ns0:c>
      <ns0:c r="J232" s="149" t="n">
        <ns0:f>E232*(F232-G232)</ns0:f>
        <ns0:v>0</ns0:v>
      </ns0:c>
      <ns0:c r="K232" s="149" t="n">
        <ns0:f>IF(AND(B232="开局",G232=0,OR(D232="普通盒",D232="单颗暂存盒")),J232,0)</ns0:f>
        <ns0:v>0</ns0:v>
      </ns0:c>
      <ns0:c r="L232" s="149" t="n">
        <ns0:f>IF(AND(B232="开局",G232&gt;0,OR(D232="普通盒",D232="底部置顶盒",D232="炸弹盒")),J232,0)</ns0:f>
        <ns0:v>0</ns0:v>
      </ns0:c>
      <ns0:c r="M232" s="149" t="n">
        <ns0:f>IF(AND(B232="开局",OR(D232="固定颜色盒",D232="单向收纳盒")),J232,0)</ns0:f>
        <ns0:v>0</ns0:v>
      </ns0:c>
      <ns0:c r="N232" s="149" t="n">
        <ns0:f>IF(AND(B232="开局",OR(D232="数字盖盒",D232="普通冰冻盒",D232="数字冰冻盒",D232="数字冰冻单颗暂存盒")),J232,0)</ns0:f>
        <ns0:v>0</ns0:v>
      </ns0:c>
      <ns0:c r="O232" s="145" t="str">
        <ns0:f>IF(AND(E232&gt;0,E232=INT(E232),G232&gt;=0,G232&lt;=F232,G232=INT(G232),OR(AND(F232=1,OR(D232="单颗暂存盒",D232="数字冰冻单颗暂存盒")),AND(F232=4,NOT(OR(D232="单颗暂存盒",D232="数字冰冻单颗暂存盒")))),IF(OR(D232="数字盖盒",D232="数字冰冻盒",D232="数字冰冻单颗暂存盒"),AND(H232&gt;=1,H232=INT(H232)),H232=0),IF(B232="开局",AND(IF(OR(D232="数字盖盒",D232="普通冰冻盒",D232="数字冰冻盒",D232="炸弹盒",D232="底部置顶盒"),OR(G232=3,G232=4),TRUE),IF(OR(D232="单向收纳盒",D232="单颗暂存盒",D232="数字冰冻单颗暂存盒"),OR(G232=0,G232=1),TRUE),IF(OR(D232="固定颜色盒",D232="广告锁定周转盒"),G232=0,TRUE)),TRUE)),"通过","需调整")</ns0:f>
        <ns0:v>通过</ns0:v>
      </ns0:c>
      <ns0:c r="P232" s="145" t="str">
        <ns0:v>指定口味周转</ns0:v>
      </ns0:c>
      <ns0:c r="Q232" s="145" t="str">
        <ns0:v>层序JSON:{"reference":"已确认的41–50关方案；第41关：指定口味周转；固定层序与订单，非参考小游戏逐关复刻","slots":[{"group_id":"W041-01","layers":[2,8,8,6]},{"group_id":"W041-01","layers":[4,8,5,6]},{"group_id":"W041-01","layers":[0,2,4,4]},{"group_id":"W041-01","layers":[0,8,6,4]},{"group_id":"W041-01","layers":[6,6,4,3]},{"group_id":"W041-01","layers":[8,4,2,4]},{"group_id":"W041-03","layers":[8,0]},{"group_id":"W041-01","layers":[3,5,8,6]},{"group_id":"W041-01","layers":[5,3,8,4]},{"group_id":"W041-01","layers":[8,0,4,8]},{"group_id":"W041-02","layers":[6,4,3]},{"group_id":"W041-01","layers":[2,4,5,6]},{"group_id":"W041-02","layers":[3,4,0]},{"group_id":"W041-01","layers":[4,8,0,4]},{"group_id":"W041-01","layers":[0,3,4,3]},{"group_id":"W041-01","layers":[8,3,0,4]},{"group_id":"W041-05","layers":[],"fixed_flavor":8},{"group_id":"W041-04","layers":[]}],"stock":[],"demand_sequences":[[4,3,2,4,0,6,8,6],[3,8,5,8,4,0,4]]}</ns0:v>
      </ns0:c>
      <ns0:c r="R232" s="149" t="n">
        <ns0:f>E232*H232</ns0:f>
        <ns0:v>0</ns0:v>
      </ns0:c>
    </ns0:row>
    <ns0:row r="233" ht="21" customHeight="1">
      <ns0:c r="A233" s="150" t="n">
        <ns0:v>41</ns0:v>
      </ns0:c>
      <ns0:c r="B233" s="147" t="str">
        <ns0:v>开局</ns0:v>
      </ns0:c>
      <ns0:c r="C233" s="147" t="str">
        <ns0:v>W041-02</ns0:v>
      </ns0:c>
      <ns0:c r="D233" s="147" t="str">
        <ns0:v>普通盒</ns0:v>
      </ns0:c>
      <ns0:c r="E233" s="152" t="n">
        <ns0:v>2</ns0:v>
      </ns0:c>
      <ns0:c r="F233" s="152" t="n">
        <ns0:v>4</ns0:v>
      </ns0:c>
      <ns0:c r="G233" s="152" t="n">
        <ns0:v>3</ns0:v>
      </ns0:c>
      <ns0:c r="H233" s="152" t="n">
        <ns0:v>0</ns0:v>
      </ns0:c>
      <ns0:c r="I233" s="150" t="n">
        <ns0:f>E233*G233</ns0:f>
        <ns0:v>6</ns0:v>
      </ns0:c>
      <ns0:c r="J233" s="150" t="n">
        <ns0:f>E233*(F233-G233)</ns0:f>
        <ns0:v>2</ns0:v>
      </ns0:c>
      <ns0:c r="K233" s="150" t="n">
        <ns0:f>IF(AND(B233="开局",G233=0,OR(D233="普通盒",D233="单颗暂存盒")),J233,0)</ns0:f>
        <ns0:v>0</ns0:v>
      </ns0:c>
      <ns0:c r="L233" s="150" t="n">
        <ns0:f>IF(AND(B233="开局",G233&gt;0,OR(D233="普通盒",D233="底部置顶盒",D233="炸弹盒")),J233,0)</ns0:f>
        <ns0:v>2</ns0:v>
      </ns0:c>
      <ns0:c r="M233" s="150" t="n">
        <ns0:f>IF(AND(B233="开局",OR(D233="固定颜色盒",D233="单向收纳盒")),J233,0)</ns0:f>
        <ns0:v>0</ns0:v>
      </ns0:c>
      <ns0:c r="N233" s="150" t="n">
        <ns0:f>IF(AND(B233="开局",OR(D233="数字盖盒",D233="普通冰冻盒",D233="数字冰冻盒",D233="数字冰冻单颗暂存盒")),J233,0)</ns0:f>
        <ns0:v>0</ns0:v>
      </ns0:c>
      <ns0:c r="O233" s="147" t="str">
        <ns0:f>IF(AND(E233&gt;0,E233=INT(E233),G233&gt;=0,G233&lt;=F233,G233=INT(G233),OR(AND(F233=1,OR(D233="单颗暂存盒",D233="数字冰冻单颗暂存盒")),AND(F233=4,NOT(OR(D233="单颗暂存盒",D233="数字冰冻单颗暂存盒")))),IF(OR(D233="数字盖盒",D233="数字冰冻盒",D233="数字冰冻单颗暂存盒"),AND(H233&gt;=1,H233=INT(H233)),H233=0),IF(B233="开局",AND(IF(OR(D233="数字盖盒",D233="普通冰冻盒",D233="数字冰冻盒",D233="炸弹盒",D233="底部置顶盒"),OR(G233=3,G233=4),TRUE),IF(OR(D233="单向收纳盒",D233="单颗暂存盒",D233="数字冰冻单颗暂存盒"),OR(G233=0,G233=1),TRUE),IF(OR(D233="固定颜色盒",D233="广告锁定周转盒"),G233=0,TRUE)),TRUE)),"通过","需调整")</ns0:f>
        <ns0:v>通过</ns0:v>
      </ns0:c>
      <ns0:c r="P233" s="147" t="str">
        <ns0:v>指定口味周转</ns0:v>
      </ns0:c>
      <ns0:c r="Q233" s="147" t="str">
        <ns0:v>层序见本关首组；按盒序固定</ns0:v>
      </ns0:c>
      <ns0:c r="R233" s="150" t="n">
        <ns0:f>E233*H233</ns0:f>
        <ns0:v>0</ns0:v>
      </ns0:c>
    </ns0:row>
    <ns0:row r="234" ht="21" customHeight="1">
      <ns0:c r="A234" s="149" t="n">
        <ns0:v>41</ns0:v>
      </ns0:c>
      <ns0:c r="B234" s="145" t="str">
        <ns0:v>开局</ns0:v>
      </ns0:c>
      <ns0:c r="C234" s="145" t="str">
        <ns0:v>W041-03</ns0:v>
      </ns0:c>
      <ns0:c r="D234" s="145" t="str">
        <ns0:v>普通盒</ns0:v>
      </ns0:c>
      <ns0:c r="E234" s="152" t="n">
        <ns0:v>1</ns0:v>
      </ns0:c>
      <ns0:c r="F234" s="152" t="n">
        <ns0:v>4</ns0:v>
      </ns0:c>
      <ns0:c r="G234" s="152" t="n">
        <ns0:v>2</ns0:v>
      </ns0:c>
      <ns0:c r="H234" s="152" t="n">
        <ns0:v>0</ns0:v>
      </ns0:c>
      <ns0:c r="I234" s="149" t="n">
        <ns0:f>E234*G234</ns0:f>
        <ns0:v>2</ns0:v>
      </ns0:c>
      <ns0:c r="J234" s="149" t="n">
        <ns0:f>E234*(F234-G234)</ns0:f>
        <ns0:v>2</ns0:v>
      </ns0:c>
      <ns0:c r="K234" s="149" t="n">
        <ns0:f>IF(AND(B234="开局",G234=0,OR(D234="普通盒",D234="单颗暂存盒")),J234,0)</ns0:f>
        <ns0:v>0</ns0:v>
      </ns0:c>
      <ns0:c r="L234" s="149" t="n">
        <ns0:f>IF(AND(B234="开局",G234&gt;0,OR(D234="普通盒",D234="底部置顶盒",D234="炸弹盒")),J234,0)</ns0:f>
        <ns0:v>2</ns0:v>
      </ns0:c>
      <ns0:c r="M234" s="149" t="n">
        <ns0:f>IF(AND(B234="开局",OR(D234="固定颜色盒",D234="单向收纳盒")),J234,0)</ns0:f>
        <ns0:v>0</ns0:v>
      </ns0:c>
      <ns0:c r="N234" s="149" t="n">
        <ns0:f>IF(AND(B234="开局",OR(D234="数字盖盒",D234="普通冰冻盒",D234="数字冰冻盒",D234="数字冰冻单颗暂存盒")),J234,0)</ns0:f>
        <ns0:v>0</ns0:v>
      </ns0:c>
      <ns0:c r="O234" s="145" t="str">
        <ns0:f>IF(AND(E234&gt;0,E234=INT(E234),G234&gt;=0,G234&lt;=F234,G234=INT(G234),OR(AND(F234=1,OR(D234="单颗暂存盒",D234="数字冰冻单颗暂存盒")),AND(F234=4,NOT(OR(D234="单颗暂存盒",D234="数字冰冻单颗暂存盒")))),IF(OR(D234="数字盖盒",D234="数字冰冻盒",D234="数字冰冻单颗暂存盒"),AND(H234&gt;=1,H234=INT(H234)),H234=0),IF(B234="开局",AND(IF(OR(D234="数字盖盒",D234="普通冰冻盒",D234="数字冰冻盒",D234="炸弹盒",D234="底部置顶盒"),OR(G234=3,G234=4),TRUE),IF(OR(D234="单向收纳盒",D234="单颗暂存盒",D234="数字冰冻单颗暂存盒"),OR(G234=0,G234=1),TRUE),IF(OR(D234="固定颜色盒",D234="广告锁定周转盒"),G234=0,TRUE)),TRUE)),"通过","需调整")</ns0:f>
        <ns0:v>通过</ns0:v>
      </ns0:c>
      <ns0:c r="P234" s="145" t="str">
        <ns0:v>指定口味周转</ns0:v>
      </ns0:c>
      <ns0:c r="Q234" s="145" t="str">
        <ns0:v>层序见本关首组；按盒序固定</ns0:v>
      </ns0:c>
      <ns0:c r="R234" s="149" t="n">
        <ns0:f>E234*H234</ns0:f>
        <ns0:v>0</ns0:v>
      </ns0:c>
    </ns0:row>
    <ns0:row r="235" ht="21" customHeight="1">
      <ns0:c r="A235" s="150" t="n">
        <ns0:v>41</ns0:v>
      </ns0:c>
      <ns0:c r="B235" s="147" t="str">
        <ns0:v>开局</ns0:v>
      </ns0:c>
      <ns0:c r="C235" s="147" t="str">
        <ns0:v>W041-04</ns0:v>
      </ns0:c>
      <ns0:c r="D235" s="147" t="str">
        <ns0:v>普通盒</ns0:v>
      </ns0:c>
      <ns0:c r="E235" s="152" t="n">
        <ns0:v>1</ns0:v>
      </ns0:c>
      <ns0:c r="F235" s="152" t="n">
        <ns0:v>4</ns0:v>
      </ns0:c>
      <ns0:c r="G235" s="152" t="n">
        <ns0:v>0</ns0:v>
      </ns0:c>
      <ns0:c r="H235" s="152" t="n">
        <ns0:v>0</ns0:v>
      </ns0:c>
      <ns0:c r="I235" s="150" t="n">
        <ns0:f>E235*G235</ns0:f>
        <ns0:v>0</ns0:v>
      </ns0:c>
      <ns0:c r="J235" s="150" t="n">
        <ns0:f>E235*(F235-G235)</ns0:f>
        <ns0:v>4</ns0:v>
      </ns0:c>
      <ns0:c r="K235" s="150" t="n">
        <ns0:f>IF(AND(B235="开局",G235=0,OR(D235="普通盒",D235="单颗暂存盒")),J235,0)</ns0:f>
        <ns0:v>4</ns0:v>
      </ns0:c>
      <ns0:c r="L235" s="150" t="n">
        <ns0:f>IF(AND(B235="开局",G235&gt;0,OR(D235="普通盒",D235="底部置顶盒",D235="炸弹盒")),J235,0)</ns0:f>
        <ns0:v>0</ns0:v>
      </ns0:c>
      <ns0:c r="M235" s="150" t="n">
        <ns0:f>IF(AND(B235="开局",OR(D235="固定颜色盒",D235="单向收纳盒")),J235,0)</ns0:f>
        <ns0:v>0</ns0:v>
      </ns0:c>
      <ns0:c r="N235" s="150" t="n">
        <ns0:f>IF(AND(B235="开局",OR(D235="数字盖盒",D235="普通冰冻盒",D235="数字冰冻盒",D235="数字冰冻单颗暂存盒")),J235,0)</ns0:f>
        <ns0:v>0</ns0:v>
      </ns0:c>
      <ns0:c r="O235" s="147" t="str">
        <ns0:f>IF(AND(E235&gt;0,E235=INT(E235),G235&gt;=0,G235&lt;=F235,G235=INT(G235),OR(AND(F235=1,OR(D235="单颗暂存盒",D235="数字冰冻单颗暂存盒")),AND(F235=4,NOT(OR(D235="单颗暂存盒",D235="数字冰冻单颗暂存盒")))),IF(OR(D235="数字盖盒",D235="数字冰冻盒",D235="数字冰冻单颗暂存盒"),AND(H235&gt;=1,H235=INT(H235)),H235=0),IF(B235="开局",AND(IF(OR(D235="数字盖盒",D235="普通冰冻盒",D235="数字冰冻盒",D235="炸弹盒",D235="底部置顶盒"),OR(G235=3,G235=4),TRUE),IF(OR(D235="单向收纳盒",D235="单颗暂存盒",D235="数字冰冻单颗暂存盒"),OR(G235=0,G235=1),TRUE),IF(OR(D235="固定颜色盒",D235="广告锁定周转盒"),G235=0,TRUE)),TRUE)),"通过","需调整")</ns0:f>
        <ns0:v>通过</ns0:v>
      </ns0:c>
      <ns0:c r="P235" s="147" t="str">
        <ns0:v>指定口味周转</ns0:v>
      </ns0:c>
      <ns0:c r="Q235" s="147" t="str">
        <ns0:v>层序见本关首组；按盒序固定</ns0:v>
      </ns0:c>
      <ns0:c r="R235" s="150" t="n">
        <ns0:f>E235*H235</ns0:f>
        <ns0:v>0</ns0:v>
      </ns0:c>
    </ns0:row>
    <ns0:row r="236" ht="21" customHeight="1">
      <ns0:c r="A236" s="149" t="n">
        <ns0:v>41</ns0:v>
      </ns0:c>
      <ns0:c r="B236" s="145" t="str">
        <ns0:v>开局</ns0:v>
      </ns0:c>
      <ns0:c r="C236" s="145" t="str">
        <ns0:v>W041-05</ns0:v>
      </ns0:c>
      <ns0:c r="D236" s="145" t="str">
        <ns0:v>固定颜色盒</ns0:v>
      </ns0:c>
      <ns0:c r="E236" s="152" t="n">
        <ns0:v>1</ns0:v>
      </ns0:c>
      <ns0:c r="F236" s="152" t="n">
        <ns0:v>4</ns0:v>
      </ns0:c>
      <ns0:c r="G236" s="152" t="n">
        <ns0:v>0</ns0:v>
      </ns0:c>
      <ns0:c r="H236" s="152" t="n">
        <ns0:v>0</ns0:v>
      </ns0:c>
      <ns0:c r="I236" s="149" t="n">
        <ns0:f>E236*G236</ns0:f>
        <ns0:v>0</ns0:v>
      </ns0:c>
      <ns0:c r="J236" s="149" t="n">
        <ns0:f>E236*(F236-G236)</ns0:f>
        <ns0:v>4</ns0:v>
      </ns0:c>
      <ns0:c r="K236" s="149" t="n">
        <ns0:f>IF(AND(B236="开局",G236=0,OR(D236="普通盒",D236="单颗暂存盒")),J236,0)</ns0:f>
        <ns0:v>0</ns0:v>
      </ns0:c>
      <ns0:c r="L236" s="149" t="n">
        <ns0:f>IF(AND(B236="开局",G236&gt;0,OR(D236="普通盒",D236="底部置顶盒",D236="炸弹盒")),J236,0)</ns0:f>
        <ns0:v>0</ns0:v>
      </ns0:c>
      <ns0:c r="M236" s="149" t="n">
        <ns0:f>IF(AND(B236="开局",OR(D236="固定颜色盒",D236="单向收纳盒")),J236,0)</ns0:f>
        <ns0:v>4</ns0:v>
      </ns0:c>
      <ns0:c r="N236" s="149" t="n">
        <ns0:f>IF(AND(B236="开局",OR(D236="数字盖盒",D236="普通冰冻盒",D236="数字冰冻盒",D236="数字冰冻单颗暂存盒")),J236,0)</ns0:f>
        <ns0:v>0</ns0:v>
      </ns0:c>
      <ns0:c r="O236" s="145" t="str">
        <ns0:f>IF(AND(E236&gt;0,E236=INT(E236),G236&gt;=0,G236&lt;=F236,G236=INT(G236),OR(AND(F236=1,OR(D236="单颗暂存盒",D236="数字冰冻单颗暂存盒")),AND(F236=4,NOT(OR(D236="单颗暂存盒",D236="数字冰冻单颗暂存盒")))),IF(OR(D236="数字盖盒",D236="数字冰冻盒",D236="数字冰冻单颗暂存盒"),AND(H236&gt;=1,H236=INT(H236)),H236=0),IF(B236="开局",AND(IF(OR(D236="数字盖盒",D236="普通冰冻盒",D236="数字冰冻盒",D236="炸弹盒",D236="底部置顶盒"),OR(G236=3,G236=4),TRUE),IF(OR(D236="单向收纳盒",D236="单颗暂存盒",D236="数字冰冻单颗暂存盒"),OR(G236=0,G236=1),TRUE),IF(OR(D236="固定颜色盒",D236="广告锁定周转盒"),G236=0,TRUE)),TRUE)),"通过","需调整")</ns0:f>
        <ns0:v>通过</ns0:v>
      </ns0:c>
      <ns0:c r="P236" s="145" t="str">
        <ns0:v>指定口味周转</ns0:v>
      </ns0:c>
      <ns0:c r="Q236" s="145" t="str">
        <ns0:v>层序见本关首组；按盒序固定</ns0:v>
      </ns0:c>
      <ns0:c r="R236" s="149" t="n">
        <ns0:f>E236*H236</ns0:f>
        <ns0:v>0</ns0:v>
      </ns0:c>
    </ns0:row>
    <ns0:row r="237" ht="21" customHeight="1">
      <ns0:c r="A237" s="150" t="n">
        <ns0:v>41</ns0:v>
      </ns0:c>
      <ns0:c r="B237" s="147" t="str">
        <ns0:v>开局</ns0:v>
      </ns0:c>
      <ns0:c r="C237" s="147" t="str">
        <ns0:v>W041-06</ns0:v>
      </ns0:c>
      <ns0:c r="D237" s="147" t="str">
        <ns0:v>广告锁定周转盒</ns0:v>
      </ns0:c>
      <ns0:c r="E237" s="152" t="n">
        <ns0:v>2</ns0:v>
      </ns0:c>
      <ns0:c r="F237" s="152" t="n">
        <ns0:v>4</ns0:v>
      </ns0:c>
      <ns0:c r="G237" s="152" t="n">
        <ns0:v>0</ns0:v>
      </ns0:c>
      <ns0:c r="H237" s="152" t="n">
        <ns0:v>0</ns0:v>
      </ns0:c>
      <ns0:c r="I237" s="150" t="n">
        <ns0:f>E237*G237</ns0:f>
        <ns0:v>0</ns0:v>
      </ns0:c>
      <ns0:c r="J237" s="150" t="n">
        <ns0:f>E237*(F237-G237)</ns0:f>
        <ns0:v>8</ns0:v>
      </ns0:c>
      <ns0:c r="K237" s="150" t="n">
        <ns0:f>IF(AND(B237="开局",G237=0,OR(D237="普通盒",D237="单颗暂存盒")),J237,0)</ns0:f>
        <ns0:v>0</ns0:v>
      </ns0:c>
      <ns0:c r="L237" s="150" t="n">
        <ns0:f>IF(AND(B237="开局",G237&gt;0,OR(D237="普通盒",D237="底部置顶盒",D237="炸弹盒")),J237,0)</ns0:f>
        <ns0:v>0</ns0:v>
      </ns0:c>
      <ns0:c r="M237" s="150" t="n">
        <ns0:f>IF(AND(B237="开局",OR(D237="固定颜色盒",D237="单向收纳盒")),J237,0)</ns0:f>
        <ns0:v>0</ns0:v>
      </ns0:c>
      <ns0:c r="N237" s="150" t="n">
        <ns0:f>IF(AND(B237="开局",OR(D237="数字盖盒",D237="普通冰冻盒",D237="数字冰冻盒",D237="数字冰冻单颗暂存盒")),J237,0)</ns0:f>
        <ns0:v>0</ns0:v>
      </ns0:c>
      <ns0:c r="O237" s="147" t="str">
        <ns0:f>IF(AND(E237&gt;0,E237=INT(E237),G237&gt;=0,G237&lt;=F237,G237=INT(G237),OR(AND(F237=1,OR(D237="单颗暂存盒",D237="数字冰冻单颗暂存盒")),AND(F237=4,NOT(OR(D237="单颗暂存盒",D237="数字冰冻单颗暂存盒")))),IF(OR(D237="数字盖盒",D237="数字冰冻盒",D237="数字冰冻单颗暂存盒"),AND(H237&gt;=1,H237=INT(H237)),H237=0),IF(B237="开局",AND(IF(OR(D237="数字盖盒",D237="普通冰冻盒",D237="数字冰冻盒",D237="炸弹盒",D237="底部置顶盒"),OR(G237=3,G237=4),TRUE),IF(OR(D237="单向收纳盒",D237="单颗暂存盒",D237="数字冰冻单颗暂存盒"),OR(G237=0,G237=1),TRUE),IF(OR(D237="固定颜色盒",D237="广告锁定周转盒"),G237=0,TRUE)),TRUE)),"通过","需调整")</ns0:f>
        <ns0:v>通过</ns0:v>
      </ns0:c>
      <ns0:c r="P237" s="147" t="str">
        <ns0:v>指定口味周转</ns0:v>
      </ns0:c>
      <ns0:c r="Q237" s="147" t="str">
        <ns0:v>层序见本关首组；按盒序固定</ns0:v>
      </ns0:c>
      <ns0:c r="R237" s="150" t="n">
        <ns0:f>E237*H237</ns0:f>
        <ns0:v>0</ns0:v>
      </ns0:c>
    </ns0:row>
    <ns0:row r="238" ht="21" customHeight="1">
      <ns0:c r="A238" s="149" t="n">
        <ns0:v>42</ns0:v>
      </ns0:c>
      <ns0:c r="B238" s="145" t="str">
        <ns0:v>开局</ns0:v>
      </ns0:c>
      <ns0:c r="C238" s="145" t="str">
        <ns0:v>W042-01</ns0:v>
      </ns0:c>
      <ns0:c r="D238" s="145" t="str">
        <ns0:v>普通盒</ns0:v>
      </ns0:c>
      <ns0:c r="E238" s="152" t="n">
        <ns0:v>13</ns0:v>
      </ns0:c>
      <ns0:c r="F238" s="152" t="n">
        <ns0:v>4</ns0:v>
      </ns0:c>
      <ns0:c r="G238" s="152" t="n">
        <ns0:v>4</ns0:v>
      </ns0:c>
      <ns0:c r="H238" s="152" t="n">
        <ns0:v>0</ns0:v>
      </ns0:c>
      <ns0:c r="I238" s="149" t="n">
        <ns0:f>E238*G238</ns0:f>
        <ns0:v>52</ns0:v>
      </ns0:c>
      <ns0:c r="J238" s="149" t="n">
        <ns0:f>E238*(F238-G238)</ns0:f>
        <ns0:v>0</ns0:v>
      </ns0:c>
      <ns0:c r="K238" s="149" t="n">
        <ns0:f>IF(AND(B238="开局",G238=0,OR(D238="普通盒",D238="单颗暂存盒")),J238,0)</ns0:f>
        <ns0:v>0</ns0:v>
      </ns0:c>
      <ns0:c r="L238" s="149" t="n">
        <ns0:f>IF(AND(B238="开局",G238&gt;0,OR(D238="普通盒",D238="底部置顶盒",D238="炸弹盒")),J238,0)</ns0:f>
        <ns0:v>0</ns0:v>
      </ns0:c>
      <ns0:c r="M238" s="149" t="n">
        <ns0:f>IF(AND(B238="开局",OR(D238="固定颜色盒",D238="单向收纳盒")),J238,0)</ns0:f>
        <ns0:v>0</ns0:v>
      </ns0:c>
      <ns0:c r="N238" s="149" t="n">
        <ns0:f>IF(AND(B238="开局",OR(D238="数字盖盒",D238="普通冰冻盒",D238="数字冰冻盒",D238="数字冰冻单颗暂存盒")),J238,0)</ns0:f>
        <ns0:v>0</ns0:v>
      </ns0:c>
      <ns0:c r="O238" s="145" t="str">
        <ns0:f>IF(AND(E238&gt;0,E238=INT(E238),G238&gt;=0,G238&lt;=F238,G238=INT(G238),OR(AND(F238=1,OR(D238="单颗暂存盒",D238="数字冰冻单颗暂存盒")),AND(F238=4,NOT(OR(D238="单颗暂存盒",D238="数字冰冻单颗暂存盒")))),IF(OR(D238="数字盖盒",D238="数字冰冻盒",D238="数字冰冻单颗暂存盒"),AND(H238&gt;=1,H238=INT(H238)),H238=0),IF(B238="开局",AND(IF(OR(D238="数字盖盒",D238="普通冰冻盒",D238="数字冰冻盒",D238="炸弹盒",D238="底部置顶盒"),OR(G238=3,G238=4),TRUE),IF(OR(D238="单向收纳盒",D238="单颗暂存盒",D238="数字冰冻单颗暂存盒"),OR(G238=0,G238=1),TRUE),IF(OR(D238="固定颜色盒",D238="广告锁定周转盒"),G238=0,TRUE)),TRUE)),"通过","需调整")</ns0:f>
        <ns0:v>通过</ns0:v>
      </ns0:c>
      <ns0:c r="P238" s="145" t="str">
        <ns0:v>三颗盒腾位</ns0:v>
      </ns0:c>
      <ns0:c r="Q238" s="145" t="str">
        <ns0:v>层序JSON:{"reference":"已确认的41–50关方案；第42关：三颗盒腾位；固定层序与订单，非参考小游戏逐关复刻","slots":[{"group_id":"W042-01","layers":[0,2,5,6]},{"group_id":"W042-01","layers":[6,2,8,12]},{"group_id":"W042-01","layers":[3,12,3,8]},{"group_id":"W042-01","layers":[0,2,2,5]},{"group_id":"W042-01","layers":[12,8,8,6]},{"group_id":"W042-02","layers":[8,3,2]},{"group_id":"W042-01","layers":[2,2,8,6]},{"group_id":"W042-01","layers":[0,8,6,2]},{"group_id":"W042-02","layers":[8,5,2]},{"group_id":"W042-02","layers":[0,2,6]},{"group_id":"W042-02","layers":[3,6,8]},{"group_id":"W042-01","layers":[5,4,2,2]},{"group_id":"W042-01","layers":[3,0,2,8]},{"group_id":"W042-01","layers":[0,4,6,3]},{"group_id":"W042-01","layers":[2,4,3,4]},{"group_id":"W042-01","layers":[2,12,8,0]},{"group_id":"W042-01","layers":[8,3,0,2]},{"group_id":"W042-03","layers":[],"fixed_flavor":5}],"stock":[],"demand_sequences":[[3,6,2,0,4,0,2,8],[8,12,2,2,5,3,6,8]]}</ns0:v>
      </ns0:c>
      <ns0:c r="R238" s="149" t="n">
        <ns0:f>E238*H238</ns0:f>
        <ns0:v>0</ns0:v>
      </ns0:c>
    </ns0:row>
    <ns0:row r="239" ht="21" customHeight="1">
      <ns0:c r="A239" s="150" t="n">
        <ns0:v>42</ns0:v>
      </ns0:c>
      <ns0:c r="B239" s="147" t="str">
        <ns0:v>开局</ns0:v>
      </ns0:c>
      <ns0:c r="C239" s="147" t="str">
        <ns0:v>W042-02</ns0:v>
      </ns0:c>
      <ns0:c r="D239" s="147" t="str">
        <ns0:v>普通盒</ns0:v>
      </ns0:c>
      <ns0:c r="E239" s="152" t="n">
        <ns0:v>4</ns0:v>
      </ns0:c>
      <ns0:c r="F239" s="152" t="n">
        <ns0:v>4</ns0:v>
      </ns0:c>
      <ns0:c r="G239" s="152" t="n">
        <ns0:v>3</ns0:v>
      </ns0:c>
      <ns0:c r="H239" s="152" t="n">
        <ns0:v>0</ns0:v>
      </ns0:c>
      <ns0:c r="I239" s="150" t="n">
        <ns0:f>E239*G239</ns0:f>
        <ns0:v>12</ns0:v>
      </ns0:c>
      <ns0:c r="J239" s="150" t="n">
        <ns0:f>E239*(F239-G239)</ns0:f>
        <ns0:v>4</ns0:v>
      </ns0:c>
      <ns0:c r="K239" s="150" t="n">
        <ns0:f>IF(AND(B239="开局",G239=0,OR(D239="普通盒",D239="单颗暂存盒")),J239,0)</ns0:f>
        <ns0:v>0</ns0:v>
      </ns0:c>
      <ns0:c r="L239" s="150" t="n">
        <ns0:f>IF(AND(B239="开局",G239&gt;0,OR(D239="普通盒",D239="底部置顶盒",D239="炸弹盒")),J239,0)</ns0:f>
        <ns0:v>4</ns0:v>
      </ns0:c>
      <ns0:c r="M239" s="150" t="n">
        <ns0:f>IF(AND(B239="开局",OR(D239="固定颜色盒",D239="单向收纳盒")),J239,0)</ns0:f>
        <ns0:v>0</ns0:v>
      </ns0:c>
      <ns0:c r="N239" s="150" t="n">
        <ns0:f>IF(AND(B239="开局",OR(D239="数字盖盒",D239="普通冰冻盒",D239="数字冰冻盒",D239="数字冰冻单颗暂存盒")),J239,0)</ns0:f>
        <ns0:v>0</ns0:v>
      </ns0:c>
      <ns0:c r="O239" s="147" t="str">
        <ns0:f>IF(AND(E239&gt;0,E239=INT(E239),G239&gt;=0,G239&lt;=F239,G239=INT(G239),OR(AND(F239=1,OR(D239="单颗暂存盒",D239="数字冰冻单颗暂存盒")),AND(F239=4,NOT(OR(D239="单颗暂存盒",D239="数字冰冻单颗暂存盒")))),IF(OR(D239="数字盖盒",D239="数字冰冻盒",D239="数字冰冻单颗暂存盒"),AND(H239&gt;=1,H239=INT(H239)),H239=0),IF(B239="开局",AND(IF(OR(D239="数字盖盒",D239="普通冰冻盒",D239="数字冰冻盒",D239="炸弹盒",D239="底部置顶盒"),OR(G239=3,G239=4),TRUE),IF(OR(D239="单向收纳盒",D239="单颗暂存盒",D239="数字冰冻单颗暂存盒"),OR(G239=0,G239=1),TRUE),IF(OR(D239="固定颜色盒",D239="广告锁定周转盒"),G239=0,TRUE)),TRUE)),"通过","需调整")</ns0:f>
        <ns0:v>通过</ns0:v>
      </ns0:c>
      <ns0:c r="P239" s="147" t="str">
        <ns0:v>三颗盒腾位</ns0:v>
      </ns0:c>
      <ns0:c r="Q239" s="147" t="str">
        <ns0:v>层序见本关首组；按盒序固定</ns0:v>
      </ns0:c>
      <ns0:c r="R239" s="150" t="n">
        <ns0:f>E239*H239</ns0:f>
        <ns0:v>0</ns0:v>
      </ns0:c>
    </ns0:row>
    <ns0:row r="240" ht="21" customHeight="1">
      <ns0:c r="A240" s="149" t="n">
        <ns0:v>42</ns0:v>
      </ns0:c>
      <ns0:c r="B240" s="145" t="str">
        <ns0:v>开局</ns0:v>
      </ns0:c>
      <ns0:c r="C240" s="145" t="str">
        <ns0:v>W042-03</ns0:v>
      </ns0:c>
      <ns0:c r="D240" s="145" t="str">
        <ns0:v>固定颜色盒</ns0:v>
      </ns0:c>
      <ns0:c r="E240" s="152" t="n">
        <ns0:v>1</ns0:v>
      </ns0:c>
      <ns0:c r="F240" s="152" t="n">
        <ns0:v>4</ns0:v>
      </ns0:c>
      <ns0:c r="G240" s="152" t="n">
        <ns0:v>0</ns0:v>
      </ns0:c>
      <ns0:c r="H240" s="152" t="n">
        <ns0:v>0</ns0:v>
      </ns0:c>
      <ns0:c r="I240" s="149" t="n">
        <ns0:f>E240*G240</ns0:f>
        <ns0:v>0</ns0:v>
      </ns0:c>
      <ns0:c r="J240" s="149" t="n">
        <ns0:f>E240*(F240-G240)</ns0:f>
        <ns0:v>4</ns0:v>
      </ns0:c>
      <ns0:c r="K240" s="149" t="n">
        <ns0:f>IF(AND(B240="开局",G240=0,OR(D240="普通盒",D240="单颗暂存盒")),J240,0)</ns0:f>
        <ns0:v>0</ns0:v>
      </ns0:c>
      <ns0:c r="L240" s="149" t="n">
        <ns0:f>IF(AND(B240="开局",G240&gt;0,OR(D240="普通盒",D240="底部置顶盒",D240="炸弹盒")),J240,0)</ns0:f>
        <ns0:v>0</ns0:v>
      </ns0:c>
      <ns0:c r="M240" s="149" t="n">
        <ns0:f>IF(AND(B240="开局",OR(D240="固定颜色盒",D240="单向收纳盒")),J240,0)</ns0:f>
        <ns0:v>4</ns0:v>
      </ns0:c>
      <ns0:c r="N240" s="149" t="n">
        <ns0:f>IF(AND(B240="开局",OR(D240="数字盖盒",D240="普通冰冻盒",D240="数字冰冻盒",D240="数字冰冻单颗暂存盒")),J240,0)</ns0:f>
        <ns0:v>0</ns0:v>
      </ns0:c>
      <ns0:c r="O240" s="145" t="str">
        <ns0:f>IF(AND(E240&gt;0,E240=INT(E240),G240&gt;=0,G240&lt;=F240,G240=INT(G240),OR(AND(F240=1,OR(D240="单颗暂存盒",D240="数字冰冻单颗暂存盒")),AND(F240=4,NOT(OR(D240="单颗暂存盒",D240="数字冰冻单颗暂存盒")))),IF(OR(D240="数字盖盒",D240="数字冰冻盒",D240="数字冰冻单颗暂存盒"),AND(H240&gt;=1,H240=INT(H240)),H240=0),IF(B240="开局",AND(IF(OR(D240="数字盖盒",D240="普通冰冻盒",D240="数字冰冻盒",D240="炸弹盒",D240="底部置顶盒"),OR(G240=3,G240=4),TRUE),IF(OR(D240="单向收纳盒",D240="单颗暂存盒",D240="数字冰冻单颗暂存盒"),OR(G240=0,G240=1),TRUE),IF(OR(D240="固定颜色盒",D240="广告锁定周转盒"),G240=0,TRUE)),TRUE)),"通过","需调整")</ns0:f>
        <ns0:v>通过</ns0:v>
      </ns0:c>
      <ns0:c r="P240" s="145" t="str">
        <ns0:v>三颗盒腾位</ns0:v>
      </ns0:c>
      <ns0:c r="Q240" s="145" t="str">
        <ns0:v>层序见本关首组；按盒序固定</ns0:v>
      </ns0:c>
      <ns0:c r="R240" s="149" t="n">
        <ns0:f>E240*H240</ns0:f>
        <ns0:v>0</ns0:v>
      </ns0:c>
    </ns0:row>
    <ns0:row r="241" ht="21" customHeight="1">
      <ns0:c r="A241" s="150" t="n">
        <ns0:v>42</ns0:v>
      </ns0:c>
      <ns0:c r="B241" s="147" t="str">
        <ns0:v>开局</ns0:v>
      </ns0:c>
      <ns0:c r="C241" s="147" t="str">
        <ns0:v>W042-04</ns0:v>
      </ns0:c>
      <ns0:c r="D241" s="147" t="str">
        <ns0:v>广告锁定周转盒</ns0:v>
      </ns0:c>
      <ns0:c r="E241" s="152" t="n">
        <ns0:v>2</ns0:v>
      </ns0:c>
      <ns0:c r="F241" s="152" t="n">
        <ns0:v>4</ns0:v>
      </ns0:c>
      <ns0:c r="G241" s="152" t="n">
        <ns0:v>0</ns0:v>
      </ns0:c>
      <ns0:c r="H241" s="152" t="n">
        <ns0:v>0</ns0:v>
      </ns0:c>
      <ns0:c r="I241" s="150" t="n">
        <ns0:f>E241*G241</ns0:f>
        <ns0:v>0</ns0:v>
      </ns0:c>
      <ns0:c r="J241" s="150" t="n">
        <ns0:f>E241*(F241-G241)</ns0:f>
        <ns0:v>8</ns0:v>
      </ns0:c>
      <ns0:c r="K241" s="150" t="n">
        <ns0:f>IF(AND(B241="开局",G241=0,OR(D241="普通盒",D241="单颗暂存盒")),J241,0)</ns0:f>
        <ns0:v>0</ns0:v>
      </ns0:c>
      <ns0:c r="L241" s="150" t="n">
        <ns0:f>IF(AND(B241="开局",G241&gt;0,OR(D241="普通盒",D241="底部置顶盒",D241="炸弹盒")),J241,0)</ns0:f>
        <ns0:v>0</ns0:v>
      </ns0:c>
      <ns0:c r="M241" s="150" t="n">
        <ns0:f>IF(AND(B241="开局",OR(D241="固定颜色盒",D241="单向收纳盒")),J241,0)</ns0:f>
        <ns0:v>0</ns0:v>
      </ns0:c>
      <ns0:c r="N241" s="150" t="n">
        <ns0:f>IF(AND(B241="开局",OR(D241="数字盖盒",D241="普通冰冻盒",D241="数字冰冻盒",D241="数字冰冻单颗暂存盒")),J241,0)</ns0:f>
        <ns0:v>0</ns0:v>
      </ns0:c>
      <ns0:c r="O241" s="147" t="str">
        <ns0:f>IF(AND(E241&gt;0,E241=INT(E241),G241&gt;=0,G241&lt;=F241,G241=INT(G241),OR(AND(F241=1,OR(D241="单颗暂存盒",D241="数字冰冻单颗暂存盒")),AND(F241=4,NOT(OR(D241="单颗暂存盒",D241="数字冰冻单颗暂存盒")))),IF(OR(D241="数字盖盒",D241="数字冰冻盒",D241="数字冰冻单颗暂存盒"),AND(H241&gt;=1,H241=INT(H241)),H241=0),IF(B241="开局",AND(IF(OR(D241="数字盖盒",D241="普通冰冻盒",D241="数字冰冻盒",D241="炸弹盒",D241="底部置顶盒"),OR(G241=3,G241=4),TRUE),IF(OR(D241="单向收纳盒",D241="单颗暂存盒",D241="数字冰冻单颗暂存盒"),OR(G241=0,G241=1),TRUE),IF(OR(D241="固定颜色盒",D241="广告锁定周转盒"),G241=0,TRUE)),TRUE)),"通过","需调整")</ns0:f>
        <ns0:v>通过</ns0:v>
      </ns0:c>
      <ns0:c r="P241" s="147" t="str">
        <ns0:v>三颗盒腾位</ns0:v>
      </ns0:c>
      <ns0:c r="Q241" s="147" t="str">
        <ns0:v>层序见本关首组；按盒序固定</ns0:v>
      </ns0:c>
      <ns0:c r="R241" s="150" t="n">
        <ns0:f>E241*H241</ns0:f>
        <ns0:v>0</ns0:v>
      </ns0:c>
    </ns0:row>
    <ns0:row r="242" ht="21" customHeight="1">
      <ns0:c r="A242" s="149" t="n">
        <ns0:v>43</ns0:v>
      </ns0:c>
      <ns0:c r="B242" s="145" t="str">
        <ns0:v>开局</ns0:v>
      </ns0:c>
      <ns0:c r="C242" s="145" t="str">
        <ns0:v>W043-01</ns0:v>
      </ns0:c>
      <ns0:c r="D242" s="145" t="str">
        <ns0:v>普通盒</ns0:v>
      </ns0:c>
      <ns0:c r="E242" s="152" t="n">
        <ns0:v>16</ns0:v>
      </ns0:c>
      <ns0:c r="F242" s="152" t="n">
        <ns0:v>4</ns0:v>
      </ns0:c>
      <ns0:c r="G242" s="152" t="n">
        <ns0:v>4</ns0:v>
      </ns0:c>
      <ns0:c r="H242" s="152" t="n">
        <ns0:v>0</ns0:v>
      </ns0:c>
      <ns0:c r="I242" s="149" t="n">
        <ns0:f>E242*G242</ns0:f>
        <ns0:v>64</ns0:v>
      </ns0:c>
      <ns0:c r="J242" s="149" t="n">
        <ns0:f>E242*(F242-G242)</ns0:f>
        <ns0:v>0</ns0:v>
      </ns0:c>
      <ns0:c r="K242" s="149" t="n">
        <ns0:f>IF(AND(B242="开局",G242=0,OR(D242="普通盒",D242="单颗暂存盒")),J242,0)</ns0:f>
        <ns0:v>0</ns0:v>
      </ns0:c>
      <ns0:c r="L242" s="149" t="n">
        <ns0:f>IF(AND(B242="开局",G242&gt;0,OR(D242="普通盒",D242="底部置顶盒",D242="炸弹盒")),J242,0)</ns0:f>
        <ns0:v>0</ns0:v>
      </ns0:c>
      <ns0:c r="M242" s="149" t="n">
        <ns0:f>IF(AND(B242="开局",OR(D242="固定颜色盒",D242="单向收纳盒")),J242,0)</ns0:f>
        <ns0:v>0</ns0:v>
      </ns0:c>
      <ns0:c r="N242" s="149" t="n">
        <ns0:f>IF(AND(B242="开局",OR(D242="数字盖盒",D242="普通冰冻盒",D242="数字冰冻盒",D242="数字冰冻单颗暂存盒")),J242,0)</ns0:f>
        <ns0:v>0</ns0:v>
      </ns0:c>
      <ns0:c r="O242" s="145" t="str">
        <ns0:f>IF(AND(E242&gt;0,E242=INT(E242),G242&gt;=0,G242&lt;=F242,G242=INT(G242),OR(AND(F242=1,OR(D242="单颗暂存盒",D242="数字冰冻单颗暂存盒")),AND(F242=4,NOT(OR(D242="单颗暂存盒",D242="数字冰冻单颗暂存盒")))),IF(OR(D242="数字盖盒",D242="数字冰冻盒",D242="数字冰冻单颗暂存盒"),AND(H242&gt;=1,H242=INT(H242)),H242=0),IF(B242="开局",AND(IF(OR(D242="数字盖盒",D242="普通冰冻盒",D242="数字冰冻盒",D242="炸弹盒",D242="底部置顶盒"),OR(G242=3,G242=4),TRUE),IF(OR(D242="单向收纳盒",D242="单颗暂存盒",D242="数字冰冻单颗暂存盒"),OR(G242=0,G242=1),TRUE),IF(OR(D242="固定颜色盒",D242="广告锁定周转盒"),G242=0,TRUE)),TRUE)),"通过","需调整")</ns0:f>
        <ns0:v>通过</ns0:v>
      </ns0:c>
      <ns0:c r="P242" s="145" t="str">
        <ns0:v>归纳与指定口味</ns0:v>
      </ns0:c>
      <ns0:c r="Q242" s="145" t="str">
        <ns0:v>层序JSON:{"reference":"已确认的41–50关方案；第43关：归纳与指定口味；固定层序与订单，非参考小游戏逐关复刻","slots":[{"group_id":"W043-01","layers":[6,12,5,12]},{"group_id":"W043-01","layers":[0,8,2,3]},{"group_id":"W043-01","layers":[5,12,0,5]},{"group_id":"W043-01","layers":[3,6,12,6]},{"group_id":"W043-01","layers":[0,12,6,0]},{"group_id":"W043-01","layers":[6,12,3,12]},{"group_id":"W043-01","layers":[5,0,0,2]},{"group_id":"W043-01","layers":[5,0,3,8]},{"group_id":"W043-01","layers":[3,2,6,3]},{"group_id":"W043-01","layers":[2,2,5,3]},{"group_id":"W043-01","layers":[8,5,2,12]},{"group_id":"W043-01","layers":[8,3,0,4]},{"group_id":"W043-01","layers":[3,12,0,3]},{"group_id":"W043-01","layers":[0,4,3,0]},{"group_id":"W043-01","layers":[4,12,12,0]},{"group_id":"W043-03","layers":[2,5,3,6]},{"group_id":"W043-01","layers":[12,4,6,2]},{"group_id":"W043-02","layers":[]},{"group_id":"W043-04","layers":[],"fixed_flavor":12}],"stock":[],"demand_sequences":[[12,8,0,5,0,2,5,6,12],[3,6,12,3,3,0,2,4]]}</ns0:v>
      </ns0:c>
      <ns0:c r="R242" s="149" t="n">
        <ns0:f>E242*H242</ns0:f>
        <ns0:v>0</ns0:v>
      </ns0:c>
    </ns0:row>
    <ns0:row r="243" ht="21" customHeight="1">
      <ns0:c r="A243" s="150" t="n">
        <ns0:v>43</ns0:v>
      </ns0:c>
      <ns0:c r="B243" s="147" t="str">
        <ns0:v>开局</ns0:v>
      </ns0:c>
      <ns0:c r="C243" s="147" t="str">
        <ns0:v>W043-02</ns0:v>
      </ns0:c>
      <ns0:c r="D243" s="147" t="str">
        <ns0:v>普通盒</ns0:v>
      </ns0:c>
      <ns0:c r="E243" s="152" t="n">
        <ns0:v>1</ns0:v>
      </ns0:c>
      <ns0:c r="F243" s="152" t="n">
        <ns0:v>4</ns0:v>
      </ns0:c>
      <ns0:c r="G243" s="152" t="n">
        <ns0:v>0</ns0:v>
      </ns0:c>
      <ns0:c r="H243" s="152" t="n">
        <ns0:v>0</ns0:v>
      </ns0:c>
      <ns0:c r="I243" s="150" t="n">
        <ns0:f>E243*G243</ns0:f>
        <ns0:v>0</ns0:v>
      </ns0:c>
      <ns0:c r="J243" s="150" t="n">
        <ns0:f>E243*(F243-G243)</ns0:f>
        <ns0:v>4</ns0:v>
      </ns0:c>
      <ns0:c r="K243" s="150" t="n">
        <ns0:f>IF(AND(B243="开局",G243=0,OR(D243="普通盒",D243="单颗暂存盒")),J243,0)</ns0:f>
        <ns0:v>4</ns0:v>
      </ns0:c>
      <ns0:c r="L243" s="150" t="n">
        <ns0:f>IF(AND(B243="开局",G243&gt;0,OR(D243="普通盒",D243="底部置顶盒",D243="炸弹盒")),J243,0)</ns0:f>
        <ns0:v>0</ns0:v>
      </ns0:c>
      <ns0:c r="M243" s="150" t="n">
        <ns0:f>IF(AND(B243="开局",OR(D243="固定颜色盒",D243="单向收纳盒")),J243,0)</ns0:f>
        <ns0:v>0</ns0:v>
      </ns0:c>
      <ns0:c r="N243" s="150" t="n">
        <ns0:f>IF(AND(B243="开局",OR(D243="数字盖盒",D243="普通冰冻盒",D243="数字冰冻盒",D243="数字冰冻单颗暂存盒")),J243,0)</ns0:f>
        <ns0:v>0</ns0:v>
      </ns0:c>
      <ns0:c r="O243" s="147" t="str">
        <ns0:f>IF(AND(E243&gt;0,E243=INT(E243),G243&gt;=0,G243&lt;=F243,G243=INT(G243),OR(AND(F243=1,OR(D243="单颗暂存盒",D243="数字冰冻单颗暂存盒")),AND(F243=4,NOT(OR(D243="单颗暂存盒",D243="数字冰冻单颗暂存盒")))),IF(OR(D243="数字盖盒",D243="数字冰冻盒",D243="数字冰冻单颗暂存盒"),AND(H243&gt;=1,H243=INT(H243)),H243=0),IF(B243="开局",AND(IF(OR(D243="数字盖盒",D243="普通冰冻盒",D243="数字冰冻盒",D243="炸弹盒",D243="底部置顶盒"),OR(G243=3,G243=4),TRUE),IF(OR(D243="单向收纳盒",D243="单颗暂存盒",D243="数字冰冻单颗暂存盒"),OR(G243=0,G243=1),TRUE),IF(OR(D243="固定颜色盒",D243="广告锁定周转盒"),G243=0,TRUE)),TRUE)),"通过","需调整")</ns0:f>
        <ns0:v>通过</ns0:v>
      </ns0:c>
      <ns0:c r="P243" s="147" t="str">
        <ns0:v>归纳与指定口味</ns0:v>
      </ns0:c>
      <ns0:c r="Q243" s="147" t="str">
        <ns0:v>层序见本关首组；按盒序固定</ns0:v>
      </ns0:c>
      <ns0:c r="R243" s="150" t="n">
        <ns0:f>E243*H243</ns0:f>
        <ns0:v>0</ns0:v>
      </ns0:c>
    </ns0:row>
    <ns0:row r="244" ht="21" customHeight="1">
      <ns0:c r="A244" s="149" t="n">
        <ns0:v>43</ns0:v>
      </ns0:c>
      <ns0:c r="B244" s="145" t="str">
        <ns0:v>开局</ns0:v>
      </ns0:c>
      <ns0:c r="C244" s="145" t="str">
        <ns0:v>W043-03</ns0:v>
      </ns0:c>
      <ns0:c r="D244" s="145" t="str">
        <ns0:v>数字冰冻盒</ns0:v>
      </ns0:c>
      <ns0:c r="E244" s="152" t="n">
        <ns0:v>1</ns0:v>
      </ns0:c>
      <ns0:c r="F244" s="152" t="n">
        <ns0:v>4</ns0:v>
      </ns0:c>
      <ns0:c r="G244" s="152" t="n">
        <ns0:v>4</ns0:v>
      </ns0:c>
      <ns0:c r="H244" s="152" t="n">
        <ns0:v>1</ns0:v>
      </ns0:c>
      <ns0:c r="I244" s="149" t="n">
        <ns0:f>E244*G244</ns0:f>
        <ns0:v>4</ns0:v>
      </ns0:c>
      <ns0:c r="J244" s="149" t="n">
        <ns0:f>E244*(F244-G244)</ns0:f>
        <ns0:v>0</ns0:v>
      </ns0:c>
      <ns0:c r="K244" s="149" t="n">
        <ns0:f>IF(AND(B244="开局",G244=0,OR(D244="普通盒",D244="单颗暂存盒")),J244,0)</ns0:f>
        <ns0:v>0</ns0:v>
      </ns0:c>
      <ns0:c r="L244" s="149" t="n">
        <ns0:f>IF(AND(B244="开局",G244&gt;0,OR(D244="普通盒",D244="底部置顶盒",D244="炸弹盒")),J244,0)</ns0:f>
        <ns0:v>0</ns0:v>
      </ns0:c>
      <ns0:c r="M244" s="149" t="n">
        <ns0:f>IF(AND(B244="开局",OR(D244="固定颜色盒",D244="单向收纳盒")),J244,0)</ns0:f>
        <ns0:v>0</ns0:v>
      </ns0:c>
      <ns0:c r="N244" s="149" t="n">
        <ns0:f>IF(AND(B244="开局",OR(D244="数字盖盒",D244="普通冰冻盒",D244="数字冰冻盒",D244="数字冰冻单颗暂存盒")),J244,0)</ns0:f>
        <ns0:v>0</ns0:v>
      </ns0:c>
      <ns0:c r="O244" s="145" t="str">
        <ns0:f>IF(AND(E244&gt;0,E244=INT(E244),G244&gt;=0,G244&lt;=F244,G244=INT(G244),OR(AND(F244=1,OR(D244="单颗暂存盒",D244="数字冰冻单颗暂存盒")),AND(F244=4,NOT(OR(D244="单颗暂存盒",D244="数字冰冻单颗暂存盒")))),IF(OR(D244="数字盖盒",D244="数字冰冻盒",D244="数字冰冻单颗暂存盒"),AND(H244&gt;=1,H244=INT(H244)),H244=0),IF(B244="开局",AND(IF(OR(D244="数字盖盒",D244="普通冰冻盒",D244="数字冰冻盒",D244="炸弹盒",D244="底部置顶盒"),OR(G244=3,G244=4),TRUE),IF(OR(D244="单向收纳盒",D244="单颗暂存盒",D244="数字冰冻单颗暂存盒"),OR(G244=0,G244=1),TRUE),IF(OR(D244="固定颜色盒",D244="广告锁定周转盒"),G244=0,TRUE)),TRUE)),"通过","需调整")</ns0:f>
        <ns0:v>通过</ns0:v>
      </ns0:c>
      <ns0:c r="P244" s="145" t="str">
        <ns0:v>归纳与指定口味</ns0:v>
      </ns0:c>
      <ns0:c r="Q244" s="145" t="str">
        <ns0:v>层序见本关首组；按盒序固定</ns0:v>
      </ns0:c>
      <ns0:c r="R244" s="149" t="n">
        <ns0:f>E244*H244</ns0:f>
        <ns0:v>1</ns0:v>
      </ns0:c>
    </ns0:row>
    <ns0:row r="245" ht="21" customHeight="1">
      <ns0:c r="A245" s="150" t="n">
        <ns0:v>43</ns0:v>
      </ns0:c>
      <ns0:c r="B245" s="147" t="str">
        <ns0:v>开局</ns0:v>
      </ns0:c>
      <ns0:c r="C245" s="147" t="str">
        <ns0:v>W043-04</ns0:v>
      </ns0:c>
      <ns0:c r="D245" s="147" t="str">
        <ns0:v>固定颜色盒</ns0:v>
      </ns0:c>
      <ns0:c r="E245" s="152" t="n">
        <ns0:v>1</ns0:v>
      </ns0:c>
      <ns0:c r="F245" s="152" t="n">
        <ns0:v>4</ns0:v>
      </ns0:c>
      <ns0:c r="G245" s="152" t="n">
        <ns0:v>0</ns0:v>
      </ns0:c>
      <ns0:c r="H245" s="152" t="n">
        <ns0:v>0</ns0:v>
      </ns0:c>
      <ns0:c r="I245" s="150" t="n">
        <ns0:f>E245*G245</ns0:f>
        <ns0:v>0</ns0:v>
      </ns0:c>
      <ns0:c r="J245" s="150" t="n">
        <ns0:f>E245*(F245-G245)</ns0:f>
        <ns0:v>4</ns0:v>
      </ns0:c>
      <ns0:c r="K245" s="150" t="n">
        <ns0:f>IF(AND(B245="开局",G245=0,OR(D245="普通盒",D245="单颗暂存盒")),J245,0)</ns0:f>
        <ns0:v>0</ns0:v>
      </ns0:c>
      <ns0:c r="L245" s="150" t="n">
        <ns0:f>IF(AND(B245="开局",G245&gt;0,OR(D245="普通盒",D245="底部置顶盒",D245="炸弹盒")),J245,0)</ns0:f>
        <ns0:v>0</ns0:v>
      </ns0:c>
      <ns0:c r="M245" s="150" t="n">
        <ns0:f>IF(AND(B245="开局",OR(D245="固定颜色盒",D245="单向收纳盒")),J245,0)</ns0:f>
        <ns0:v>4</ns0:v>
      </ns0:c>
      <ns0:c r="N245" s="150" t="n">
        <ns0:f>IF(AND(B245="开局",OR(D245="数字盖盒",D245="普通冰冻盒",D245="数字冰冻盒",D245="数字冰冻单颗暂存盒")),J245,0)</ns0:f>
        <ns0:v>0</ns0:v>
      </ns0:c>
      <ns0:c r="O245" s="147" t="str">
        <ns0:f>IF(AND(E245&gt;0,E245=INT(E245),G245&gt;=0,G245&lt;=F245,G245=INT(G245),OR(AND(F245=1,OR(D245="单颗暂存盒",D245="数字冰冻单颗暂存盒")),AND(F245=4,NOT(OR(D245="单颗暂存盒",D245="数字冰冻单颗暂存盒")))),IF(OR(D245="数字盖盒",D245="数字冰冻盒",D245="数字冰冻单颗暂存盒"),AND(H245&gt;=1,H245=INT(H245)),H245=0),IF(B245="开局",AND(IF(OR(D245="数字盖盒",D245="普通冰冻盒",D245="数字冰冻盒",D245="炸弹盒",D245="底部置顶盒"),OR(G245=3,G245=4),TRUE),IF(OR(D245="单向收纳盒",D245="单颗暂存盒",D245="数字冰冻单颗暂存盒"),OR(G245=0,G245=1),TRUE),IF(OR(D245="固定颜色盒",D245="广告锁定周转盒"),G245=0,TRUE)),TRUE)),"通过","需调整")</ns0:f>
        <ns0:v>通过</ns0:v>
      </ns0:c>
      <ns0:c r="P245" s="147" t="str">
        <ns0:v>归纳与指定口味</ns0:v>
      </ns0:c>
      <ns0:c r="Q245" s="147" t="str">
        <ns0:v>层序见本关首组；按盒序固定</ns0:v>
      </ns0:c>
      <ns0:c r="R245" s="150" t="n">
        <ns0:f>E245*H245</ns0:f>
        <ns0:v>0</ns0:v>
      </ns0:c>
    </ns0:row>
    <ns0:row r="246" ht="21" customHeight="1">
      <ns0:c r="A246" s="149" t="n">
        <ns0:v>43</ns0:v>
      </ns0:c>
      <ns0:c r="B246" s="145" t="str">
        <ns0:v>开局</ns0:v>
      </ns0:c>
      <ns0:c r="C246" s="145" t="str">
        <ns0:v>W043-05</ns0:v>
      </ns0:c>
      <ns0:c r="D246" s="145" t="str">
        <ns0:v>广告锁定周转盒</ns0:v>
      </ns0:c>
      <ns0:c r="E246" s="152" t="n">
        <ns0:v>2</ns0:v>
      </ns0:c>
      <ns0:c r="F246" s="152" t="n">
        <ns0:v>4</ns0:v>
      </ns0:c>
      <ns0:c r="G246" s="152" t="n">
        <ns0:v>0</ns0:v>
      </ns0:c>
      <ns0:c r="H246" s="152" t="n">
        <ns0:v>0</ns0:v>
      </ns0:c>
      <ns0:c r="I246" s="149" t="n">
        <ns0:f>E246*G246</ns0:f>
        <ns0:v>0</ns0:v>
      </ns0:c>
      <ns0:c r="J246" s="149" t="n">
        <ns0:f>E246*(F246-G246)</ns0:f>
        <ns0:v>8</ns0:v>
      </ns0:c>
      <ns0:c r="K246" s="149" t="n">
        <ns0:f>IF(AND(B246="开局",G246=0,OR(D246="普通盒",D246="单颗暂存盒")),J246,0)</ns0:f>
        <ns0:v>0</ns0:v>
      </ns0:c>
      <ns0:c r="L246" s="149" t="n">
        <ns0:f>IF(AND(B246="开局",G246&gt;0,OR(D246="普通盒",D246="底部置顶盒",D246="炸弹盒")),J246,0)</ns0:f>
        <ns0:v>0</ns0:v>
      </ns0:c>
      <ns0:c r="M246" s="149" t="n">
        <ns0:f>IF(AND(B246="开局",OR(D246="固定颜色盒",D246="单向收纳盒")),J246,0)</ns0:f>
        <ns0:v>0</ns0:v>
      </ns0:c>
      <ns0:c r="N246" s="149" t="n">
        <ns0:f>IF(AND(B246="开局",OR(D246="数字盖盒",D246="普通冰冻盒",D246="数字冰冻盒",D246="数字冰冻单颗暂存盒")),J246,0)</ns0:f>
        <ns0:v>0</ns0:v>
      </ns0:c>
      <ns0:c r="O246" s="145" t="str">
        <ns0:f>IF(AND(E246&gt;0,E246=INT(E246),G246&gt;=0,G246&lt;=F246,G246=INT(G246),OR(AND(F246=1,OR(D246="单颗暂存盒",D246="数字冰冻单颗暂存盒")),AND(F246=4,NOT(OR(D246="单颗暂存盒",D246="数字冰冻单颗暂存盒")))),IF(OR(D246="数字盖盒",D246="数字冰冻盒",D246="数字冰冻单颗暂存盒"),AND(H246&gt;=1,H246=INT(H246)),H246=0),IF(B246="开局",AND(IF(OR(D246="数字盖盒",D246="普通冰冻盒",D246="数字冰冻盒",D246="炸弹盒",D246="底部置顶盒"),OR(G246=3,G246=4),TRUE),IF(OR(D246="单向收纳盒",D246="单颗暂存盒",D246="数字冰冻单颗暂存盒"),OR(G246=0,G246=1),TRUE),IF(OR(D246="固定颜色盒",D246="广告锁定周转盒"),G246=0,TRUE)),TRUE)),"通过","需调整")</ns0:f>
        <ns0:v>通过</ns0:v>
      </ns0:c>
      <ns0:c r="P246" s="145" t="str">
        <ns0:v>归纳与指定口味</ns0:v>
      </ns0:c>
      <ns0:c r="Q246" s="145" t="str">
        <ns0:v>层序见本关首组；按盒序固定</ns0:v>
      </ns0:c>
      <ns0:c r="R246" s="149" t="n">
        <ns0:f>E246*H246</ns0:f>
        <ns0:v>0</ns0:v>
      </ns0:c>
    </ns0:row>
    <ns0:row r="247" ht="21" customHeight="1">
      <ns0:c r="A247" s="150" t="n">
        <ns0:v>44</ns0:v>
      </ns0:c>
      <ns0:c r="B247" s="147" t="str">
        <ns0:v>开局</ns0:v>
      </ns0:c>
      <ns0:c r="C247" s="147" t="str">
        <ns0:v>W044-01</ns0:v>
      </ns0:c>
      <ns0:c r="D247" s="147" t="str">
        <ns0:v>普通盒</ns0:v>
      </ns0:c>
      <ns0:c r="E247" s="152" t="n">
        <ns0:v>11</ns0:v>
      </ns0:c>
      <ns0:c r="F247" s="152" t="n">
        <ns0:v>4</ns0:v>
      </ns0:c>
      <ns0:c r="G247" s="152" t="n">
        <ns0:v>4</ns0:v>
      </ns0:c>
      <ns0:c r="H247" s="152" t="n">
        <ns0:v>0</ns0:v>
      </ns0:c>
      <ns0:c r="I247" s="150" t="n">
        <ns0:f>E247*G247</ns0:f>
        <ns0:v>44</ns0:v>
      </ns0:c>
      <ns0:c r="J247" s="150" t="n">
        <ns0:f>E247*(F247-G247)</ns0:f>
        <ns0:v>0</ns0:v>
      </ns0:c>
      <ns0:c r="K247" s="150" t="n">
        <ns0:f>IF(AND(B247="开局",G247=0,OR(D247="普通盒",D247="单颗暂存盒")),J247,0)</ns0:f>
        <ns0:v>0</ns0:v>
      </ns0:c>
      <ns0:c r="L247" s="150" t="n">
        <ns0:f>IF(AND(B247="开局",G247&gt;0,OR(D247="普通盒",D247="底部置顶盒",D247="炸弹盒")),J247,0)</ns0:f>
        <ns0:v>0</ns0:v>
      </ns0:c>
      <ns0:c r="M247" s="150" t="n">
        <ns0:f>IF(AND(B247="开局",OR(D247="固定颜色盒",D247="单向收纳盒")),J247,0)</ns0:f>
        <ns0:v>0</ns0:v>
      </ns0:c>
      <ns0:c r="N247" s="150" t="n">
        <ns0:f>IF(AND(B247="开局",OR(D247="数字盖盒",D247="普通冰冻盒",D247="数字冰冻盒",D247="数字冰冻单颗暂存盒")),J247,0)</ns0:f>
        <ns0:v>0</ns0:v>
      </ns0:c>
      <ns0:c r="O247" s="147" t="str">
        <ns0:f>IF(AND(E247&gt;0,E247=INT(E247),G247&gt;=0,G247&lt;=F247,G247=INT(G247),OR(AND(F247=1,OR(D247="单颗暂存盒",D247="数字冰冻单颗暂存盒")),AND(F247=4,NOT(OR(D247="单颗暂存盒",D247="数字冰冻单颗暂存盒")))),IF(OR(D247="数字盖盒",D247="数字冰冻盒",D247="数字冰冻单颗暂存盒"),AND(H247&gt;=1,H247=INT(H247)),H247=0),IF(B247="开局",AND(IF(OR(D247="数字盖盒",D247="普通冰冻盒",D247="数字冰冻盒",D247="炸弹盒",D247="底部置顶盒"),OR(G247=3,G247=4),TRUE),IF(OR(D247="单向收纳盒",D247="单颗暂存盒",D247="数字冰冻单颗暂存盒"),OR(G247=0,G247=1),TRUE),IF(OR(D247="固定颜色盒",D247="广告锁定周转盒"),G247=0,TRUE)),TRUE)),"通过","需调整")</ns0:f>
        <ns0:v>通过</ns0:v>
      </ns0:c>
      <ns0:c r="P247" s="147" t="str">
        <ns0:v>预装暂存复用</ns0:v>
      </ns0:c>
      <ns0:c r="Q247" s="147" t="str">
        <ns0:v>层序JSON:{"reference":"已确认的41–50关方案；第44关：预装暂存复用；固定层序与订单，非参考小游戏逐关复刻","slots":[{"group_id":"W044-01","layers":[4,3,0,6]},{"group_id":"W044-01","layers":[5,4,6,0]},{"group_id":"W044-01","layers":[4,3,8,4]},{"group_id":"W044-01","layers":[6,12,12,0]},{"group_id":"W044-01","layers":[0,3,8,6]},{"group_id":"W044-02","layers":[2,3,3]},{"group_id":"W044-02","layers":[8,4,8]},{"group_id":"W044-01","layers":[12,3,5,6]},{"group_id":"W044-03","layers":[6,8]},{"group_id":"W044-05","layers":[12,0,6,5]},{"group_id":"W044-06","layers":[2]},{"group_id":"W044-01","layers":[8,3,2,5]},{"group_id":"W044-01","layers":[2,8,12,0]},{"group_id":"W044-01","layers":[0,4,6,5]},{"group_id":"W044-05","layers":[2,4,12,0]},{"group_id":"W044-02","layers":[8,12,4]},{"group_id":"W044-01","layers":[4,2,4,2]},{"group_id":"W044-01","layers":[5,3,5,4]},{"group_id":"W044-04","layers":[]}],"stock":[{"group_id":"W044-08","layers":[12,2,5,4]}],"demand_sequences":[[12,4,6,12,2,0,4,8,5],[6,4,5,8,3,2,3,0]]}</ns0:v>
      </ns0:c>
      <ns0:c r="R247" s="150" t="n">
        <ns0:f>E247*H247</ns0:f>
        <ns0:v>0</ns0:v>
      </ns0:c>
    </ns0:row>
    <ns0:row r="248" ht="21" customHeight="1">
      <ns0:c r="A248" s="149" t="n">
        <ns0:v>44</ns0:v>
      </ns0:c>
      <ns0:c r="B248" s="145" t="str">
        <ns0:v>开局</ns0:v>
      </ns0:c>
      <ns0:c r="C248" s="145" t="str">
        <ns0:v>W044-02</ns0:v>
      </ns0:c>
      <ns0:c r="D248" s="145" t="str">
        <ns0:v>普通盒</ns0:v>
      </ns0:c>
      <ns0:c r="E248" s="152" t="n">
        <ns0:v>3</ns0:v>
      </ns0:c>
      <ns0:c r="F248" s="152" t="n">
        <ns0:v>4</ns0:v>
      </ns0:c>
      <ns0:c r="G248" s="152" t="n">
        <ns0:v>3</ns0:v>
      </ns0:c>
      <ns0:c r="H248" s="152" t="n">
        <ns0:v>0</ns0:v>
      </ns0:c>
      <ns0:c r="I248" s="149" t="n">
        <ns0:f>E248*G248</ns0:f>
        <ns0:v>9</ns0:v>
      </ns0:c>
      <ns0:c r="J248" s="149" t="n">
        <ns0:f>E248*(F248-G248)</ns0:f>
        <ns0:v>3</ns0:v>
      </ns0:c>
      <ns0:c r="K248" s="149" t="n">
        <ns0:f>IF(AND(B248="开局",G248=0,OR(D248="普通盒",D248="单颗暂存盒")),J248,0)</ns0:f>
        <ns0:v>0</ns0:v>
      </ns0:c>
      <ns0:c r="L248" s="149" t="n">
        <ns0:f>IF(AND(B248="开局",G248&gt;0,OR(D248="普通盒",D248="底部置顶盒",D248="炸弹盒")),J248,0)</ns0:f>
        <ns0:v>3</ns0:v>
      </ns0:c>
      <ns0:c r="M248" s="149" t="n">
        <ns0:f>IF(AND(B248="开局",OR(D248="固定颜色盒",D248="单向收纳盒")),J248,0)</ns0:f>
        <ns0:v>0</ns0:v>
      </ns0:c>
      <ns0:c r="N248" s="149" t="n">
        <ns0:f>IF(AND(B248="开局",OR(D248="数字盖盒",D248="普通冰冻盒",D248="数字冰冻盒",D248="数字冰冻单颗暂存盒")),J248,0)</ns0:f>
        <ns0:v>0</ns0:v>
      </ns0:c>
      <ns0:c r="O248" s="145" t="str">
        <ns0:f>IF(AND(E248&gt;0,E248=INT(E248),G248&gt;=0,G248&lt;=F248,G248=INT(G248),OR(AND(F248=1,OR(D248="单颗暂存盒",D248="数字冰冻单颗暂存盒")),AND(F248=4,NOT(OR(D248="单颗暂存盒",D248="数字冰冻单颗暂存盒")))),IF(OR(D248="数字盖盒",D248="数字冰冻盒",D248="数字冰冻单颗暂存盒"),AND(H248&gt;=1,H248=INT(H248)),H248=0),IF(B248="开局",AND(IF(OR(D248="数字盖盒",D248="普通冰冻盒",D248="数字冰冻盒",D248="炸弹盒",D248="底部置顶盒"),OR(G248=3,G248=4),TRUE),IF(OR(D248="单向收纳盒",D248="单颗暂存盒",D248="数字冰冻单颗暂存盒"),OR(G248=0,G248=1),TRUE),IF(OR(D248="固定颜色盒",D248="广告锁定周转盒"),G248=0,TRUE)),TRUE)),"通过","需调整")</ns0:f>
        <ns0:v>通过</ns0:v>
      </ns0:c>
      <ns0:c r="P248" s="145" t="str">
        <ns0:v>预装暂存复用</ns0:v>
      </ns0:c>
      <ns0:c r="Q248" s="145" t="str">
        <ns0:v>层序见本关首组；按盒序固定</ns0:v>
      </ns0:c>
      <ns0:c r="R248" s="149" t="n">
        <ns0:f>E248*H248</ns0:f>
        <ns0:v>0</ns0:v>
      </ns0:c>
    </ns0:row>
    <ns0:row r="249" ht="21" customHeight="1">
      <ns0:c r="A249" s="150" t="n">
        <ns0:v>44</ns0:v>
      </ns0:c>
      <ns0:c r="B249" s="147" t="str">
        <ns0:v>开局</ns0:v>
      </ns0:c>
      <ns0:c r="C249" s="147" t="str">
        <ns0:v>W044-03</ns0:v>
      </ns0:c>
      <ns0:c r="D249" s="147" t="str">
        <ns0:v>普通盒</ns0:v>
      </ns0:c>
      <ns0:c r="E249" s="152" t="n">
        <ns0:v>1</ns0:v>
      </ns0:c>
      <ns0:c r="F249" s="152" t="n">
        <ns0:v>4</ns0:v>
      </ns0:c>
      <ns0:c r="G249" s="152" t="n">
        <ns0:v>2</ns0:v>
      </ns0:c>
      <ns0:c r="H249" s="152" t="n">
        <ns0:v>0</ns0:v>
      </ns0:c>
      <ns0:c r="I249" s="150" t="n">
        <ns0:f>E249*G249</ns0:f>
        <ns0:v>2</ns0:v>
      </ns0:c>
      <ns0:c r="J249" s="150" t="n">
        <ns0:f>E249*(F249-G249)</ns0:f>
        <ns0:v>2</ns0:v>
      </ns0:c>
      <ns0:c r="K249" s="150" t="n">
        <ns0:f>IF(AND(B249="开局",G249=0,OR(D249="普通盒",D249="单颗暂存盒")),J249,0)</ns0:f>
        <ns0:v>0</ns0:v>
      </ns0:c>
      <ns0:c r="L249" s="150" t="n">
        <ns0:f>IF(AND(B249="开局",G249&gt;0,OR(D249="普通盒",D249="底部置顶盒",D249="炸弹盒")),J249,0)</ns0:f>
        <ns0:v>2</ns0:v>
      </ns0:c>
      <ns0:c r="M249" s="150" t="n">
        <ns0:f>IF(AND(B249="开局",OR(D249="固定颜色盒",D249="单向收纳盒")),J249,0)</ns0:f>
        <ns0:v>0</ns0:v>
      </ns0:c>
      <ns0:c r="N249" s="150" t="n">
        <ns0:f>IF(AND(B249="开局",OR(D249="数字盖盒",D249="普通冰冻盒",D249="数字冰冻盒",D249="数字冰冻单颗暂存盒")),J249,0)</ns0:f>
        <ns0:v>0</ns0:v>
      </ns0:c>
      <ns0:c r="O249" s="147" t="str">
        <ns0:f>IF(AND(E249&gt;0,E249=INT(E249),G249&gt;=0,G249&lt;=F249,G249=INT(G249),OR(AND(F249=1,OR(D249="单颗暂存盒",D249="数字冰冻单颗暂存盒")),AND(F249=4,NOT(OR(D249="单颗暂存盒",D249="数字冰冻单颗暂存盒")))),IF(OR(D249="数字盖盒",D249="数字冰冻盒",D249="数字冰冻单颗暂存盒"),AND(H249&gt;=1,H249=INT(H249)),H249=0),IF(B249="开局",AND(IF(OR(D249="数字盖盒",D249="普通冰冻盒",D249="数字冰冻盒",D249="炸弹盒",D249="底部置顶盒"),OR(G249=3,G249=4),TRUE),IF(OR(D249="单向收纳盒",D249="单颗暂存盒",D249="数字冰冻单颗暂存盒"),OR(G249=0,G249=1),TRUE),IF(OR(D249="固定颜色盒",D249="广告锁定周转盒"),G249=0,TRUE)),TRUE)),"通过","需调整")</ns0:f>
        <ns0:v>通过</ns0:v>
      </ns0:c>
      <ns0:c r="P249" s="147" t="str">
        <ns0:v>预装暂存复用</ns0:v>
      </ns0:c>
      <ns0:c r="Q249" s="147" t="str">
        <ns0:v>层序见本关首组；按盒序固定</ns0:v>
      </ns0:c>
      <ns0:c r="R249" s="150" t="n">
        <ns0:f>E249*H249</ns0:f>
        <ns0:v>0</ns0:v>
      </ns0:c>
    </ns0:row>
    <ns0:row r="250" ht="21" customHeight="1">
      <ns0:c r="A250" s="149" t="n">
        <ns0:v>44</ns0:v>
      </ns0:c>
      <ns0:c r="B250" s="145" t="str">
        <ns0:v>开局</ns0:v>
      </ns0:c>
      <ns0:c r="C250" s="145" t="str">
        <ns0:v>W044-04</ns0:v>
      </ns0:c>
      <ns0:c r="D250" s="145" t="str">
        <ns0:v>普通盒</ns0:v>
      </ns0:c>
      <ns0:c r="E250" s="152" t="n">
        <ns0:v>1</ns0:v>
      </ns0:c>
      <ns0:c r="F250" s="152" t="n">
        <ns0:v>4</ns0:v>
      </ns0:c>
      <ns0:c r="G250" s="152" t="n">
        <ns0:v>0</ns0:v>
      </ns0:c>
      <ns0:c r="H250" s="152" t="n">
        <ns0:v>0</ns0:v>
      </ns0:c>
      <ns0:c r="I250" s="149" t="n">
        <ns0:f>E250*G250</ns0:f>
        <ns0:v>0</ns0:v>
      </ns0:c>
      <ns0:c r="J250" s="149" t="n">
        <ns0:f>E250*(F250-G250)</ns0:f>
        <ns0:v>4</ns0:v>
      </ns0:c>
      <ns0:c r="K250" s="149" t="n">
        <ns0:f>IF(AND(B250="开局",G250=0,OR(D250="普通盒",D250="单颗暂存盒")),J250,0)</ns0:f>
        <ns0:v>4</ns0:v>
      </ns0:c>
      <ns0:c r="L250" s="149" t="n">
        <ns0:f>IF(AND(B250="开局",G250&gt;0,OR(D250="普通盒",D250="底部置顶盒",D250="炸弹盒")),J250,0)</ns0:f>
        <ns0:v>0</ns0:v>
      </ns0:c>
      <ns0:c r="M250" s="149" t="n">
        <ns0:f>IF(AND(B250="开局",OR(D250="固定颜色盒",D250="单向收纳盒")),J250,0)</ns0:f>
        <ns0:v>0</ns0:v>
      </ns0:c>
      <ns0:c r="N250" s="149" t="n">
        <ns0:f>IF(AND(B250="开局",OR(D250="数字盖盒",D250="普通冰冻盒",D250="数字冰冻盒",D250="数字冰冻单颗暂存盒")),J250,0)</ns0:f>
        <ns0:v>0</ns0:v>
      </ns0:c>
      <ns0:c r="O250" s="145" t="str">
        <ns0:f>IF(AND(E250&gt;0,E250=INT(E250),G250&gt;=0,G250&lt;=F250,G250=INT(G250),OR(AND(F250=1,OR(D250="单颗暂存盒",D250="数字冰冻单颗暂存盒")),AND(F250=4,NOT(OR(D250="单颗暂存盒",D250="数字冰冻单颗暂存盒")))),IF(OR(D250="数字盖盒",D250="数字冰冻盒",D250="数字冰冻单颗暂存盒"),AND(H250&gt;=1,H250=INT(H250)),H250=0),IF(B250="开局",AND(IF(OR(D250="数字盖盒",D250="普通冰冻盒",D250="数字冰冻盒",D250="炸弹盒",D250="底部置顶盒"),OR(G250=3,G250=4),TRUE),IF(OR(D250="单向收纳盒",D250="单颗暂存盒",D250="数字冰冻单颗暂存盒"),OR(G250=0,G250=1),TRUE),IF(OR(D250="固定颜色盒",D250="广告锁定周转盒"),G250=0,TRUE)),TRUE)),"通过","需调整")</ns0:f>
        <ns0:v>通过</ns0:v>
      </ns0:c>
      <ns0:c r="P250" s="145" t="str">
        <ns0:v>预装暂存复用</ns0:v>
      </ns0:c>
      <ns0:c r="Q250" s="145" t="str">
        <ns0:v>层序见本关首组；按盒序固定</ns0:v>
      </ns0:c>
      <ns0:c r="R250" s="149" t="n">
        <ns0:f>E250*H250</ns0:f>
        <ns0:v>0</ns0:v>
      </ns0:c>
    </ns0:row>
    <ns0:row r="251" ht="21" customHeight="1">
      <ns0:c r="A251" s="150" t="n">
        <ns0:v>44</ns0:v>
      </ns0:c>
      <ns0:c r="B251" s="147" t="str">
        <ns0:v>开局</ns0:v>
      </ns0:c>
      <ns0:c r="C251" s="147" t="str">
        <ns0:v>W044-05</ns0:v>
      </ns0:c>
      <ns0:c r="D251" s="147" t="str">
        <ns0:v>数字冰冻盒</ns0:v>
      </ns0:c>
      <ns0:c r="E251" s="152" t="n">
        <ns0:v>2</ns0:v>
      </ns0:c>
      <ns0:c r="F251" s="152" t="n">
        <ns0:v>4</ns0:v>
      </ns0:c>
      <ns0:c r="G251" s="152" t="n">
        <ns0:v>4</ns0:v>
      </ns0:c>
      <ns0:c r="H251" s="152" t="n">
        <ns0:v>1</ns0:v>
      </ns0:c>
      <ns0:c r="I251" s="150" t="n">
        <ns0:f>E251*G251</ns0:f>
        <ns0:v>8</ns0:v>
      </ns0:c>
      <ns0:c r="J251" s="150" t="n">
        <ns0:f>E251*(F251-G251)</ns0:f>
        <ns0:v>0</ns0:v>
      </ns0:c>
      <ns0:c r="K251" s="150" t="n">
        <ns0:f>IF(AND(B251="开局",G251=0,OR(D251="普通盒",D251="单颗暂存盒")),J251,0)</ns0:f>
        <ns0:v>0</ns0:v>
      </ns0:c>
      <ns0:c r="L251" s="150" t="n">
        <ns0:f>IF(AND(B251="开局",G251&gt;0,OR(D251="普通盒",D251="底部置顶盒",D251="炸弹盒")),J251,0)</ns0:f>
        <ns0:v>0</ns0:v>
      </ns0:c>
      <ns0:c r="M251" s="150" t="n">
        <ns0:f>IF(AND(B251="开局",OR(D251="固定颜色盒",D251="单向收纳盒")),J251,0)</ns0:f>
        <ns0:v>0</ns0:v>
      </ns0:c>
      <ns0:c r="N251" s="150" t="n">
        <ns0:f>IF(AND(B251="开局",OR(D251="数字盖盒",D251="普通冰冻盒",D251="数字冰冻盒",D251="数字冰冻单颗暂存盒")),J251,0)</ns0:f>
        <ns0:v>0</ns0:v>
      </ns0:c>
      <ns0:c r="O251" s="147" t="str">
        <ns0:f>IF(AND(E251&gt;0,E251=INT(E251),G251&gt;=0,G251&lt;=F251,G251=INT(G251),OR(AND(F251=1,OR(D251="单颗暂存盒",D251="数字冰冻单颗暂存盒")),AND(F251=4,NOT(OR(D251="单颗暂存盒",D251="数字冰冻单颗暂存盒")))),IF(OR(D251="数字盖盒",D251="数字冰冻盒",D251="数字冰冻单颗暂存盒"),AND(H251&gt;=1,H251=INT(H251)),H251=0),IF(B251="开局",AND(IF(OR(D251="数字盖盒",D251="普通冰冻盒",D251="数字冰冻盒",D251="炸弹盒",D251="底部置顶盒"),OR(G251=3,G251=4),TRUE),IF(OR(D251="单向收纳盒",D251="单颗暂存盒",D251="数字冰冻单颗暂存盒"),OR(G251=0,G251=1),TRUE),IF(OR(D251="固定颜色盒",D251="广告锁定周转盒"),G251=0,TRUE)),TRUE)),"通过","需调整")</ns0:f>
        <ns0:v>通过</ns0:v>
      </ns0:c>
      <ns0:c r="P251" s="147" t="str">
        <ns0:v>预装暂存复用</ns0:v>
      </ns0:c>
      <ns0:c r="Q251" s="147" t="str">
        <ns0:v>层序见本关首组；按盒序固定</ns0:v>
      </ns0:c>
      <ns0:c r="R251" s="150" t="n">
        <ns0:f>E251*H251</ns0:f>
        <ns0:v>2</ns0:v>
      </ns0:c>
    </ns0:row>
    <ns0:row r="252" ht="21" customHeight="1">
      <ns0:c r="A252" s="149" t="n">
        <ns0:v>44</ns0:v>
      </ns0:c>
      <ns0:c r="B252" s="145" t="str">
        <ns0:v>开局</ns0:v>
      </ns0:c>
      <ns0:c r="C252" s="145" t="str">
        <ns0:v>W044-06</ns0:v>
      </ns0:c>
      <ns0:c r="D252" s="145" t="str">
        <ns0:v>单颗暂存盒</ns0:v>
      </ns0:c>
      <ns0:c r="E252" s="152" t="n">
        <ns0:v>1</ns0:v>
      </ns0:c>
      <ns0:c r="F252" s="152" t="n">
        <ns0:v>1</ns0:v>
      </ns0:c>
      <ns0:c r="G252" s="152" t="n">
        <ns0:v>1</ns0:v>
      </ns0:c>
      <ns0:c r="H252" s="152" t="n">
        <ns0:v>0</ns0:v>
      </ns0:c>
      <ns0:c r="I252" s="149" t="n">
        <ns0:f>E252*G252</ns0:f>
        <ns0:v>1</ns0:v>
      </ns0:c>
      <ns0:c r="J252" s="149" t="n">
        <ns0:f>E252*(F252-G252)</ns0:f>
        <ns0:v>0</ns0:v>
      </ns0:c>
      <ns0:c r="K252" s="149" t="n">
        <ns0:f>IF(AND(B252="开局",G252=0,OR(D252="普通盒",D252="单颗暂存盒")),J252,0)</ns0:f>
        <ns0:v>0</ns0:v>
      </ns0:c>
      <ns0:c r="L252" s="149" t="n">
        <ns0:f>IF(AND(B252="开局",G252&gt;0,OR(D252="普通盒",D252="底部置顶盒",D252="炸弹盒")),J252,0)</ns0:f>
        <ns0:v>0</ns0:v>
      </ns0:c>
      <ns0:c r="M252" s="149" t="n">
        <ns0:f>IF(AND(B252="开局",OR(D252="固定颜色盒",D252="单向收纳盒")),J252,0)</ns0:f>
        <ns0:v>0</ns0:v>
      </ns0:c>
      <ns0:c r="N252" s="149" t="n">
        <ns0:f>IF(AND(B252="开局",OR(D252="数字盖盒",D252="普通冰冻盒",D252="数字冰冻盒",D252="数字冰冻单颗暂存盒")),J252,0)</ns0:f>
        <ns0:v>0</ns0:v>
      </ns0:c>
      <ns0:c r="O252" s="145" t="str">
        <ns0:f>IF(AND(E252&gt;0,E252=INT(E252),G252&gt;=0,G252&lt;=F252,G252=INT(G252),OR(AND(F252=1,OR(D252="单颗暂存盒",D252="数字冰冻单颗暂存盒")),AND(F252=4,NOT(OR(D252="单颗暂存盒",D252="数字冰冻单颗暂存盒")))),IF(OR(D252="数字盖盒",D252="数字冰冻盒",D252="数字冰冻单颗暂存盒"),AND(H252&gt;=1,H252=INT(H252)),H252=0),IF(B252="开局",AND(IF(OR(D252="数字盖盒",D252="普通冰冻盒",D252="数字冰冻盒",D252="炸弹盒",D252="底部置顶盒"),OR(G252=3,G252=4),TRUE),IF(OR(D252="单向收纳盒",D252="单颗暂存盒",D252="数字冰冻单颗暂存盒"),OR(G252=0,G252=1),TRUE),IF(OR(D252="固定颜色盒",D252="广告锁定周转盒"),G252=0,TRUE)),TRUE)),"通过","需调整")</ns0:f>
        <ns0:v>通过</ns0:v>
      </ns0:c>
      <ns0:c r="P252" s="145" t="str">
        <ns0:v>预装暂存复用</ns0:v>
      </ns0:c>
      <ns0:c r="Q252" s="145" t="str">
        <ns0:v>层序见本关首组；按盒序固定</ns0:v>
      </ns0:c>
      <ns0:c r="R252" s="149" t="n">
        <ns0:f>E252*H252</ns0:f>
        <ns0:v>0</ns0:v>
      </ns0:c>
    </ns0:row>
    <ns0:row r="253" ht="21" customHeight="1">
      <ns0:c r="A253" s="150" t="n">
        <ns0:v>44</ns0:v>
      </ns0:c>
      <ns0:c r="B253" s="147" t="str">
        <ns0:v>开局</ns0:v>
      </ns0:c>
      <ns0:c r="C253" s="147" t="str">
        <ns0:v>W044-07</ns0:v>
      </ns0:c>
      <ns0:c r="D253" s="147" t="str">
        <ns0:v>广告锁定周转盒</ns0:v>
      </ns0:c>
      <ns0:c r="E253" s="152" t="n">
        <ns0:v>2</ns0:v>
      </ns0:c>
      <ns0:c r="F253" s="152" t="n">
        <ns0:v>4</ns0:v>
      </ns0:c>
      <ns0:c r="G253" s="152" t="n">
        <ns0:v>0</ns0:v>
      </ns0:c>
      <ns0:c r="H253" s="152" t="n">
        <ns0:v>0</ns0:v>
      </ns0:c>
      <ns0:c r="I253" s="150" t="n">
        <ns0:f>E253*G253</ns0:f>
        <ns0:v>0</ns0:v>
      </ns0:c>
      <ns0:c r="J253" s="150" t="n">
        <ns0:f>E253*(F253-G253)</ns0:f>
        <ns0:v>8</ns0:v>
      </ns0:c>
      <ns0:c r="K253" s="150" t="n">
        <ns0:f>IF(AND(B253="开局",G253=0,OR(D253="普通盒",D253="单颗暂存盒")),J253,0)</ns0:f>
        <ns0:v>0</ns0:v>
      </ns0:c>
      <ns0:c r="L253" s="150" t="n">
        <ns0:f>IF(AND(B253="开局",G253&gt;0,OR(D253="普通盒",D253="底部置顶盒",D253="炸弹盒")),J253,0)</ns0:f>
        <ns0:v>0</ns0:v>
      </ns0:c>
      <ns0:c r="M253" s="150" t="n">
        <ns0:f>IF(AND(B253="开局",OR(D253="固定颜色盒",D253="单向收纳盒")),J253,0)</ns0:f>
        <ns0:v>0</ns0:v>
      </ns0:c>
      <ns0:c r="N253" s="150" t="n">
        <ns0:f>IF(AND(B253="开局",OR(D253="数字盖盒",D253="普通冰冻盒",D253="数字冰冻盒",D253="数字冰冻单颗暂存盒")),J253,0)</ns0:f>
        <ns0:v>0</ns0:v>
      </ns0:c>
      <ns0:c r="O253" s="147" t="str">
        <ns0:f>IF(AND(E253&gt;0,E253=INT(E253),G253&gt;=0,G253&lt;=F253,G253=INT(G253),OR(AND(F253=1,OR(D253="单颗暂存盒",D253="数字冰冻单颗暂存盒")),AND(F253=4,NOT(OR(D253="单颗暂存盒",D253="数字冰冻单颗暂存盒")))),IF(OR(D253="数字盖盒",D253="数字冰冻盒",D253="数字冰冻单颗暂存盒"),AND(H253&gt;=1,H253=INT(H253)),H253=0),IF(B253="开局",AND(IF(OR(D253="数字盖盒",D253="普通冰冻盒",D253="数字冰冻盒",D253="炸弹盒",D253="底部置顶盒"),OR(G253=3,G253=4),TRUE),IF(OR(D253="单向收纳盒",D253="单颗暂存盒",D253="数字冰冻单颗暂存盒"),OR(G253=0,G253=1),TRUE),IF(OR(D253="固定颜色盒",D253="广告锁定周转盒"),G253=0,TRUE)),TRUE)),"通过","需调整")</ns0:f>
        <ns0:v>通过</ns0:v>
      </ns0:c>
      <ns0:c r="P253" s="147" t="str">
        <ns0:v>预装暂存复用</ns0:v>
      </ns0:c>
      <ns0:c r="Q253" s="147" t="str">
        <ns0:v>层序见本关首组；按盒序固定</ns0:v>
      </ns0:c>
      <ns0:c r="R253" s="150" t="n">
        <ns0:f>E253*H253</ns0:f>
        <ns0:v>0</ns0:v>
      </ns0:c>
    </ns0:row>
    <ns0:row r="254" ht="21" customHeight="1">
      <ns0:c r="A254" s="149" t="n">
        <ns0:v>44</ns0:v>
      </ns0:c>
      <ns0:c r="B254" s="145" t="str">
        <ns0:v>备货</ns0:v>
      </ns0:c>
      <ns0:c r="C254" s="145" t="str">
        <ns0:v>W044-08</ns0:v>
      </ns0:c>
      <ns0:c r="D254" s="145" t="str">
        <ns0:v>普通盒</ns0:v>
      </ns0:c>
      <ns0:c r="E254" s="152" t="n">
        <ns0:v>1</ns0:v>
      </ns0:c>
      <ns0:c r="F254" s="152" t="n">
        <ns0:v>4</ns0:v>
      </ns0:c>
      <ns0:c r="G254" s="152" t="n">
        <ns0:v>4</ns0:v>
      </ns0:c>
      <ns0:c r="H254" s="152" t="n">
        <ns0:v>0</ns0:v>
      </ns0:c>
      <ns0:c r="I254" s="149" t="n">
        <ns0:f>E254*G254</ns0:f>
        <ns0:v>4</ns0:v>
      </ns0:c>
      <ns0:c r="J254" s="149" t="n">
        <ns0:f>E254*(F254-G254)</ns0:f>
        <ns0:v>0</ns0:v>
      </ns0:c>
      <ns0:c r="K254" s="149" t="n">
        <ns0:f>IF(AND(B254="开局",G254=0,OR(D254="普通盒",D254="单颗暂存盒")),J254,0)</ns0:f>
        <ns0:v>0</ns0:v>
      </ns0:c>
      <ns0:c r="L254" s="149" t="n">
        <ns0:f>IF(AND(B254="开局",G254&gt;0,OR(D254="普通盒",D254="底部置顶盒",D254="炸弹盒")),J254,0)</ns0:f>
        <ns0:v>0</ns0:v>
      </ns0:c>
      <ns0:c r="M254" s="149" t="n">
        <ns0:f>IF(AND(B254="开局",OR(D254="固定颜色盒",D254="单向收纳盒")),J254,0)</ns0:f>
        <ns0:v>0</ns0:v>
      </ns0:c>
      <ns0:c r="N254" s="149" t="n">
        <ns0:f>IF(AND(B254="开局",OR(D254="数字盖盒",D254="普通冰冻盒",D254="数字冰冻盒",D254="数字冰冻单颗暂存盒")),J254,0)</ns0:f>
        <ns0:v>0</ns0:v>
      </ns0:c>
      <ns0:c r="O254" s="145" t="str">
        <ns0:f>IF(AND(E254&gt;0,E254=INT(E254),G254&gt;=0,G254&lt;=F254,G254=INT(G254),OR(AND(F254=1,OR(D254="单颗暂存盒",D254="数字冰冻单颗暂存盒")),AND(F254=4,NOT(OR(D254="单颗暂存盒",D254="数字冰冻单颗暂存盒")))),IF(OR(D254="数字盖盒",D254="数字冰冻盒",D254="数字冰冻单颗暂存盒"),AND(H254&gt;=1,H254=INT(H254)),H254=0),IF(B254="开局",AND(IF(OR(D254="数字盖盒",D254="普通冰冻盒",D254="数字冰冻盒",D254="炸弹盒",D254="底部置顶盒"),OR(G254=3,G254=4),TRUE),IF(OR(D254="单向收纳盒",D254="单颗暂存盒",D254="数字冰冻单颗暂存盒"),OR(G254=0,G254=1),TRUE),IF(OR(D254="固定颜色盒",D254="广告锁定周转盒"),G254=0,TRUE)),TRUE)),"通过","需调整")</ns0:f>
        <ns0:v>通过</ns0:v>
      </ns0:c>
      <ns0:c r="P254" s="145" t="str">
        <ns0:v>预装暂存复用</ns0:v>
      </ns0:c>
      <ns0:c r="Q254" s="145" t="str">
        <ns0:v>层序见本关首组；按盒序固定</ns0:v>
      </ns0:c>
      <ns0:c r="R254" s="149" t="n">
        <ns0:f>E254*H254</ns0:f>
        <ns0:v>0</ns0:v>
      </ns0:c>
    </ns0:row>
    <ns0:row r="255" ht="21" customHeight="1">
      <ns0:c r="A255" s="150" t="n">
        <ns0:v>45</ns0:v>
      </ns0:c>
      <ns0:c r="B255" s="147" t="str">
        <ns0:v>开局</ns0:v>
      </ns0:c>
      <ns0:c r="C255" s="147" t="str">
        <ns0:v>W045-01</ns0:v>
      </ns0:c>
      <ns0:c r="D255" s="147" t="str">
        <ns0:v>普通盒</ns0:v>
      </ns0:c>
      <ns0:c r="E255" s="152" t="n">
        <ns0:v>15</ns0:v>
      </ns0:c>
      <ns0:c r="F255" s="152" t="n">
        <ns0:v>4</ns0:v>
      </ns0:c>
      <ns0:c r="G255" s="152" t="n">
        <ns0:v>4</ns0:v>
      </ns0:c>
      <ns0:c r="H255" s="152" t="n">
        <ns0:v>0</ns0:v>
      </ns0:c>
      <ns0:c r="I255" s="150" t="n">
        <ns0:f>E255*G255</ns0:f>
        <ns0:v>60</ns0:v>
      </ns0:c>
      <ns0:c r="J255" s="150" t="n">
        <ns0:f>E255*(F255-G255)</ns0:f>
        <ns0:v>0</ns0:v>
      </ns0:c>
      <ns0:c r="K255" s="150" t="n">
        <ns0:f>IF(AND(B255="开局",G255=0,OR(D255="普通盒",D255="单颗暂存盒")),J255,0)</ns0:f>
        <ns0:v>0</ns0:v>
      </ns0:c>
      <ns0:c r="L255" s="150" t="n">
        <ns0:f>IF(AND(B255="开局",G255&gt;0,OR(D255="普通盒",D255="底部置顶盒",D255="炸弹盒")),J255,0)</ns0:f>
        <ns0:v>0</ns0:v>
      </ns0:c>
      <ns0:c r="M255" s="150" t="n">
        <ns0:f>IF(AND(B255="开局",OR(D255="固定颜色盒",D255="单向收纳盒")),J255,0)</ns0:f>
        <ns0:v>0</ns0:v>
      </ns0:c>
      <ns0:c r="N255" s="150" t="n">
        <ns0:f>IF(AND(B255="开局",OR(D255="数字盖盒",D255="普通冰冻盒",D255="数字冰冻盒",D255="数字冰冻单颗暂存盒")),J255,0)</ns0:f>
        <ns0:v>0</ns0:v>
      </ns0:c>
      <ns0:c r="O255" s="147" t="str">
        <ns0:f>IF(AND(E255&gt;0,E255=INT(E255),G255&gt;=0,G255&lt;=F255,G255=INT(G255),OR(AND(F255=1,OR(D255="单颗暂存盒",D255="数字冰冻单颗暂存盒")),AND(F255=4,NOT(OR(D255="单颗暂存盒",D255="数字冰冻单颗暂存盒")))),IF(OR(D255="数字盖盒",D255="数字冰冻盒",D255="数字冰冻单颗暂存盒"),AND(H255&gt;=1,H255=INT(H255)),H255=0),IF(B255="开局",AND(IF(OR(D255="数字盖盒",D255="普通冰冻盒",D255="数字冰冻盒",D255="炸弹盒",D255="底部置顶盒"),OR(G255=3,G255=4),TRUE),IF(OR(D255="单向收纳盒",D255="单颗暂存盒",D255="数字冰冻单颗暂存盒"),OR(G255=0,G255=1),TRUE),IF(OR(D255="固定颜色盒",D255="广告锁定周转盒"),G255=0,TRUE)),TRUE)),"通过","需调整")</ns0:f>
        <ns0:v>通过</ns0:v>
      </ns0:c>
      <ns0:c r="P255" s="147" t="str">
        <ns0:v>揭示与受限周转</ns0:v>
      </ns0:c>
      <ns0:c r="Q255" s="147" t="str">
        <ns0:v>层序JSON:{"reference":"已确认的41–50关方案；第45关：揭示与受限周转；固定层序与订单，非参考小游戏逐关复刻","slots":[{"group_id":"W045-01","layers":[8,5,3,2]},{"group_id":"W045-01","layers":[5,0,5,4]},{"group_id":"W045-03","layers":[3,4]},{"group_id":"W045-01","layers":[6,12,0,5]},{"group_id":"W045-01","layers":[2,4,3,0]},{"group_id":"W045-01","layers":[12,4,3,12]},{"group_id":"W045-02","layers":[0,12,0]},{"group_id":"W045-01","layers":[12,6,3,4],"hidden":[1,2,3]},{"group_id":"W045-01","layers":[6,8,12,12]},{"group_id":"W045-01","layers":[12,2,4,8]},{"group_id":"W045-01","layers":[6,0,4,0]},{"group_id":"W045-01","layers":[4,3,0,12]},{"group_id":"W045-01","layers":[8,12,0,0]},{"group_id":"W045-01","layers":[6,3,4,3]},{"group_id":"W045-02","layers":[8,0,2]},{"group_id":"W045-01","layers":[8,6,8,12]},{"group_id":"W045-01","layers":[4,6,12,4]},{"group_id":"W045-01","layers":[8,4,6,0]},{"group_id":"W045-04","layers":[],"fixed_flavor":5}],"stock":[],"demand_sequences":[[3,8,0,12,0,4,2,3,4],[12,6,4,0,6,8,12,5]]}</ns0:v>
      </ns0:c>
      <ns0:c r="R255" s="150" t="n">
        <ns0:f>E255*H255</ns0:f>
        <ns0:v>0</ns0:v>
      </ns0:c>
    </ns0:row>
    <ns0:row r="256" ht="21" customHeight="1">
      <ns0:c r="A256" s="149" t="n">
        <ns0:v>45</ns0:v>
      </ns0:c>
      <ns0:c r="B256" s="145" t="str">
        <ns0:v>开局</ns0:v>
      </ns0:c>
      <ns0:c r="C256" s="145" t="str">
        <ns0:v>W045-02</ns0:v>
      </ns0:c>
      <ns0:c r="D256" s="145" t="str">
        <ns0:v>普通盒</ns0:v>
      </ns0:c>
      <ns0:c r="E256" s="152" t="n">
        <ns0:v>2</ns0:v>
      </ns0:c>
      <ns0:c r="F256" s="152" t="n">
        <ns0:v>4</ns0:v>
      </ns0:c>
      <ns0:c r="G256" s="152" t="n">
        <ns0:v>3</ns0:v>
      </ns0:c>
      <ns0:c r="H256" s="152" t="n">
        <ns0:v>0</ns0:v>
      </ns0:c>
      <ns0:c r="I256" s="149" t="n">
        <ns0:f>E256*G256</ns0:f>
        <ns0:v>6</ns0:v>
      </ns0:c>
      <ns0:c r="J256" s="149" t="n">
        <ns0:f>E256*(F256-G256)</ns0:f>
        <ns0:v>2</ns0:v>
      </ns0:c>
      <ns0:c r="K256" s="149" t="n">
        <ns0:f>IF(AND(B256="开局",G256=0,OR(D256="普通盒",D256="单颗暂存盒")),J256,0)</ns0:f>
        <ns0:v>0</ns0:v>
      </ns0:c>
      <ns0:c r="L256" s="149" t="n">
        <ns0:f>IF(AND(B256="开局",G256&gt;0,OR(D256="普通盒",D256="底部置顶盒",D256="炸弹盒")),J256,0)</ns0:f>
        <ns0:v>2</ns0:v>
      </ns0:c>
      <ns0:c r="M256" s="149" t="n">
        <ns0:f>IF(AND(B256="开局",OR(D256="固定颜色盒",D256="单向收纳盒")),J256,0)</ns0:f>
        <ns0:v>0</ns0:v>
      </ns0:c>
      <ns0:c r="N256" s="149" t="n">
        <ns0:f>IF(AND(B256="开局",OR(D256="数字盖盒",D256="普通冰冻盒",D256="数字冰冻盒",D256="数字冰冻单颗暂存盒")),J256,0)</ns0:f>
        <ns0:v>0</ns0:v>
      </ns0:c>
      <ns0:c r="O256" s="145" t="str">
        <ns0:f>IF(AND(E256&gt;0,E256=INT(E256),G256&gt;=0,G256&lt;=F256,G256=INT(G256),OR(AND(F256=1,OR(D256="单颗暂存盒",D256="数字冰冻单颗暂存盒")),AND(F256=4,NOT(OR(D256="单颗暂存盒",D256="数字冰冻单颗暂存盒")))),IF(OR(D256="数字盖盒",D256="数字冰冻盒",D256="数字冰冻单颗暂存盒"),AND(H256&gt;=1,H256=INT(H256)),H256=0),IF(B256="开局",AND(IF(OR(D256="数字盖盒",D256="普通冰冻盒",D256="数字冰冻盒",D256="炸弹盒",D256="底部置顶盒"),OR(G256=3,G256=4),TRUE),IF(OR(D256="单向收纳盒",D256="单颗暂存盒",D256="数字冰冻单颗暂存盒"),OR(G256=0,G256=1),TRUE),IF(OR(D256="固定颜色盒",D256="广告锁定周转盒"),G256=0,TRUE)),TRUE)),"通过","需调整")</ns0:f>
        <ns0:v>通过</ns0:v>
      </ns0:c>
      <ns0:c r="P256" s="145" t="str">
        <ns0:v>揭示与受限周转</ns0:v>
      </ns0:c>
      <ns0:c r="Q256" s="145" t="str">
        <ns0:v>层序见本关首组；按盒序固定</ns0:v>
      </ns0:c>
      <ns0:c r="R256" s="149" t="n">
        <ns0:f>E256*H256</ns0:f>
        <ns0:v>0</ns0:v>
      </ns0:c>
    </ns0:row>
    <ns0:row r="257" ht="21" customHeight="1">
      <ns0:c r="A257" s="150" t="n">
        <ns0:v>45</ns0:v>
      </ns0:c>
      <ns0:c r="B257" s="147" t="str">
        <ns0:v>开局</ns0:v>
      </ns0:c>
      <ns0:c r="C257" s="147" t="str">
        <ns0:v>W045-03</ns0:v>
      </ns0:c>
      <ns0:c r="D257" s="147" t="str">
        <ns0:v>普通盒</ns0:v>
      </ns0:c>
      <ns0:c r="E257" s="152" t="n">
        <ns0:v>1</ns0:v>
      </ns0:c>
      <ns0:c r="F257" s="152" t="n">
        <ns0:v>4</ns0:v>
      </ns0:c>
      <ns0:c r="G257" s="152" t="n">
        <ns0:v>2</ns0:v>
      </ns0:c>
      <ns0:c r="H257" s="152" t="n">
        <ns0:v>0</ns0:v>
      </ns0:c>
      <ns0:c r="I257" s="150" t="n">
        <ns0:f>E257*G257</ns0:f>
        <ns0:v>2</ns0:v>
      </ns0:c>
      <ns0:c r="J257" s="150" t="n">
        <ns0:f>E257*(F257-G257)</ns0:f>
        <ns0:v>2</ns0:v>
      </ns0:c>
      <ns0:c r="K257" s="150" t="n">
        <ns0:f>IF(AND(B257="开局",G257=0,OR(D257="普通盒",D257="单颗暂存盒")),J257,0)</ns0:f>
        <ns0:v>0</ns0:v>
      </ns0:c>
      <ns0:c r="L257" s="150" t="n">
        <ns0:f>IF(AND(B257="开局",G257&gt;0,OR(D257="普通盒",D257="底部置顶盒",D257="炸弹盒")),J257,0)</ns0:f>
        <ns0:v>2</ns0:v>
      </ns0:c>
      <ns0:c r="M257" s="150" t="n">
        <ns0:f>IF(AND(B257="开局",OR(D257="固定颜色盒",D257="单向收纳盒")),J257,0)</ns0:f>
        <ns0:v>0</ns0:v>
      </ns0:c>
      <ns0:c r="N257" s="150" t="n">
        <ns0:f>IF(AND(B257="开局",OR(D257="数字盖盒",D257="普通冰冻盒",D257="数字冰冻盒",D257="数字冰冻单颗暂存盒")),J257,0)</ns0:f>
        <ns0:v>0</ns0:v>
      </ns0:c>
      <ns0:c r="O257" s="147" t="str">
        <ns0:f>IF(AND(E257&gt;0,E257=INT(E257),G257&gt;=0,G257&lt;=F257,G257=INT(G257),OR(AND(F257=1,OR(D257="单颗暂存盒",D257="数字冰冻单颗暂存盒")),AND(F257=4,NOT(OR(D257="单颗暂存盒",D257="数字冰冻单颗暂存盒")))),IF(OR(D257="数字盖盒",D257="数字冰冻盒",D257="数字冰冻单颗暂存盒"),AND(H257&gt;=1,H257=INT(H257)),H257=0),IF(B257="开局",AND(IF(OR(D257="数字盖盒",D257="普通冰冻盒",D257="数字冰冻盒",D257="炸弹盒",D257="底部置顶盒"),OR(G257=3,G257=4),TRUE),IF(OR(D257="单向收纳盒",D257="单颗暂存盒",D257="数字冰冻单颗暂存盒"),OR(G257=0,G257=1),TRUE),IF(OR(D257="固定颜色盒",D257="广告锁定周转盒"),G257=0,TRUE)),TRUE)),"通过","需调整")</ns0:f>
        <ns0:v>通过</ns0:v>
      </ns0:c>
      <ns0:c r="P257" s="147" t="str">
        <ns0:v>揭示与受限周转</ns0:v>
      </ns0:c>
      <ns0:c r="Q257" s="147" t="str">
        <ns0:v>层序见本关首组；按盒序固定</ns0:v>
      </ns0:c>
      <ns0:c r="R257" s="150" t="n">
        <ns0:f>E257*H257</ns0:f>
        <ns0:v>0</ns0:v>
      </ns0:c>
    </ns0:row>
    <ns0:row r="258" ht="21" customHeight="1">
      <ns0:c r="A258" s="149" t="n">
        <ns0:v>45</ns0:v>
      </ns0:c>
      <ns0:c r="B258" s="145" t="str">
        <ns0:v>开局</ns0:v>
      </ns0:c>
      <ns0:c r="C258" s="145" t="str">
        <ns0:v>W045-04</ns0:v>
      </ns0:c>
      <ns0:c r="D258" s="145" t="str">
        <ns0:v>固定颜色盒</ns0:v>
      </ns0:c>
      <ns0:c r="E258" s="152" t="n">
        <ns0:v>1</ns0:v>
      </ns0:c>
      <ns0:c r="F258" s="152" t="n">
        <ns0:v>4</ns0:v>
      </ns0:c>
      <ns0:c r="G258" s="152" t="n">
        <ns0:v>0</ns0:v>
      </ns0:c>
      <ns0:c r="H258" s="152" t="n">
        <ns0:v>0</ns0:v>
      </ns0:c>
      <ns0:c r="I258" s="149" t="n">
        <ns0:f>E258*G258</ns0:f>
        <ns0:v>0</ns0:v>
      </ns0:c>
      <ns0:c r="J258" s="149" t="n">
        <ns0:f>E258*(F258-G258)</ns0:f>
        <ns0:v>4</ns0:v>
      </ns0:c>
      <ns0:c r="K258" s="149" t="n">
        <ns0:f>IF(AND(B258="开局",G258=0,OR(D258="普通盒",D258="单颗暂存盒")),J258,0)</ns0:f>
        <ns0:v>0</ns0:v>
      </ns0:c>
      <ns0:c r="L258" s="149" t="n">
        <ns0:f>IF(AND(B258="开局",G258&gt;0,OR(D258="普通盒",D258="底部置顶盒",D258="炸弹盒")),J258,0)</ns0:f>
        <ns0:v>0</ns0:v>
      </ns0:c>
      <ns0:c r="M258" s="149" t="n">
        <ns0:f>IF(AND(B258="开局",OR(D258="固定颜色盒",D258="单向收纳盒")),J258,0)</ns0:f>
        <ns0:v>4</ns0:v>
      </ns0:c>
      <ns0:c r="N258" s="149" t="n">
        <ns0:f>IF(AND(B258="开局",OR(D258="数字盖盒",D258="普通冰冻盒",D258="数字冰冻盒",D258="数字冰冻单颗暂存盒")),J258,0)</ns0:f>
        <ns0:v>0</ns0:v>
      </ns0:c>
      <ns0:c r="O258" s="145" t="str">
        <ns0:f>IF(AND(E258&gt;0,E258=INT(E258),G258&gt;=0,G258&lt;=F258,G258=INT(G258),OR(AND(F258=1,OR(D258="单颗暂存盒",D258="数字冰冻单颗暂存盒")),AND(F258=4,NOT(OR(D258="单颗暂存盒",D258="数字冰冻单颗暂存盒")))),IF(OR(D258="数字盖盒",D258="数字冰冻盒",D258="数字冰冻单颗暂存盒"),AND(H258&gt;=1,H258=INT(H258)),H258=0),IF(B258="开局",AND(IF(OR(D258="数字盖盒",D258="普通冰冻盒",D258="数字冰冻盒",D258="炸弹盒",D258="底部置顶盒"),OR(G258=3,G258=4),TRUE),IF(OR(D258="单向收纳盒",D258="单颗暂存盒",D258="数字冰冻单颗暂存盒"),OR(G258=0,G258=1),TRUE),IF(OR(D258="固定颜色盒",D258="广告锁定周转盒"),G258=0,TRUE)),TRUE)),"通过","需调整")</ns0:f>
        <ns0:v>通过</ns0:v>
      </ns0:c>
      <ns0:c r="P258" s="145" t="str">
        <ns0:v>揭示与受限周转</ns0:v>
      </ns0:c>
      <ns0:c r="Q258" s="145" t="str">
        <ns0:v>层序见本关首组；按盒序固定</ns0:v>
      </ns0:c>
      <ns0:c r="R258" s="149" t="n">
        <ns0:f>E258*H258</ns0:f>
        <ns0:v>0</ns0:v>
      </ns0:c>
    </ns0:row>
    <ns0:row r="259" ht="21" customHeight="1">
      <ns0:c r="A259" s="150" t="n">
        <ns0:v>45</ns0:v>
      </ns0:c>
      <ns0:c r="B259" s="147" t="str">
        <ns0:v>开局</ns0:v>
      </ns0:c>
      <ns0:c r="C259" s="147" t="str">
        <ns0:v>W045-05</ns0:v>
      </ns0:c>
      <ns0:c r="D259" s="147" t="str">
        <ns0:v>广告锁定周转盒</ns0:v>
      </ns0:c>
      <ns0:c r="E259" s="152" t="n">
        <ns0:v>2</ns0:v>
      </ns0:c>
      <ns0:c r="F259" s="152" t="n">
        <ns0:v>4</ns0:v>
      </ns0:c>
      <ns0:c r="G259" s="152" t="n">
        <ns0:v>0</ns0:v>
      </ns0:c>
      <ns0:c r="H259" s="152" t="n">
        <ns0:v>0</ns0:v>
      </ns0:c>
      <ns0:c r="I259" s="150" t="n">
        <ns0:f>E259*G259</ns0:f>
        <ns0:v>0</ns0:v>
      </ns0:c>
      <ns0:c r="J259" s="150" t="n">
        <ns0:f>E259*(F259-G259)</ns0:f>
        <ns0:v>8</ns0:v>
      </ns0:c>
      <ns0:c r="K259" s="150" t="n">
        <ns0:f>IF(AND(B259="开局",G259=0,OR(D259="普通盒",D259="单颗暂存盒")),J259,0)</ns0:f>
        <ns0:v>0</ns0:v>
      </ns0:c>
      <ns0:c r="L259" s="150" t="n">
        <ns0:f>IF(AND(B259="开局",G259&gt;0,OR(D259="普通盒",D259="底部置顶盒",D259="炸弹盒")),J259,0)</ns0:f>
        <ns0:v>0</ns0:v>
      </ns0:c>
      <ns0:c r="M259" s="150" t="n">
        <ns0:f>IF(AND(B259="开局",OR(D259="固定颜色盒",D259="单向收纳盒")),J259,0)</ns0:f>
        <ns0:v>0</ns0:v>
      </ns0:c>
      <ns0:c r="N259" s="150" t="n">
        <ns0:f>IF(AND(B259="开局",OR(D259="数字盖盒",D259="普通冰冻盒",D259="数字冰冻盒",D259="数字冰冻单颗暂存盒")),J259,0)</ns0:f>
        <ns0:v>0</ns0:v>
      </ns0:c>
      <ns0:c r="O259" s="147" t="str">
        <ns0:f>IF(AND(E259&gt;0,E259=INT(E259),G259&gt;=0,G259&lt;=F259,G259=INT(G259),OR(AND(F259=1,OR(D259="单颗暂存盒",D259="数字冰冻单颗暂存盒")),AND(F259=4,NOT(OR(D259="单颗暂存盒",D259="数字冰冻单颗暂存盒")))),IF(OR(D259="数字盖盒",D259="数字冰冻盒",D259="数字冰冻单颗暂存盒"),AND(H259&gt;=1,H259=INT(H259)),H259=0),IF(B259="开局",AND(IF(OR(D259="数字盖盒",D259="普通冰冻盒",D259="数字冰冻盒",D259="炸弹盒",D259="底部置顶盒"),OR(G259=3,G259=4),TRUE),IF(OR(D259="单向收纳盒",D259="单颗暂存盒",D259="数字冰冻单颗暂存盒"),OR(G259=0,G259=1),TRUE),IF(OR(D259="固定颜色盒",D259="广告锁定周转盒"),G259=0,TRUE)),TRUE)),"通过","需调整")</ns0:f>
        <ns0:v>通过</ns0:v>
      </ns0:c>
      <ns0:c r="P259" s="147" t="str">
        <ns0:v>揭示与受限周转</ns0:v>
      </ns0:c>
      <ns0:c r="Q259" s="147" t="str">
        <ns0:v>层序见本关首组；按盒序固定</ns0:v>
      </ns0:c>
      <ns0:c r="R259" s="150" t="n">
        <ns0:f>E259*H259</ns0:f>
        <ns0:v>0</ns0:v>
      </ns0:c>
    </ns0:row>
    <ns0:row r="260" ht="21" customHeight="1">
      <ns0:c r="A260" s="149" t="n">
        <ns0:v>46</ns0:v>
      </ns0:c>
      <ns0:c r="B260" s="145" t="str">
        <ns0:v>开局</ns0:v>
      </ns0:c>
      <ns0:c r="C260" s="145" t="str">
        <ns0:v>W046-01</ns0:v>
      </ns0:c>
      <ns0:c r="D260" s="145" t="str">
        <ns0:v>普通盒</ns0:v>
      </ns0:c>
      <ns0:c r="E260" s="152" t="n">
        <ns0:v>15</ns0:v>
      </ns0:c>
      <ns0:c r="F260" s="152" t="n">
        <ns0:v>4</ns0:v>
      </ns0:c>
      <ns0:c r="G260" s="152" t="n">
        <ns0:v>4</ns0:v>
      </ns0:c>
      <ns0:c r="H260" s="152" t="n">
        <ns0:v>0</ns0:v>
      </ns0:c>
      <ns0:c r="I260" s="149" t="n">
        <ns0:f>E260*G260</ns0:f>
        <ns0:v>60</ns0:v>
      </ns0:c>
      <ns0:c r="J260" s="149" t="n">
        <ns0:f>E260*(F260-G260)</ns0:f>
        <ns0:v>0</ns0:v>
      </ns0:c>
      <ns0:c r="K260" s="149" t="n">
        <ns0:f>IF(AND(B260="开局",G260=0,OR(D260="普通盒",D260="单颗暂存盒")),J260,0)</ns0:f>
        <ns0:v>0</ns0:v>
      </ns0:c>
      <ns0:c r="L260" s="149" t="n">
        <ns0:f>IF(AND(B260="开局",G260&gt;0,OR(D260="普通盒",D260="底部置顶盒",D260="炸弹盒")),J260,0)</ns0:f>
        <ns0:v>0</ns0:v>
      </ns0:c>
      <ns0:c r="M260" s="149" t="n">
        <ns0:f>IF(AND(B260="开局",OR(D260="固定颜色盒",D260="单向收纳盒")),J260,0)</ns0:f>
        <ns0:v>0</ns0:v>
      </ns0:c>
      <ns0:c r="N260" s="149" t="n">
        <ns0:f>IF(AND(B260="开局",OR(D260="数字盖盒",D260="普通冰冻盒",D260="数字冰冻盒",D260="数字冰冻单颗暂存盒")),J260,0)</ns0:f>
        <ns0:v>0</ns0:v>
      </ns0:c>
      <ns0:c r="O260" s="145" t="str">
        <ns0:f>IF(AND(E260&gt;0,E260=INT(E260),G260&gt;=0,G260&lt;=F260,G260=INT(G260),OR(AND(F260=1,OR(D260="单颗暂存盒",D260="数字冰冻单颗暂存盒")),AND(F260=4,NOT(OR(D260="单颗暂存盒",D260="数字冰冻单颗暂存盒")))),IF(OR(D260="数字盖盒",D260="数字冰冻盒",D260="数字冰冻单颗暂存盒"),AND(H260&gt;=1,H260=INT(H260)),H260=0),IF(B260="开局",AND(IF(OR(D260="数字盖盒",D260="普通冰冻盒",D260="数字冰冻盒",D260="炸弹盒",D260="底部置顶盒"),OR(G260=3,G260=4),TRUE),IF(OR(D260="单向收纳盒",D260="单颗暂存盒",D260="数字冰冻单颗暂存盒"),OR(G260=0,G260=1),TRUE),IF(OR(D260="固定颜色盒",D260="广告锁定周转盒"),G260=0,TRUE)),TRUE)),"通过","需调整")</ns0:f>
        <ns0:v>通过</ns0:v>
      </ns0:c>
      <ns0:c r="P260" s="145" t="str">
        <ns0:v>交付解冻与分批补货</ns0:v>
      </ns0:c>
      <ns0:c r="Q260" s="145" t="str">
        <ns0:v>层序JSON:{"reference":"已确认的41–50关方案；第46关：交付解冻与分批补货；固定层序与订单，非参考小游戏逐关复刻","slots":[{"group_id":"W046-01","layers":[4,12,5,5]},{"group_id":"W046-01","layers":[4,6,2,12]},{"group_id":"W046-01","layers":[5,12,6,6]},{"group_id":"W046-01","layers":[8,5,0,5]},{"group_id":"W046-03","layers":[0,12,5,6]},{"group_id":"W046-01","layers":[8,5,12,6]},{"group_id":"W046-01","layers":[12,2,6,2]},{"group_id":"W046-01","layers":[2,5,4,8]},{"group_id":"W046-01","layers":[4,2,6,0]},{"group_id":"W046-01","layers":[3,2,2,12]},{"group_id":"W046-01","layers":[12,6,2,2]},{"group_id":"W046-01","layers":[6,5,6,6]},{"group_id":"W046-01","layers":[6,2,4,5]},{"group_id":"W046-01","layers":[12,2,8,4]},{"group_id":"W046-03","layers":[4,2,6,6]},{"group_id":"W046-01","layers":[3,4,12,6]},{"group_id":"W046-01","layers":[0,3,5,2]},{"group_id":"W046-04","layers":[],"fixed_flavor":8},{"group_id":"W046-02","layers":[]}],"stock":[{"group_id":"W046-06","layers":[5,6,2,2]},{"group_id":"W046-06","layers":[12,12,2,3]}],"demand_sequences":[[6,2,4,5,6,12,3,12,4,2],[12,2,2,5,0,5,6,6,8]]}</ns0:v>
      </ns0:c>
      <ns0:c r="R260" s="149" t="n">
        <ns0:f>E260*H260</ns0:f>
        <ns0:v>0</ns0:v>
      </ns0:c>
    </ns0:row>
    <ns0:row r="261" ht="21" customHeight="1">
      <ns0:c r="A261" s="150" t="n">
        <ns0:v>46</ns0:v>
      </ns0:c>
      <ns0:c r="B261" s="147" t="str">
        <ns0:v>开局</ns0:v>
      </ns0:c>
      <ns0:c r="C261" s="147" t="str">
        <ns0:v>W046-02</ns0:v>
      </ns0:c>
      <ns0:c r="D261" s="147" t="str">
        <ns0:v>普通盒</ns0:v>
      </ns0:c>
      <ns0:c r="E261" s="152" t="n">
        <ns0:v>1</ns0:v>
      </ns0:c>
      <ns0:c r="F261" s="152" t="n">
        <ns0:v>4</ns0:v>
      </ns0:c>
      <ns0:c r="G261" s="152" t="n">
        <ns0:v>0</ns0:v>
      </ns0:c>
      <ns0:c r="H261" s="152" t="n">
        <ns0:v>0</ns0:v>
      </ns0:c>
      <ns0:c r="I261" s="150" t="n">
        <ns0:f>E261*G261</ns0:f>
        <ns0:v>0</ns0:v>
      </ns0:c>
      <ns0:c r="J261" s="150" t="n">
        <ns0:f>E261*(F261-G261)</ns0:f>
        <ns0:v>4</ns0:v>
      </ns0:c>
      <ns0:c r="K261" s="150" t="n">
        <ns0:f>IF(AND(B261="开局",G261=0,OR(D261="普通盒",D261="单颗暂存盒")),J261,0)</ns0:f>
        <ns0:v>4</ns0:v>
      </ns0:c>
      <ns0:c r="L261" s="150" t="n">
        <ns0:f>IF(AND(B261="开局",G261&gt;0,OR(D261="普通盒",D261="底部置顶盒",D261="炸弹盒")),J261,0)</ns0:f>
        <ns0:v>0</ns0:v>
      </ns0:c>
      <ns0:c r="M261" s="150" t="n">
        <ns0:f>IF(AND(B261="开局",OR(D261="固定颜色盒",D261="单向收纳盒")),J261,0)</ns0:f>
        <ns0:v>0</ns0:v>
      </ns0:c>
      <ns0:c r="N261" s="150" t="n">
        <ns0:f>IF(AND(B261="开局",OR(D261="数字盖盒",D261="普通冰冻盒",D261="数字冰冻盒",D261="数字冰冻单颗暂存盒")),J261,0)</ns0:f>
        <ns0:v>0</ns0:v>
      </ns0:c>
      <ns0:c r="O261" s="147" t="str">
        <ns0:f>IF(AND(E261&gt;0,E261=INT(E261),G261&gt;=0,G261&lt;=F261,G261=INT(G261),OR(AND(F261=1,OR(D261="单颗暂存盒",D261="数字冰冻单颗暂存盒")),AND(F261=4,NOT(OR(D261="单颗暂存盒",D261="数字冰冻单颗暂存盒")))),IF(OR(D261="数字盖盒",D261="数字冰冻盒",D261="数字冰冻单颗暂存盒"),AND(H261&gt;=1,H261=INT(H261)),H261=0),IF(B261="开局",AND(IF(OR(D261="数字盖盒",D261="普通冰冻盒",D261="数字冰冻盒",D261="炸弹盒",D261="底部置顶盒"),OR(G261=3,G261=4),TRUE),IF(OR(D261="单向收纳盒",D261="单颗暂存盒",D261="数字冰冻单颗暂存盒"),OR(G261=0,G261=1),TRUE),IF(OR(D261="固定颜色盒",D261="广告锁定周转盒"),G261=0,TRUE)),TRUE)),"通过","需调整")</ns0:f>
        <ns0:v>通过</ns0:v>
      </ns0:c>
      <ns0:c r="P261" s="147" t="str">
        <ns0:v>交付解冻与分批补货</ns0:v>
      </ns0:c>
      <ns0:c r="Q261" s="147" t="str">
        <ns0:v>层序见本关首组；按盒序固定</ns0:v>
      </ns0:c>
      <ns0:c r="R261" s="150" t="n">
        <ns0:f>E261*H261</ns0:f>
        <ns0:v>0</ns0:v>
      </ns0:c>
    </ns0:row>
    <ns0:row r="262" ht="21" customHeight="1">
      <ns0:c r="A262" s="149" t="n">
        <ns0:v>46</ns0:v>
      </ns0:c>
      <ns0:c r="B262" s="145" t="str">
        <ns0:v>开局</ns0:v>
      </ns0:c>
      <ns0:c r="C262" s="145" t="str">
        <ns0:v>W046-03</ns0:v>
      </ns0:c>
      <ns0:c r="D262" s="145" t="str">
        <ns0:v>普通冰冻盒</ns0:v>
      </ns0:c>
      <ns0:c r="E262" s="152" t="n">
        <ns0:v>2</ns0:v>
      </ns0:c>
      <ns0:c r="F262" s="152" t="n">
        <ns0:v>4</ns0:v>
      </ns0:c>
      <ns0:c r="G262" s="152" t="n">
        <ns0:v>4</ns0:v>
      </ns0:c>
      <ns0:c r="H262" s="152" t="n">
        <ns0:v>0</ns0:v>
      </ns0:c>
      <ns0:c r="I262" s="149" t="n">
        <ns0:f>E262*G262</ns0:f>
        <ns0:v>8</ns0:v>
      </ns0:c>
      <ns0:c r="J262" s="149" t="n">
        <ns0:f>E262*(F262-G262)</ns0:f>
        <ns0:v>0</ns0:v>
      </ns0:c>
      <ns0:c r="K262" s="149" t="n">
        <ns0:f>IF(AND(B262="开局",G262=0,OR(D262="普通盒",D262="单颗暂存盒")),J262,0)</ns0:f>
        <ns0:v>0</ns0:v>
      </ns0:c>
      <ns0:c r="L262" s="149" t="n">
        <ns0:f>IF(AND(B262="开局",G262&gt;0,OR(D262="普通盒",D262="底部置顶盒",D262="炸弹盒")),J262,0)</ns0:f>
        <ns0:v>0</ns0:v>
      </ns0:c>
      <ns0:c r="M262" s="149" t="n">
        <ns0:f>IF(AND(B262="开局",OR(D262="固定颜色盒",D262="单向收纳盒")),J262,0)</ns0:f>
        <ns0:v>0</ns0:v>
      </ns0:c>
      <ns0:c r="N262" s="149" t="n">
        <ns0:f>IF(AND(B262="开局",OR(D262="数字盖盒",D262="普通冰冻盒",D262="数字冰冻盒",D262="数字冰冻单颗暂存盒")),J262,0)</ns0:f>
        <ns0:v>0</ns0:v>
      </ns0:c>
      <ns0:c r="O262" s="145" t="str">
        <ns0:f>IF(AND(E262&gt;0,E262=INT(E262),G262&gt;=0,G262&lt;=F262,G262=INT(G262),OR(AND(F262=1,OR(D262="单颗暂存盒",D262="数字冰冻单颗暂存盒")),AND(F262=4,NOT(OR(D262="单颗暂存盒",D262="数字冰冻单颗暂存盒")))),IF(OR(D262="数字盖盒",D262="数字冰冻盒",D262="数字冰冻单颗暂存盒"),AND(H262&gt;=1,H262=INT(H262)),H262=0),IF(B262="开局",AND(IF(OR(D262="数字盖盒",D262="普通冰冻盒",D262="数字冰冻盒",D262="炸弹盒",D262="底部置顶盒"),OR(G262=3,G262=4),TRUE),IF(OR(D262="单向收纳盒",D262="单颗暂存盒",D262="数字冰冻单颗暂存盒"),OR(G262=0,G262=1),TRUE),IF(OR(D262="固定颜色盒",D262="广告锁定周转盒"),G262=0,TRUE)),TRUE)),"通过","需调整")</ns0:f>
        <ns0:v>通过</ns0:v>
      </ns0:c>
      <ns0:c r="P262" s="145" t="str">
        <ns0:v>交付解冻与分批补货</ns0:v>
      </ns0:c>
      <ns0:c r="Q262" s="145" t="str">
        <ns0:v>层序见本关首组；按盒序固定</ns0:v>
      </ns0:c>
      <ns0:c r="R262" s="149" t="n">
        <ns0:f>E262*H262</ns0:f>
        <ns0:v>0</ns0:v>
      </ns0:c>
    </ns0:row>
    <ns0:row r="263" ht="21" customHeight="1">
      <ns0:c r="A263" s="150" t="n">
        <ns0:v>46</ns0:v>
      </ns0:c>
      <ns0:c r="B263" s="147" t="str">
        <ns0:v>开局</ns0:v>
      </ns0:c>
      <ns0:c r="C263" s="147" t="str">
        <ns0:v>W046-04</ns0:v>
      </ns0:c>
      <ns0:c r="D263" s="147" t="str">
        <ns0:v>固定颜色盒</ns0:v>
      </ns0:c>
      <ns0:c r="E263" s="152" t="n">
        <ns0:v>1</ns0:v>
      </ns0:c>
      <ns0:c r="F263" s="152" t="n">
        <ns0:v>4</ns0:v>
      </ns0:c>
      <ns0:c r="G263" s="152" t="n">
        <ns0:v>0</ns0:v>
      </ns0:c>
      <ns0:c r="H263" s="152" t="n">
        <ns0:v>0</ns0:v>
      </ns0:c>
      <ns0:c r="I263" s="150" t="n">
        <ns0:f>E263*G263</ns0:f>
        <ns0:v>0</ns0:v>
      </ns0:c>
      <ns0:c r="J263" s="150" t="n">
        <ns0:f>E263*(F263-G263)</ns0:f>
        <ns0:v>4</ns0:v>
      </ns0:c>
      <ns0:c r="K263" s="150" t="n">
        <ns0:f>IF(AND(B263="开局",G263=0,OR(D263="普通盒",D263="单颗暂存盒")),J263,0)</ns0:f>
        <ns0:v>0</ns0:v>
      </ns0:c>
      <ns0:c r="L263" s="150" t="n">
        <ns0:f>IF(AND(B263="开局",G263&gt;0,OR(D263="普通盒",D263="底部置顶盒",D263="炸弹盒")),J263,0)</ns0:f>
        <ns0:v>0</ns0:v>
      </ns0:c>
      <ns0:c r="M263" s="150" t="n">
        <ns0:f>IF(AND(B263="开局",OR(D263="固定颜色盒",D263="单向收纳盒")),J263,0)</ns0:f>
        <ns0:v>4</ns0:v>
      </ns0:c>
      <ns0:c r="N263" s="150" t="n">
        <ns0:f>IF(AND(B263="开局",OR(D263="数字盖盒",D263="普通冰冻盒",D263="数字冰冻盒",D263="数字冰冻单颗暂存盒")),J263,0)</ns0:f>
        <ns0:v>0</ns0:v>
      </ns0:c>
      <ns0:c r="O263" s="147" t="str">
        <ns0:f>IF(AND(E263&gt;0,E263=INT(E263),G263&gt;=0,G263&lt;=F263,G263=INT(G263),OR(AND(F263=1,OR(D263="单颗暂存盒",D263="数字冰冻单颗暂存盒")),AND(F263=4,NOT(OR(D263="单颗暂存盒",D263="数字冰冻单颗暂存盒")))),IF(OR(D263="数字盖盒",D263="数字冰冻盒",D263="数字冰冻单颗暂存盒"),AND(H263&gt;=1,H263=INT(H263)),H263=0),IF(B263="开局",AND(IF(OR(D263="数字盖盒",D263="普通冰冻盒",D263="数字冰冻盒",D263="炸弹盒",D263="底部置顶盒"),OR(G263=3,G263=4),TRUE),IF(OR(D263="单向收纳盒",D263="单颗暂存盒",D263="数字冰冻单颗暂存盒"),OR(G263=0,G263=1),TRUE),IF(OR(D263="固定颜色盒",D263="广告锁定周转盒"),G263=0,TRUE)),TRUE)),"通过","需调整")</ns0:f>
        <ns0:v>通过</ns0:v>
      </ns0:c>
      <ns0:c r="P263" s="147" t="str">
        <ns0:v>交付解冻与分批补货</ns0:v>
      </ns0:c>
      <ns0:c r="Q263" s="147" t="str">
        <ns0:v>层序见本关首组；按盒序固定</ns0:v>
      </ns0:c>
      <ns0:c r="R263" s="150" t="n">
        <ns0:f>E263*H263</ns0:f>
        <ns0:v>0</ns0:v>
      </ns0:c>
    </ns0:row>
    <ns0:row r="264" ht="21" customHeight="1">
      <ns0:c r="A264" s="149" t="n">
        <ns0:v>46</ns0:v>
      </ns0:c>
      <ns0:c r="B264" s="145" t="str">
        <ns0:v>开局</ns0:v>
      </ns0:c>
      <ns0:c r="C264" s="145" t="str">
        <ns0:v>W046-05</ns0:v>
      </ns0:c>
      <ns0:c r="D264" s="145" t="str">
        <ns0:v>广告锁定周转盒</ns0:v>
      </ns0:c>
      <ns0:c r="E264" s="152" t="n">
        <ns0:v>2</ns0:v>
      </ns0:c>
      <ns0:c r="F264" s="152" t="n">
        <ns0:v>4</ns0:v>
      </ns0:c>
      <ns0:c r="G264" s="152" t="n">
        <ns0:v>0</ns0:v>
      </ns0:c>
      <ns0:c r="H264" s="152" t="n">
        <ns0:v>0</ns0:v>
      </ns0:c>
      <ns0:c r="I264" s="149" t="n">
        <ns0:f>E264*G264</ns0:f>
        <ns0:v>0</ns0:v>
      </ns0:c>
      <ns0:c r="J264" s="149" t="n">
        <ns0:f>E264*(F264-G264)</ns0:f>
        <ns0:v>8</ns0:v>
      </ns0:c>
      <ns0:c r="K264" s="149" t="n">
        <ns0:f>IF(AND(B264="开局",G264=0,OR(D264="普通盒",D264="单颗暂存盒")),J264,0)</ns0:f>
        <ns0:v>0</ns0:v>
      </ns0:c>
      <ns0:c r="L264" s="149" t="n">
        <ns0:f>IF(AND(B264="开局",G264&gt;0,OR(D264="普通盒",D264="底部置顶盒",D264="炸弹盒")),J264,0)</ns0:f>
        <ns0:v>0</ns0:v>
      </ns0:c>
      <ns0:c r="M264" s="149" t="n">
        <ns0:f>IF(AND(B264="开局",OR(D264="固定颜色盒",D264="单向收纳盒")),J264,0)</ns0:f>
        <ns0:v>0</ns0:v>
      </ns0:c>
      <ns0:c r="N264" s="149" t="n">
        <ns0:f>IF(AND(B264="开局",OR(D264="数字盖盒",D264="普通冰冻盒",D264="数字冰冻盒",D264="数字冰冻单颗暂存盒")),J264,0)</ns0:f>
        <ns0:v>0</ns0:v>
      </ns0:c>
      <ns0:c r="O264" s="145" t="str">
        <ns0:f>IF(AND(E264&gt;0,E264=INT(E264),G264&gt;=0,G264&lt;=F264,G264=INT(G264),OR(AND(F264=1,OR(D264="单颗暂存盒",D264="数字冰冻单颗暂存盒")),AND(F264=4,NOT(OR(D264="单颗暂存盒",D264="数字冰冻单颗暂存盒")))),IF(OR(D264="数字盖盒",D264="数字冰冻盒",D264="数字冰冻单颗暂存盒"),AND(H264&gt;=1,H264=INT(H264)),H264=0),IF(B264="开局",AND(IF(OR(D264="数字盖盒",D264="普通冰冻盒",D264="数字冰冻盒",D264="炸弹盒",D264="底部置顶盒"),OR(G264=3,G264=4),TRUE),IF(OR(D264="单向收纳盒",D264="单颗暂存盒",D264="数字冰冻单颗暂存盒"),OR(G264=0,G264=1),TRUE),IF(OR(D264="固定颜色盒",D264="广告锁定周转盒"),G264=0,TRUE)),TRUE)),"通过","需调整")</ns0:f>
        <ns0:v>通过</ns0:v>
      </ns0:c>
      <ns0:c r="P264" s="145" t="str">
        <ns0:v>交付解冻与分批补货</ns0:v>
      </ns0:c>
      <ns0:c r="Q264" s="145" t="str">
        <ns0:v>层序见本关首组；按盒序固定</ns0:v>
      </ns0:c>
      <ns0:c r="R264" s="149" t="n">
        <ns0:f>E264*H264</ns0:f>
        <ns0:v>0</ns0:v>
      </ns0:c>
    </ns0:row>
    <ns0:row r="265" ht="21" customHeight="1">
      <ns0:c r="A265" s="150" t="n">
        <ns0:v>46</ns0:v>
      </ns0:c>
      <ns0:c r="B265" s="147" t="str">
        <ns0:v>备货</ns0:v>
      </ns0:c>
      <ns0:c r="C265" s="147" t="str">
        <ns0:v>W046-06</ns0:v>
      </ns0:c>
      <ns0:c r="D265" s="147" t="str">
        <ns0:v>普通盒</ns0:v>
      </ns0:c>
      <ns0:c r="E265" s="152" t="n">
        <ns0:v>2</ns0:v>
      </ns0:c>
      <ns0:c r="F265" s="152" t="n">
        <ns0:v>4</ns0:v>
      </ns0:c>
      <ns0:c r="G265" s="152" t="n">
        <ns0:v>4</ns0:v>
      </ns0:c>
      <ns0:c r="H265" s="152" t="n">
        <ns0:v>0</ns0:v>
      </ns0:c>
      <ns0:c r="I265" s="150" t="n">
        <ns0:f>E265*G265</ns0:f>
        <ns0:v>8</ns0:v>
      </ns0:c>
      <ns0:c r="J265" s="150" t="n">
        <ns0:f>E265*(F265-G265)</ns0:f>
        <ns0:v>0</ns0:v>
      </ns0:c>
      <ns0:c r="K265" s="150" t="n">
        <ns0:f>IF(AND(B265="开局",G265=0,OR(D265="普通盒",D265="单颗暂存盒")),J265,0)</ns0:f>
        <ns0:v>0</ns0:v>
      </ns0:c>
      <ns0:c r="L265" s="150" t="n">
        <ns0:f>IF(AND(B265="开局",G265&gt;0,OR(D265="普通盒",D265="底部置顶盒",D265="炸弹盒")),J265,0)</ns0:f>
        <ns0:v>0</ns0:v>
      </ns0:c>
      <ns0:c r="M265" s="150" t="n">
        <ns0:f>IF(AND(B265="开局",OR(D265="固定颜色盒",D265="单向收纳盒")),J265,0)</ns0:f>
        <ns0:v>0</ns0:v>
      </ns0:c>
      <ns0:c r="N265" s="150" t="n">
        <ns0:f>IF(AND(B265="开局",OR(D265="数字盖盒",D265="普通冰冻盒",D265="数字冰冻盒",D265="数字冰冻单颗暂存盒")),J265,0)</ns0:f>
        <ns0:v>0</ns0:v>
      </ns0:c>
      <ns0:c r="O265" s="147" t="str">
        <ns0:f>IF(AND(E265&gt;0,E265=INT(E265),G265&gt;=0,G265&lt;=F265,G265=INT(G265),OR(AND(F265=1,OR(D265="单颗暂存盒",D265="数字冰冻单颗暂存盒")),AND(F265=4,NOT(OR(D265="单颗暂存盒",D265="数字冰冻单颗暂存盒")))),IF(OR(D265="数字盖盒",D265="数字冰冻盒",D265="数字冰冻单颗暂存盒"),AND(H265&gt;=1,H265=INT(H265)),H265=0),IF(B265="开局",AND(IF(OR(D265="数字盖盒",D265="普通冰冻盒",D265="数字冰冻盒",D265="炸弹盒",D265="底部置顶盒"),OR(G265=3,G265=4),TRUE),IF(OR(D265="单向收纳盒",D265="单颗暂存盒",D265="数字冰冻单颗暂存盒"),OR(G265=0,G265=1),TRUE),IF(OR(D265="固定颜色盒",D265="广告锁定周转盒"),G265=0,TRUE)),TRUE)),"通过","需调整")</ns0:f>
        <ns0:v>通过</ns0:v>
      </ns0:c>
      <ns0:c r="P265" s="147" t="str">
        <ns0:v>交付解冻与分批补货</ns0:v>
      </ns0:c>
      <ns0:c r="Q265" s="147" t="str">
        <ns0:v>层序见本关首组；按盒序固定</ns0:v>
      </ns0:c>
      <ns0:c r="R265" s="150" t="n">
        <ns0:f>E265*H265</ns0:f>
        <ns0:v>0</ns0:v>
      </ns0:c>
    </ns0:row>
    <ns0:row r="266" ht="21" customHeight="1">
      <ns0:c r="A266" s="149" t="n">
        <ns0:v>47</ns0:v>
      </ns0:c>
      <ns0:c r="B266" s="145" t="str">
        <ns0:v>开局</ns0:v>
      </ns0:c>
      <ns0:c r="C266" s="145" t="str">
        <ns0:v>W047-01</ns0:v>
      </ns0:c>
      <ns0:c r="D266" s="145" t="str">
        <ns0:v>普通盒</ns0:v>
      </ns0:c>
      <ns0:c r="E266" s="152" t="n">
        <ns0:v>12</ns0:v>
      </ns0:c>
      <ns0:c r="F266" s="152" t="n">
        <ns0:v>4</ns0:v>
      </ns0:c>
      <ns0:c r="G266" s="152" t="n">
        <ns0:v>4</ns0:v>
      </ns0:c>
      <ns0:c r="H266" s="152" t="n">
        <ns0:v>0</ns0:v>
      </ns0:c>
      <ns0:c r="I266" s="149" t="n">
        <ns0:f>E266*G266</ns0:f>
        <ns0:v>48</ns0:v>
      </ns0:c>
      <ns0:c r="J266" s="149" t="n">
        <ns0:f>E266*(F266-G266)</ns0:f>
        <ns0:v>0</ns0:v>
      </ns0:c>
      <ns0:c r="K266" s="149" t="n">
        <ns0:f>IF(AND(B266="开局",G266=0,OR(D266="普通盒",D266="单颗暂存盒")),J266,0)</ns0:f>
        <ns0:v>0</ns0:v>
      </ns0:c>
      <ns0:c r="L266" s="149" t="n">
        <ns0:f>IF(AND(B266="开局",G266&gt;0,OR(D266="普通盒",D266="底部置顶盒",D266="炸弹盒")),J266,0)</ns0:f>
        <ns0:v>0</ns0:v>
      </ns0:c>
      <ns0:c r="M266" s="149" t="n">
        <ns0:f>IF(AND(B266="开局",OR(D266="固定颜色盒",D266="单向收纳盒")),J266,0)</ns0:f>
        <ns0:v>0</ns0:v>
      </ns0:c>
      <ns0:c r="N266" s="149" t="n">
        <ns0:f>IF(AND(B266="开局",OR(D266="数字盖盒",D266="普通冰冻盒",D266="数字冰冻盒",D266="数字冰冻单颗暂存盒")),J266,0)</ns0:f>
        <ns0:v>0</ns0:v>
      </ns0:c>
      <ns0:c r="O266" s="145" t="str">
        <ns0:f>IF(AND(E266&gt;0,E266=INT(E266),G266&gt;=0,G266&lt;=F266,G266=INT(G266),OR(AND(F266=1,OR(D266="单颗暂存盒",D266="数字冰冻单颗暂存盒")),AND(F266=4,NOT(OR(D266="单颗暂存盒",D266="数字冰冻单颗暂存盒")))),IF(OR(D266="数字盖盒",D266="数字冰冻盒",D266="数字冰冻单颗暂存盒"),AND(H266&gt;=1,H266=INT(H266)),H266=0),IF(B266="开局",AND(IF(OR(D266="数字盖盒",D266="普通冰冻盒",D266="数字冰冻盒",D266="炸弹盒",D266="底部置顶盒"),OR(G266=3,G266=4),TRUE),IF(OR(D266="单向收纳盒",D266="单颗暂存盒",D266="数字冰冻单颗暂存盒"),OR(G266=0,G266=1),TRUE),IF(OR(D266="固定颜色盒",D266="广告锁定周转盒"),G266=0,TRUE)),TRUE)),"通过","需调整")</ns0:f>
        <ns0:v>通过</ns0:v>
      </ns0:c>
      <ns0:c r="P266" s="145" t="str">
        <ns0:v>明牌暂存缓和</ns0:v>
      </ns0:c>
      <ns0:c r="Q266" s="145" t="str">
        <ns0:v>层序JSON:{"reference":"已确认的41–50关方案；第47关：明牌暂存缓和；固定层序与订单，非参考小游戏逐关复刻","slots":[{"group_id":"W047-01","layers":[3,0,6,2]},{"group_id":"W047-01","layers":[8,4,6,12]},{"group_id":"W047-01","layers":[2,6,6,4]},{"group_id":"W047-01","layers":[3,2,6,2]},{"group_id":"W047-01","layers":[3,5,2,2]},{"group_id":"W047-05","layers":[8,5,0,12]},{"group_id":"W047-03","layers":[6,2]},{"group_id":"W047-02","layers":[2,8,12]},{"group_id":"W047-02","layers":[4,5,8]},{"group_id":"W047-01","layers":[3,8,8,3]},{"group_id":"W047-01","layers":[12,2,4,2]},{"group_id":"W047-01","layers":[12,0,8,2]},{"group_id":"W047-01","layers":[3,8,5,5]},{"group_id":"W047-01","layers":[6,0,5,12]},{"group_id":"W047-01","layers":[3,12,3,5]},{"group_id":"W047-01","layers":[2,5,6,12]},{"group_id":"W047-06","layers":[]},{"group_id":"W047-04","layers":[]}],"stock":[],"demand_sequences":[[5,2,5,4,8,3,12,8],[12,2,6,6,0,2,3]]}</ns0:v>
      </ns0:c>
      <ns0:c r="R266" s="149" t="n">
        <ns0:f>E266*H266</ns0:f>
        <ns0:v>0</ns0:v>
      </ns0:c>
    </ns0:row>
    <ns0:row r="267" ht="21" customHeight="1">
      <ns0:c r="A267" s="150" t="n">
        <ns0:v>47</ns0:v>
      </ns0:c>
      <ns0:c r="B267" s="147" t="str">
        <ns0:v>开局</ns0:v>
      </ns0:c>
      <ns0:c r="C267" s="147" t="str">
        <ns0:v>W047-02</ns0:v>
      </ns0:c>
      <ns0:c r="D267" s="147" t="str">
        <ns0:v>普通盒</ns0:v>
      </ns0:c>
      <ns0:c r="E267" s="152" t="n">
        <ns0:v>2</ns0:v>
      </ns0:c>
      <ns0:c r="F267" s="152" t="n">
        <ns0:v>4</ns0:v>
      </ns0:c>
      <ns0:c r="G267" s="152" t="n">
        <ns0:v>3</ns0:v>
      </ns0:c>
      <ns0:c r="H267" s="152" t="n">
        <ns0:v>0</ns0:v>
      </ns0:c>
      <ns0:c r="I267" s="150" t="n">
        <ns0:f>E267*G267</ns0:f>
        <ns0:v>6</ns0:v>
      </ns0:c>
      <ns0:c r="J267" s="150" t="n">
        <ns0:f>E267*(F267-G267)</ns0:f>
        <ns0:v>2</ns0:v>
      </ns0:c>
      <ns0:c r="K267" s="150" t="n">
        <ns0:f>IF(AND(B267="开局",G267=0,OR(D267="普通盒",D267="单颗暂存盒")),J267,0)</ns0:f>
        <ns0:v>0</ns0:v>
      </ns0:c>
      <ns0:c r="L267" s="150" t="n">
        <ns0:f>IF(AND(B267="开局",G267&gt;0,OR(D267="普通盒",D267="底部置顶盒",D267="炸弹盒")),J267,0)</ns0:f>
        <ns0:v>2</ns0:v>
      </ns0:c>
      <ns0:c r="M267" s="150" t="n">
        <ns0:f>IF(AND(B267="开局",OR(D267="固定颜色盒",D267="单向收纳盒")),J267,0)</ns0:f>
        <ns0:v>0</ns0:v>
      </ns0:c>
      <ns0:c r="N267" s="150" t="n">
        <ns0:f>IF(AND(B267="开局",OR(D267="数字盖盒",D267="普通冰冻盒",D267="数字冰冻盒",D267="数字冰冻单颗暂存盒")),J267,0)</ns0:f>
        <ns0:v>0</ns0:v>
      </ns0:c>
      <ns0:c r="O267" s="147" t="str">
        <ns0:f>IF(AND(E267&gt;0,E267=INT(E267),G267&gt;=0,G267&lt;=F267,G267=INT(G267),OR(AND(F267=1,OR(D267="单颗暂存盒",D267="数字冰冻单颗暂存盒")),AND(F267=4,NOT(OR(D267="单颗暂存盒",D267="数字冰冻单颗暂存盒")))),IF(OR(D267="数字盖盒",D267="数字冰冻盒",D267="数字冰冻单颗暂存盒"),AND(H267&gt;=1,H267=INT(H267)),H267=0),IF(B267="开局",AND(IF(OR(D267="数字盖盒",D267="普通冰冻盒",D267="数字冰冻盒",D267="炸弹盒",D267="底部置顶盒"),OR(G267=3,G267=4),TRUE),IF(OR(D267="单向收纳盒",D267="单颗暂存盒",D267="数字冰冻单颗暂存盒"),OR(G267=0,G267=1),TRUE),IF(OR(D267="固定颜色盒",D267="广告锁定周转盒"),G267=0,TRUE)),TRUE)),"通过","需调整")</ns0:f>
        <ns0:v>通过</ns0:v>
      </ns0:c>
      <ns0:c r="P267" s="147" t="str">
        <ns0:v>明牌暂存缓和</ns0:v>
      </ns0:c>
      <ns0:c r="Q267" s="147" t="str">
        <ns0:v>层序见本关首组；按盒序固定</ns0:v>
      </ns0:c>
      <ns0:c r="R267" s="150" t="n">
        <ns0:f>E267*H267</ns0:f>
        <ns0:v>0</ns0:v>
      </ns0:c>
    </ns0:row>
    <ns0:row r="268" ht="21" customHeight="1">
      <ns0:c r="A268" s="149" t="n">
        <ns0:v>47</ns0:v>
      </ns0:c>
      <ns0:c r="B268" s="145" t="str">
        <ns0:v>开局</ns0:v>
      </ns0:c>
      <ns0:c r="C268" s="145" t="str">
        <ns0:v>W047-03</ns0:v>
      </ns0:c>
      <ns0:c r="D268" s="145" t="str">
        <ns0:v>普通盒</ns0:v>
      </ns0:c>
      <ns0:c r="E268" s="152" t="n">
        <ns0:v>1</ns0:v>
      </ns0:c>
      <ns0:c r="F268" s="152" t="n">
        <ns0:v>4</ns0:v>
      </ns0:c>
      <ns0:c r="G268" s="152" t="n">
        <ns0:v>2</ns0:v>
      </ns0:c>
      <ns0:c r="H268" s="152" t="n">
        <ns0:v>0</ns0:v>
      </ns0:c>
      <ns0:c r="I268" s="149" t="n">
        <ns0:f>E268*G268</ns0:f>
        <ns0:v>2</ns0:v>
      </ns0:c>
      <ns0:c r="J268" s="149" t="n">
        <ns0:f>E268*(F268-G268)</ns0:f>
        <ns0:v>2</ns0:v>
      </ns0:c>
      <ns0:c r="K268" s="149" t="n">
        <ns0:f>IF(AND(B268="开局",G268=0,OR(D268="普通盒",D268="单颗暂存盒")),J268,0)</ns0:f>
        <ns0:v>0</ns0:v>
      </ns0:c>
      <ns0:c r="L268" s="149" t="n">
        <ns0:f>IF(AND(B268="开局",G268&gt;0,OR(D268="普通盒",D268="底部置顶盒",D268="炸弹盒")),J268,0)</ns0:f>
        <ns0:v>2</ns0:v>
      </ns0:c>
      <ns0:c r="M268" s="149" t="n">
        <ns0:f>IF(AND(B268="开局",OR(D268="固定颜色盒",D268="单向收纳盒")),J268,0)</ns0:f>
        <ns0:v>0</ns0:v>
      </ns0:c>
      <ns0:c r="N268" s="149" t="n">
        <ns0:f>IF(AND(B268="开局",OR(D268="数字盖盒",D268="普通冰冻盒",D268="数字冰冻盒",D268="数字冰冻单颗暂存盒")),J268,0)</ns0:f>
        <ns0:v>0</ns0:v>
      </ns0:c>
      <ns0:c r="O268" s="145" t="str">
        <ns0:f>IF(AND(E268&gt;0,E268=INT(E268),G268&gt;=0,G268&lt;=F268,G268=INT(G268),OR(AND(F268=1,OR(D268="单颗暂存盒",D268="数字冰冻单颗暂存盒")),AND(F268=4,NOT(OR(D268="单颗暂存盒",D268="数字冰冻单颗暂存盒")))),IF(OR(D268="数字盖盒",D268="数字冰冻盒",D268="数字冰冻单颗暂存盒"),AND(H268&gt;=1,H268=INT(H268)),H268=0),IF(B268="开局",AND(IF(OR(D268="数字盖盒",D268="普通冰冻盒",D268="数字冰冻盒",D268="炸弹盒",D268="底部置顶盒"),OR(G268=3,G268=4),TRUE),IF(OR(D268="单向收纳盒",D268="单颗暂存盒",D268="数字冰冻单颗暂存盒"),OR(G268=0,G268=1),TRUE),IF(OR(D268="固定颜色盒",D268="广告锁定周转盒"),G268=0,TRUE)),TRUE)),"通过","需调整")</ns0:f>
        <ns0:v>通过</ns0:v>
      </ns0:c>
      <ns0:c r="P268" s="145" t="str">
        <ns0:v>明牌暂存缓和</ns0:v>
      </ns0:c>
      <ns0:c r="Q268" s="145" t="str">
        <ns0:v>层序见本关首组；按盒序固定</ns0:v>
      </ns0:c>
      <ns0:c r="R268" s="149" t="n">
        <ns0:f>E268*H268</ns0:f>
        <ns0:v>0</ns0:v>
      </ns0:c>
    </ns0:row>
    <ns0:row r="269" ht="21" customHeight="1">
      <ns0:c r="A269" s="150" t="n">
        <ns0:v>47</ns0:v>
      </ns0:c>
      <ns0:c r="B269" s="147" t="str">
        <ns0:v>开局</ns0:v>
      </ns0:c>
      <ns0:c r="C269" s="147" t="str">
        <ns0:v>W047-04</ns0:v>
      </ns0:c>
      <ns0:c r="D269" s="147" t="str">
        <ns0:v>普通盒</ns0:v>
      </ns0:c>
      <ns0:c r="E269" s="152" t="n">
        <ns0:v>1</ns0:v>
      </ns0:c>
      <ns0:c r="F269" s="152" t="n">
        <ns0:v>4</ns0:v>
      </ns0:c>
      <ns0:c r="G269" s="152" t="n">
        <ns0:v>0</ns0:v>
      </ns0:c>
      <ns0:c r="H269" s="152" t="n">
        <ns0:v>0</ns0:v>
      </ns0:c>
      <ns0:c r="I269" s="150" t="n">
        <ns0:f>E269*G269</ns0:f>
        <ns0:v>0</ns0:v>
      </ns0:c>
      <ns0:c r="J269" s="150" t="n">
        <ns0:f>E269*(F269-G269)</ns0:f>
        <ns0:v>4</ns0:v>
      </ns0:c>
      <ns0:c r="K269" s="150" t="n">
        <ns0:f>IF(AND(B269="开局",G269=0,OR(D269="普通盒",D269="单颗暂存盒")),J269,0)</ns0:f>
        <ns0:v>4</ns0:v>
      </ns0:c>
      <ns0:c r="L269" s="150" t="n">
        <ns0:f>IF(AND(B269="开局",G269&gt;0,OR(D269="普通盒",D269="底部置顶盒",D269="炸弹盒")),J269,0)</ns0:f>
        <ns0:v>0</ns0:v>
      </ns0:c>
      <ns0:c r="M269" s="150" t="n">
        <ns0:f>IF(AND(B269="开局",OR(D269="固定颜色盒",D269="单向收纳盒")),J269,0)</ns0:f>
        <ns0:v>0</ns0:v>
      </ns0:c>
      <ns0:c r="N269" s="150" t="n">
        <ns0:f>IF(AND(B269="开局",OR(D269="数字盖盒",D269="普通冰冻盒",D269="数字冰冻盒",D269="数字冰冻单颗暂存盒")),J269,0)</ns0:f>
        <ns0:v>0</ns0:v>
      </ns0:c>
      <ns0:c r="O269" s="147" t="str">
        <ns0:f>IF(AND(E269&gt;0,E269=INT(E269),G269&gt;=0,G269&lt;=F269,G269=INT(G269),OR(AND(F269=1,OR(D269="单颗暂存盒",D269="数字冰冻单颗暂存盒")),AND(F269=4,NOT(OR(D269="单颗暂存盒",D269="数字冰冻单颗暂存盒")))),IF(OR(D269="数字盖盒",D269="数字冰冻盒",D269="数字冰冻单颗暂存盒"),AND(H269&gt;=1,H269=INT(H269)),H269=0),IF(B269="开局",AND(IF(OR(D269="数字盖盒",D269="普通冰冻盒",D269="数字冰冻盒",D269="炸弹盒",D269="底部置顶盒"),OR(G269=3,G269=4),TRUE),IF(OR(D269="单向收纳盒",D269="单颗暂存盒",D269="数字冰冻单颗暂存盒"),OR(G269=0,G269=1),TRUE),IF(OR(D269="固定颜色盒",D269="广告锁定周转盒"),G269=0,TRUE)),TRUE)),"通过","需调整")</ns0:f>
        <ns0:v>通过</ns0:v>
      </ns0:c>
      <ns0:c r="P269" s="147" t="str">
        <ns0:v>明牌暂存缓和</ns0:v>
      </ns0:c>
      <ns0:c r="Q269" s="147" t="str">
        <ns0:v>层序见本关首组；按盒序固定</ns0:v>
      </ns0:c>
      <ns0:c r="R269" s="150" t="n">
        <ns0:f>E269*H269</ns0:f>
        <ns0:v>0</ns0:v>
      </ns0:c>
    </ns0:row>
    <ns0:row r="270" ht="21" customHeight="1">
      <ns0:c r="A270" s="149" t="n">
        <ns0:v>47</ns0:v>
      </ns0:c>
      <ns0:c r="B270" s="145" t="str">
        <ns0:v>开局</ns0:v>
      </ns0:c>
      <ns0:c r="C270" s="145" t="str">
        <ns0:v>W047-05</ns0:v>
      </ns0:c>
      <ns0:c r="D270" s="145" t="str">
        <ns0:v>普通冰冻盒</ns0:v>
      </ns0:c>
      <ns0:c r="E270" s="152" t="n">
        <ns0:v>1</ns0:v>
      </ns0:c>
      <ns0:c r="F270" s="152" t="n">
        <ns0:v>4</ns0:v>
      </ns0:c>
      <ns0:c r="G270" s="152" t="n">
        <ns0:v>4</ns0:v>
      </ns0:c>
      <ns0:c r="H270" s="152" t="n">
        <ns0:v>0</ns0:v>
      </ns0:c>
      <ns0:c r="I270" s="149" t="n">
        <ns0:f>E270*G270</ns0:f>
        <ns0:v>4</ns0:v>
      </ns0:c>
      <ns0:c r="J270" s="149" t="n">
        <ns0:f>E270*(F270-G270)</ns0:f>
        <ns0:v>0</ns0:v>
      </ns0:c>
      <ns0:c r="K270" s="149" t="n">
        <ns0:f>IF(AND(B270="开局",G270=0,OR(D270="普通盒",D270="单颗暂存盒")),J270,0)</ns0:f>
        <ns0:v>0</ns0:v>
      </ns0:c>
      <ns0:c r="L270" s="149" t="n">
        <ns0:f>IF(AND(B270="开局",G270&gt;0,OR(D270="普通盒",D270="底部置顶盒",D270="炸弹盒")),J270,0)</ns0:f>
        <ns0:v>0</ns0:v>
      </ns0:c>
      <ns0:c r="M270" s="149" t="n">
        <ns0:f>IF(AND(B270="开局",OR(D270="固定颜色盒",D270="单向收纳盒")),J270,0)</ns0:f>
        <ns0:v>0</ns0:v>
      </ns0:c>
      <ns0:c r="N270" s="149" t="n">
        <ns0:f>IF(AND(B270="开局",OR(D270="数字盖盒",D270="普通冰冻盒",D270="数字冰冻盒",D270="数字冰冻单颗暂存盒")),J270,0)</ns0:f>
        <ns0:v>0</ns0:v>
      </ns0:c>
      <ns0:c r="O270" s="145" t="str">
        <ns0:f>IF(AND(E270&gt;0,E270=INT(E270),G270&gt;=0,G270&lt;=F270,G270=INT(G270),OR(AND(F270=1,OR(D270="单颗暂存盒",D270="数字冰冻单颗暂存盒")),AND(F270=4,NOT(OR(D270="单颗暂存盒",D270="数字冰冻单颗暂存盒")))),IF(OR(D270="数字盖盒",D270="数字冰冻盒",D270="数字冰冻单颗暂存盒"),AND(H270&gt;=1,H270=INT(H270)),H270=0),IF(B270="开局",AND(IF(OR(D270="数字盖盒",D270="普通冰冻盒",D270="数字冰冻盒",D270="炸弹盒",D270="底部置顶盒"),OR(G270=3,G270=4),TRUE),IF(OR(D270="单向收纳盒",D270="单颗暂存盒",D270="数字冰冻单颗暂存盒"),OR(G270=0,G270=1),TRUE),IF(OR(D270="固定颜色盒",D270="广告锁定周转盒"),G270=0,TRUE)),TRUE)),"通过","需调整")</ns0:f>
        <ns0:v>通过</ns0:v>
      </ns0:c>
      <ns0:c r="P270" s="145" t="str">
        <ns0:v>明牌暂存缓和</ns0:v>
      </ns0:c>
      <ns0:c r="Q270" s="145" t="str">
        <ns0:v>层序见本关首组；按盒序固定</ns0:v>
      </ns0:c>
      <ns0:c r="R270" s="149" t="n">
        <ns0:f>E270*H270</ns0:f>
        <ns0:v>0</ns0:v>
      </ns0:c>
    </ns0:row>
    <ns0:row r="271" ht="21" customHeight="1">
      <ns0:c r="A271" s="150" t="n">
        <ns0:v>47</ns0:v>
      </ns0:c>
      <ns0:c r="B271" s="147" t="str">
        <ns0:v>开局</ns0:v>
      </ns0:c>
      <ns0:c r="C271" s="147" t="str">
        <ns0:v>W047-06</ns0:v>
      </ns0:c>
      <ns0:c r="D271" s="147" t="str">
        <ns0:v>单颗暂存盒</ns0:v>
      </ns0:c>
      <ns0:c r="E271" s="152" t="n">
        <ns0:v>1</ns0:v>
      </ns0:c>
      <ns0:c r="F271" s="152" t="n">
        <ns0:v>1</ns0:v>
      </ns0:c>
      <ns0:c r="G271" s="152" t="n">
        <ns0:v>0</ns0:v>
      </ns0:c>
      <ns0:c r="H271" s="152" t="n">
        <ns0:v>0</ns0:v>
      </ns0:c>
      <ns0:c r="I271" s="150" t="n">
        <ns0:f>E271*G271</ns0:f>
        <ns0:v>0</ns0:v>
      </ns0:c>
      <ns0:c r="J271" s="150" t="n">
        <ns0:f>E271*(F271-G271)</ns0:f>
        <ns0:v>1</ns0:v>
      </ns0:c>
      <ns0:c r="K271" s="150" t="n">
        <ns0:f>IF(AND(B271="开局",G271=0,OR(D271="普通盒",D271="单颗暂存盒")),J271,0)</ns0:f>
        <ns0:v>1</ns0:v>
      </ns0:c>
      <ns0:c r="L271" s="150" t="n">
        <ns0:f>IF(AND(B271="开局",G271&gt;0,OR(D271="普通盒",D271="底部置顶盒",D271="炸弹盒")),J271,0)</ns0:f>
        <ns0:v>0</ns0:v>
      </ns0:c>
      <ns0:c r="M271" s="150" t="n">
        <ns0:f>IF(AND(B271="开局",OR(D271="固定颜色盒",D271="单向收纳盒")),J271,0)</ns0:f>
        <ns0:v>0</ns0:v>
      </ns0:c>
      <ns0:c r="N271" s="150" t="n">
        <ns0:f>IF(AND(B271="开局",OR(D271="数字盖盒",D271="普通冰冻盒",D271="数字冰冻盒",D271="数字冰冻单颗暂存盒")),J271,0)</ns0:f>
        <ns0:v>0</ns0:v>
      </ns0:c>
      <ns0:c r="O271" s="147" t="str">
        <ns0:f>IF(AND(E271&gt;0,E271=INT(E271),G271&gt;=0,G271&lt;=F271,G271=INT(G271),OR(AND(F271=1,OR(D271="单颗暂存盒",D271="数字冰冻单颗暂存盒")),AND(F271=4,NOT(OR(D271="单颗暂存盒",D271="数字冰冻单颗暂存盒")))),IF(OR(D271="数字盖盒",D271="数字冰冻盒",D271="数字冰冻单颗暂存盒"),AND(H271&gt;=1,H271=INT(H271)),H271=0),IF(B271="开局",AND(IF(OR(D271="数字盖盒",D271="普通冰冻盒",D271="数字冰冻盒",D271="炸弹盒",D271="底部置顶盒"),OR(G271=3,G271=4),TRUE),IF(OR(D271="单向收纳盒",D271="单颗暂存盒",D271="数字冰冻单颗暂存盒"),OR(G271=0,G271=1),TRUE),IF(OR(D271="固定颜色盒",D271="广告锁定周转盒"),G271=0,TRUE)),TRUE)),"通过","需调整")</ns0:f>
        <ns0:v>通过</ns0:v>
      </ns0:c>
      <ns0:c r="P271" s="147" t="str">
        <ns0:v>明牌暂存缓和</ns0:v>
      </ns0:c>
      <ns0:c r="Q271" s="147" t="str">
        <ns0:v>层序见本关首组；按盒序固定</ns0:v>
      </ns0:c>
      <ns0:c r="R271" s="150" t="n">
        <ns0:f>E271*H271</ns0:f>
        <ns0:v>0</ns0:v>
      </ns0:c>
    </ns0:row>
    <ns0:row r="272" ht="21" customHeight="1">
      <ns0:c r="A272" s="149" t="n">
        <ns0:v>47</ns0:v>
      </ns0:c>
      <ns0:c r="B272" s="145" t="str">
        <ns0:v>开局</ns0:v>
      </ns0:c>
      <ns0:c r="C272" s="145" t="str">
        <ns0:v>W047-07</ns0:v>
      </ns0:c>
      <ns0:c r="D272" s="145" t="str">
        <ns0:v>广告锁定周转盒</ns0:v>
      </ns0:c>
      <ns0:c r="E272" s="152" t="n">
        <ns0:v>2</ns0:v>
      </ns0:c>
      <ns0:c r="F272" s="152" t="n">
        <ns0:v>4</ns0:v>
      </ns0:c>
      <ns0:c r="G272" s="152" t="n">
        <ns0:v>0</ns0:v>
      </ns0:c>
      <ns0:c r="H272" s="152" t="n">
        <ns0:v>0</ns0:v>
      </ns0:c>
      <ns0:c r="I272" s="149" t="n">
        <ns0:f>E272*G272</ns0:f>
        <ns0:v>0</ns0:v>
      </ns0:c>
      <ns0:c r="J272" s="149" t="n">
        <ns0:f>E272*(F272-G272)</ns0:f>
        <ns0:v>8</ns0:v>
      </ns0:c>
      <ns0:c r="K272" s="149" t="n">
        <ns0:f>IF(AND(B272="开局",G272=0,OR(D272="普通盒",D272="单颗暂存盒")),J272,0)</ns0:f>
        <ns0:v>0</ns0:v>
      </ns0:c>
      <ns0:c r="L272" s="149" t="n">
        <ns0:f>IF(AND(B272="开局",G272&gt;0,OR(D272="普通盒",D272="底部置顶盒",D272="炸弹盒")),J272,0)</ns0:f>
        <ns0:v>0</ns0:v>
      </ns0:c>
      <ns0:c r="M272" s="149" t="n">
        <ns0:f>IF(AND(B272="开局",OR(D272="固定颜色盒",D272="单向收纳盒")),J272,0)</ns0:f>
        <ns0:v>0</ns0:v>
      </ns0:c>
      <ns0:c r="N272" s="149" t="n">
        <ns0:f>IF(AND(B272="开局",OR(D272="数字盖盒",D272="普通冰冻盒",D272="数字冰冻盒",D272="数字冰冻单颗暂存盒")),J272,0)</ns0:f>
        <ns0:v>0</ns0:v>
      </ns0:c>
      <ns0:c r="O272" s="145" t="str">
        <ns0:f>IF(AND(E272&gt;0,E272=INT(E272),G272&gt;=0,G272&lt;=F272,G272=INT(G272),OR(AND(F272=1,OR(D272="单颗暂存盒",D272="数字冰冻单颗暂存盒")),AND(F272=4,NOT(OR(D272="单颗暂存盒",D272="数字冰冻单颗暂存盒")))),IF(OR(D272="数字盖盒",D272="数字冰冻盒",D272="数字冰冻单颗暂存盒"),AND(H272&gt;=1,H272=INT(H272)),H272=0),IF(B272="开局",AND(IF(OR(D272="数字盖盒",D272="普通冰冻盒",D272="数字冰冻盒",D272="炸弹盒",D272="底部置顶盒"),OR(G272=3,G272=4),TRUE),IF(OR(D272="单向收纳盒",D272="单颗暂存盒",D272="数字冰冻单颗暂存盒"),OR(G272=0,G272=1),TRUE),IF(OR(D272="固定颜色盒",D272="广告锁定周转盒"),G272=0,TRUE)),TRUE)),"通过","需调整")</ns0:f>
        <ns0:v>通过</ns0:v>
      </ns0:c>
      <ns0:c r="P272" s="145" t="str">
        <ns0:v>明牌暂存缓和</ns0:v>
      </ns0:c>
      <ns0:c r="Q272" s="145" t="str">
        <ns0:v>层序见本关首组；按盒序固定</ns0:v>
      </ns0:c>
      <ns0:c r="R272" s="149" t="n">
        <ns0:f>E272*H272</ns0:f>
        <ns0:v>0</ns0:v>
      </ns0:c>
    </ns0:row>
    <ns0:row r="273" ht="21" customHeight="1">
      <ns0:c r="A273" s="150" t="n">
        <ns0:v>48</ns0:v>
      </ns0:c>
      <ns0:c r="B273" s="147" t="str">
        <ns0:v>开局</ns0:v>
      </ns0:c>
      <ns0:c r="C273" s="147" t="str">
        <ns0:v>W048-01</ns0:v>
      </ns0:c>
      <ns0:c r="D273" s="147" t="str">
        <ns0:v>普通盒</ns0:v>
      </ns0:c>
      <ns0:c r="E273" s="152" t="n">
        <ns0:v>15</ns0:v>
      </ns0:c>
      <ns0:c r="F273" s="152" t="n">
        <ns0:v>4</ns0:v>
      </ns0:c>
      <ns0:c r="G273" s="152" t="n">
        <ns0:v>4</ns0:v>
      </ns0:c>
      <ns0:c r="H273" s="152" t="n">
        <ns0:v>0</ns0:v>
      </ns0:c>
      <ns0:c r="I273" s="150" t="n">
        <ns0:f>E273*G273</ns0:f>
        <ns0:v>60</ns0:v>
      </ns0:c>
      <ns0:c r="J273" s="150" t="n">
        <ns0:f>E273*(F273-G273)</ns0:f>
        <ns0:v>0</ns0:v>
      </ns0:c>
      <ns0:c r="K273" s="150" t="n">
        <ns0:f>IF(AND(B273="开局",G273=0,OR(D273="普通盒",D273="单颗暂存盒")),J273,0)</ns0:f>
        <ns0:v>0</ns0:v>
      </ns0:c>
      <ns0:c r="L273" s="150" t="n">
        <ns0:f>IF(AND(B273="开局",G273&gt;0,OR(D273="普通盒",D273="底部置顶盒",D273="炸弹盒")),J273,0)</ns0:f>
        <ns0:v>0</ns0:v>
      </ns0:c>
      <ns0:c r="M273" s="150" t="n">
        <ns0:f>IF(AND(B273="开局",OR(D273="固定颜色盒",D273="单向收纳盒")),J273,0)</ns0:f>
        <ns0:v>0</ns0:v>
      </ns0:c>
      <ns0:c r="N273" s="150" t="n">
        <ns0:f>IF(AND(B273="开局",OR(D273="数字盖盒",D273="普通冰冻盒",D273="数字冰冻盒",D273="数字冰冻单颗暂存盒")),J273,0)</ns0:f>
        <ns0:v>0</ns0:v>
      </ns0:c>
      <ns0:c r="O273" s="147" t="str">
        <ns0:f>IF(AND(E273&gt;0,E273=INT(E273),G273&gt;=0,G273&lt;=F273,G273=INT(G273),OR(AND(F273=1,OR(D273="单颗暂存盒",D273="数字冰冻单颗暂存盒")),AND(F273=4,NOT(OR(D273="单颗暂存盒",D273="数字冰冻单颗暂存盒")))),IF(OR(D273="数字盖盒",D273="数字冰冻盒",D273="数字冰冻单颗暂存盒"),AND(H273&gt;=1,H273=INT(H273)),H273=0),IF(B273="开局",AND(IF(OR(D273="数字盖盒",D273="普通冰冻盒",D273="数字冰冻盒",D273="炸弹盒",D273="底部置顶盒"),OR(G273=3,G273=4),TRUE),IF(OR(D273="单向收纳盒",D273="单颗暂存盒",D273="数字冰冻单颗暂存盒"),OR(G273=0,G273=1),TRUE),IF(OR(D273="固定颜色盒",D273="广告锁定周转盒"),G273=0,TRUE)),TRUE)),"通过","需调整")</ns0:f>
        <ns0:v>通过</ns0:v>
      </ns0:c>
      <ns0:c r="P273" s="147" t="str">
        <ns0:v>三类空间配合</ns0:v>
      </ns0:c>
      <ns0:c r="Q273" s="147" t="str">
        <ns0:v>层序JSON:{"reference":"已确认的41–50关方案；第48关：三类空间配合；固定层序与订单，非参考小游戏逐关复刻","slots":[{"group_id":"W048-01","layers":[8,12,12,0]},{"group_id":"W048-01","layers":[2,12,3,3]},{"group_id":"W048-01","layers":[8,4,2,2]},{"group_id":"W048-01","layers":[2,5,4,8]},{"group_id":"W048-03","layers":[4,2,12,8]},{"group_id":"W048-01","layers":[8,2,2,0]},{"group_id":"W048-01","layers":[12,6,3,8]},{"group_id":"W048-02","layers":[6,3]},{"group_id":"W048-01","layers":[12,6,2,0]},{"group_id":"W048-01","layers":[6,8,8,6]},{"group_id":"W048-01","layers":[4,8,6,0]},{"group_id":"W048-02","layers":[0,2]},{"group_id":"W048-01","layers":[0,3,2,8]},{"group_id":"W048-01","layers":[0,5,8,5]},{"group_id":"W048-01","layers":[12,4,6,2]},{"group_id":"W048-01","layers":[4,4,8,12]},{"group_id":"W048-01","layers":[3,8,8,0]},{"group_id":"W048-01","layers":[3,6,2,3]},{"group_id":"W048-04","layers":[],"fixed_flavor":5},{"group_id":"W048-05","layers":[]}],"stock":[{"group_id":"W048-07","layers":[4,8,5,8]}],"demand_sequences":[[0,3,2,8,4,8,8,5,0],[2,8,4,12,2,12,6,6,3]]}</ns0:v>
      </ns0:c>
      <ns0:c r="R273" s="150" t="n">
        <ns0:f>E273*H273</ns0:f>
        <ns0:v>0</ns0:v>
      </ns0:c>
    </ns0:row>
    <ns0:row r="274" ht="21" customHeight="1">
      <ns0:c r="A274" s="149" t="n">
        <ns0:v>48</ns0:v>
      </ns0:c>
      <ns0:c r="B274" s="145" t="str">
        <ns0:v>开局</ns0:v>
      </ns0:c>
      <ns0:c r="C274" s="145" t="str">
        <ns0:v>W048-02</ns0:v>
      </ns0:c>
      <ns0:c r="D274" s="145" t="str">
        <ns0:v>普通盒</ns0:v>
      </ns0:c>
      <ns0:c r="E274" s="152" t="n">
        <ns0:v>2</ns0:v>
      </ns0:c>
      <ns0:c r="F274" s="152" t="n">
        <ns0:v>4</ns0:v>
      </ns0:c>
      <ns0:c r="G274" s="152" t="n">
        <ns0:v>2</ns0:v>
      </ns0:c>
      <ns0:c r="H274" s="152" t="n">
        <ns0:v>0</ns0:v>
      </ns0:c>
      <ns0:c r="I274" s="149" t="n">
        <ns0:f>E274*G274</ns0:f>
        <ns0:v>4</ns0:v>
      </ns0:c>
      <ns0:c r="J274" s="149" t="n">
        <ns0:f>E274*(F274-G274)</ns0:f>
        <ns0:v>4</ns0:v>
      </ns0:c>
      <ns0:c r="K274" s="149" t="n">
        <ns0:f>IF(AND(B274="开局",G274=0,OR(D274="普通盒",D274="单颗暂存盒")),J274,0)</ns0:f>
        <ns0:v>0</ns0:v>
      </ns0:c>
      <ns0:c r="L274" s="149" t="n">
        <ns0:f>IF(AND(B274="开局",G274&gt;0,OR(D274="普通盒",D274="底部置顶盒",D274="炸弹盒")),J274,0)</ns0:f>
        <ns0:v>4</ns0:v>
      </ns0:c>
      <ns0:c r="M274" s="149" t="n">
        <ns0:f>IF(AND(B274="开局",OR(D274="固定颜色盒",D274="单向收纳盒")),J274,0)</ns0:f>
        <ns0:v>0</ns0:v>
      </ns0:c>
      <ns0:c r="N274" s="149" t="n">
        <ns0:f>IF(AND(B274="开局",OR(D274="数字盖盒",D274="普通冰冻盒",D274="数字冰冻盒",D274="数字冰冻单颗暂存盒")),J274,0)</ns0:f>
        <ns0:v>0</ns0:v>
      </ns0:c>
      <ns0:c r="O274" s="145" t="str">
        <ns0:f>IF(AND(E274&gt;0,E274=INT(E274),G274&gt;=0,G274&lt;=F274,G274=INT(G274),OR(AND(F274=1,OR(D274="单颗暂存盒",D274="数字冰冻单颗暂存盒")),AND(F274=4,NOT(OR(D274="单颗暂存盒",D274="数字冰冻单颗暂存盒")))),IF(OR(D274="数字盖盒",D274="数字冰冻盒",D274="数字冰冻单颗暂存盒"),AND(H274&gt;=1,H274=INT(H274)),H274=0),IF(B274="开局",AND(IF(OR(D274="数字盖盒",D274="普通冰冻盒",D274="数字冰冻盒",D274="炸弹盒",D274="底部置顶盒"),OR(G274=3,G274=4),TRUE),IF(OR(D274="单向收纳盒",D274="单颗暂存盒",D274="数字冰冻单颗暂存盒"),OR(G274=0,G274=1),TRUE),IF(OR(D274="固定颜色盒",D274="广告锁定周转盒"),G274=0,TRUE)),TRUE)),"通过","需调整")</ns0:f>
        <ns0:v>通过</ns0:v>
      </ns0:c>
      <ns0:c r="P274" s="145" t="str">
        <ns0:v>三类空间配合</ns0:v>
      </ns0:c>
      <ns0:c r="Q274" s="145" t="str">
        <ns0:v>层序见本关首组；按盒序固定</ns0:v>
      </ns0:c>
      <ns0:c r="R274" s="149" t="n">
        <ns0:f>E274*H274</ns0:f>
        <ns0:v>0</ns0:v>
      </ns0:c>
    </ns0:row>
    <ns0:row r="275" ht="21" customHeight="1">
      <ns0:c r="A275" s="150" t="n">
        <ns0:v>48</ns0:v>
      </ns0:c>
      <ns0:c r="B275" s="147" t="str">
        <ns0:v>开局</ns0:v>
      </ns0:c>
      <ns0:c r="C275" s="147" t="str">
        <ns0:v>W048-03</ns0:v>
      </ns0:c>
      <ns0:c r="D275" s="147" t="str">
        <ns0:v>数字盖盒</ns0:v>
      </ns0:c>
      <ns0:c r="E275" s="152" t="n">
        <ns0:v>1</ns0:v>
      </ns0:c>
      <ns0:c r="F275" s="152" t="n">
        <ns0:v>4</ns0:v>
      </ns0:c>
      <ns0:c r="G275" s="152" t="n">
        <ns0:v>4</ns0:v>
      </ns0:c>
      <ns0:c r="H275" s="152" t="n">
        <ns0:v>1</ns0:v>
      </ns0:c>
      <ns0:c r="I275" s="150" t="n">
        <ns0:f>E275*G275</ns0:f>
        <ns0:v>4</ns0:v>
      </ns0:c>
      <ns0:c r="J275" s="150" t="n">
        <ns0:f>E275*(F275-G275)</ns0:f>
        <ns0:v>0</ns0:v>
      </ns0:c>
      <ns0:c r="K275" s="150" t="n">
        <ns0:f>IF(AND(B275="开局",G275=0,OR(D275="普通盒",D275="单颗暂存盒")),J275,0)</ns0:f>
        <ns0:v>0</ns0:v>
      </ns0:c>
      <ns0:c r="L275" s="150" t="n">
        <ns0:f>IF(AND(B275="开局",G275&gt;0,OR(D275="普通盒",D275="底部置顶盒",D275="炸弹盒")),J275,0)</ns0:f>
        <ns0:v>0</ns0:v>
      </ns0:c>
      <ns0:c r="M275" s="150" t="n">
        <ns0:f>IF(AND(B275="开局",OR(D275="固定颜色盒",D275="单向收纳盒")),J275,0)</ns0:f>
        <ns0:v>0</ns0:v>
      </ns0:c>
      <ns0:c r="N275" s="150" t="n">
        <ns0:f>IF(AND(B275="开局",OR(D275="数字盖盒",D275="普通冰冻盒",D275="数字冰冻盒",D275="数字冰冻单颗暂存盒")),J275,0)</ns0:f>
        <ns0:v>0</ns0:v>
      </ns0:c>
      <ns0:c r="O275" s="147" t="str">
        <ns0:f>IF(AND(E275&gt;0,E275=INT(E275),G275&gt;=0,G275&lt;=F275,G275=INT(G275),OR(AND(F275=1,OR(D275="单颗暂存盒",D275="数字冰冻单颗暂存盒")),AND(F275=4,NOT(OR(D275="单颗暂存盒",D275="数字冰冻单颗暂存盒")))),IF(OR(D275="数字盖盒",D275="数字冰冻盒",D275="数字冰冻单颗暂存盒"),AND(H275&gt;=1,H275=INT(H275)),H275=0),IF(B275="开局",AND(IF(OR(D275="数字盖盒",D275="普通冰冻盒",D275="数字冰冻盒",D275="炸弹盒",D275="底部置顶盒"),OR(G275=3,G275=4),TRUE),IF(OR(D275="单向收纳盒",D275="单颗暂存盒",D275="数字冰冻单颗暂存盒"),OR(G275=0,G275=1),TRUE),IF(OR(D275="固定颜色盒",D275="广告锁定周转盒"),G275=0,TRUE)),TRUE)),"通过","需调整")</ns0:f>
        <ns0:v>通过</ns0:v>
      </ns0:c>
      <ns0:c r="P275" s="147" t="str">
        <ns0:v>三类空间配合</ns0:v>
      </ns0:c>
      <ns0:c r="Q275" s="147" t="str">
        <ns0:v>层序见本关首组；按盒序固定</ns0:v>
      </ns0:c>
      <ns0:c r="R275" s="150" t="n">
        <ns0:f>E275*H275</ns0:f>
        <ns0:v>1</ns0:v>
      </ns0:c>
    </ns0:row>
    <ns0:row r="276" ht="21" customHeight="1">
      <ns0:c r="A276" s="149" t="n">
        <ns0:v>48</ns0:v>
      </ns0:c>
      <ns0:c r="B276" s="145" t="str">
        <ns0:v>开局</ns0:v>
      </ns0:c>
      <ns0:c r="C276" s="145" t="str">
        <ns0:v>W048-04</ns0:v>
      </ns0:c>
      <ns0:c r="D276" s="145" t="str">
        <ns0:v>固定颜色盒</ns0:v>
      </ns0:c>
      <ns0:c r="E276" s="152" t="n">
        <ns0:v>1</ns0:v>
      </ns0:c>
      <ns0:c r="F276" s="152" t="n">
        <ns0:v>4</ns0:v>
      </ns0:c>
      <ns0:c r="G276" s="152" t="n">
        <ns0:v>0</ns0:v>
      </ns0:c>
      <ns0:c r="H276" s="152" t="n">
        <ns0:v>0</ns0:v>
      </ns0:c>
      <ns0:c r="I276" s="149" t="n">
        <ns0:f>E276*G276</ns0:f>
        <ns0:v>0</ns0:v>
      </ns0:c>
      <ns0:c r="J276" s="149" t="n">
        <ns0:f>E276*(F276-G276)</ns0:f>
        <ns0:v>4</ns0:v>
      </ns0:c>
      <ns0:c r="K276" s="149" t="n">
        <ns0:f>IF(AND(B276="开局",G276=0,OR(D276="普通盒",D276="单颗暂存盒")),J276,0)</ns0:f>
        <ns0:v>0</ns0:v>
      </ns0:c>
      <ns0:c r="L276" s="149" t="n">
        <ns0:f>IF(AND(B276="开局",G276&gt;0,OR(D276="普通盒",D276="底部置顶盒",D276="炸弹盒")),J276,0)</ns0:f>
        <ns0:v>0</ns0:v>
      </ns0:c>
      <ns0:c r="M276" s="149" t="n">
        <ns0:f>IF(AND(B276="开局",OR(D276="固定颜色盒",D276="单向收纳盒")),J276,0)</ns0:f>
        <ns0:v>4</ns0:v>
      </ns0:c>
      <ns0:c r="N276" s="149" t="n">
        <ns0:f>IF(AND(B276="开局",OR(D276="数字盖盒",D276="普通冰冻盒",D276="数字冰冻盒",D276="数字冰冻单颗暂存盒")),J276,0)</ns0:f>
        <ns0:v>0</ns0:v>
      </ns0:c>
      <ns0:c r="O276" s="145" t="str">
        <ns0:f>IF(AND(E276&gt;0,E276=INT(E276),G276&gt;=0,G276&lt;=F276,G276=INT(G276),OR(AND(F276=1,OR(D276="单颗暂存盒",D276="数字冰冻单颗暂存盒")),AND(F276=4,NOT(OR(D276="单颗暂存盒",D276="数字冰冻单颗暂存盒")))),IF(OR(D276="数字盖盒",D276="数字冰冻盒",D276="数字冰冻单颗暂存盒"),AND(H276&gt;=1,H276=INT(H276)),H276=0),IF(B276="开局",AND(IF(OR(D276="数字盖盒",D276="普通冰冻盒",D276="数字冰冻盒",D276="炸弹盒",D276="底部置顶盒"),OR(G276=3,G276=4),TRUE),IF(OR(D276="单向收纳盒",D276="单颗暂存盒",D276="数字冰冻单颗暂存盒"),OR(G276=0,G276=1),TRUE),IF(OR(D276="固定颜色盒",D276="广告锁定周转盒"),G276=0,TRUE)),TRUE)),"通过","需调整")</ns0:f>
        <ns0:v>通过</ns0:v>
      </ns0:c>
      <ns0:c r="P276" s="145" t="str">
        <ns0:v>三类空间配合</ns0:v>
      </ns0:c>
      <ns0:c r="Q276" s="145" t="str">
        <ns0:v>层序见本关首组；按盒序固定</ns0:v>
      </ns0:c>
      <ns0:c r="R276" s="149" t="n">
        <ns0:f>E276*H276</ns0:f>
        <ns0:v>0</ns0:v>
      </ns0:c>
    </ns0:row>
    <ns0:row r="277" ht="21" customHeight="1">
      <ns0:c r="A277" s="150" t="n">
        <ns0:v>48</ns0:v>
      </ns0:c>
      <ns0:c r="B277" s="147" t="str">
        <ns0:v>开局</ns0:v>
      </ns0:c>
      <ns0:c r="C277" s="147" t="str">
        <ns0:v>W048-05</ns0:v>
      </ns0:c>
      <ns0:c r="D277" s="147" t="str">
        <ns0:v>单颗暂存盒</ns0:v>
      </ns0:c>
      <ns0:c r="E277" s="152" t="n">
        <ns0:v>1</ns0:v>
      </ns0:c>
      <ns0:c r="F277" s="152" t="n">
        <ns0:v>1</ns0:v>
      </ns0:c>
      <ns0:c r="G277" s="152" t="n">
        <ns0:v>0</ns0:v>
      </ns0:c>
      <ns0:c r="H277" s="152" t="n">
        <ns0:v>0</ns0:v>
      </ns0:c>
      <ns0:c r="I277" s="150" t="n">
        <ns0:f>E277*G277</ns0:f>
        <ns0:v>0</ns0:v>
      </ns0:c>
      <ns0:c r="J277" s="150" t="n">
        <ns0:f>E277*(F277-G277)</ns0:f>
        <ns0:v>1</ns0:v>
      </ns0:c>
      <ns0:c r="K277" s="150" t="n">
        <ns0:f>IF(AND(B277="开局",G277=0,OR(D277="普通盒",D277="单颗暂存盒")),J277,0)</ns0:f>
        <ns0:v>1</ns0:v>
      </ns0:c>
      <ns0:c r="L277" s="150" t="n">
        <ns0:f>IF(AND(B277="开局",G277&gt;0,OR(D277="普通盒",D277="底部置顶盒",D277="炸弹盒")),J277,0)</ns0:f>
        <ns0:v>0</ns0:v>
      </ns0:c>
      <ns0:c r="M277" s="150" t="n">
        <ns0:f>IF(AND(B277="开局",OR(D277="固定颜色盒",D277="单向收纳盒")),J277,0)</ns0:f>
        <ns0:v>0</ns0:v>
      </ns0:c>
      <ns0:c r="N277" s="150" t="n">
        <ns0:f>IF(AND(B277="开局",OR(D277="数字盖盒",D277="普通冰冻盒",D277="数字冰冻盒",D277="数字冰冻单颗暂存盒")),J277,0)</ns0:f>
        <ns0:v>0</ns0:v>
      </ns0:c>
      <ns0:c r="O277" s="147" t="str">
        <ns0:f>IF(AND(E277&gt;0,E277=INT(E277),G277&gt;=0,G277&lt;=F277,G277=INT(G277),OR(AND(F277=1,OR(D277="单颗暂存盒",D277="数字冰冻单颗暂存盒")),AND(F277=4,NOT(OR(D277="单颗暂存盒",D277="数字冰冻单颗暂存盒")))),IF(OR(D277="数字盖盒",D277="数字冰冻盒",D277="数字冰冻单颗暂存盒"),AND(H277&gt;=1,H277=INT(H277)),H277=0),IF(B277="开局",AND(IF(OR(D277="数字盖盒",D277="普通冰冻盒",D277="数字冰冻盒",D277="炸弹盒",D277="底部置顶盒"),OR(G277=3,G277=4),TRUE),IF(OR(D277="单向收纳盒",D277="单颗暂存盒",D277="数字冰冻单颗暂存盒"),OR(G277=0,G277=1),TRUE),IF(OR(D277="固定颜色盒",D277="广告锁定周转盒"),G277=0,TRUE)),TRUE)),"通过","需调整")</ns0:f>
        <ns0:v>通过</ns0:v>
      </ns0:c>
      <ns0:c r="P277" s="147" t="str">
        <ns0:v>三类空间配合</ns0:v>
      </ns0:c>
      <ns0:c r="Q277" s="147" t="str">
        <ns0:v>层序见本关首组；按盒序固定</ns0:v>
      </ns0:c>
      <ns0:c r="R277" s="150" t="n">
        <ns0:f>E277*H277</ns0:f>
        <ns0:v>0</ns0:v>
      </ns0:c>
    </ns0:row>
    <ns0:row r="278" ht="21" customHeight="1">
      <ns0:c r="A278" s="149" t="n">
        <ns0:v>48</ns0:v>
      </ns0:c>
      <ns0:c r="B278" s="145" t="str">
        <ns0:v>开局</ns0:v>
      </ns0:c>
      <ns0:c r="C278" s="145" t="str">
        <ns0:v>W048-06</ns0:v>
      </ns0:c>
      <ns0:c r="D278" s="145" t="str">
        <ns0:v>广告锁定周转盒</ns0:v>
      </ns0:c>
      <ns0:c r="E278" s="152" t="n">
        <ns0:v>2</ns0:v>
      </ns0:c>
      <ns0:c r="F278" s="152" t="n">
        <ns0:v>4</ns0:v>
      </ns0:c>
      <ns0:c r="G278" s="152" t="n">
        <ns0:v>0</ns0:v>
      </ns0:c>
      <ns0:c r="H278" s="152" t="n">
        <ns0:v>0</ns0:v>
      </ns0:c>
      <ns0:c r="I278" s="149" t="n">
        <ns0:f>E278*G278</ns0:f>
        <ns0:v>0</ns0:v>
      </ns0:c>
      <ns0:c r="J278" s="149" t="n">
        <ns0:f>E278*(F278-G278)</ns0:f>
        <ns0:v>8</ns0:v>
      </ns0:c>
      <ns0:c r="K278" s="149" t="n">
        <ns0:f>IF(AND(B278="开局",G278=0,OR(D278="普通盒",D278="单颗暂存盒")),J278,0)</ns0:f>
        <ns0:v>0</ns0:v>
      </ns0:c>
      <ns0:c r="L278" s="149" t="n">
        <ns0:f>IF(AND(B278="开局",G278&gt;0,OR(D278="普通盒",D278="底部置顶盒",D278="炸弹盒")),J278,0)</ns0:f>
        <ns0:v>0</ns0:v>
      </ns0:c>
      <ns0:c r="M278" s="149" t="n">
        <ns0:f>IF(AND(B278="开局",OR(D278="固定颜色盒",D278="单向收纳盒")),J278,0)</ns0:f>
        <ns0:v>0</ns0:v>
      </ns0:c>
      <ns0:c r="N278" s="149" t="n">
        <ns0:f>IF(AND(B278="开局",OR(D278="数字盖盒",D278="普通冰冻盒",D278="数字冰冻盒",D278="数字冰冻单颗暂存盒")),J278,0)</ns0:f>
        <ns0:v>0</ns0:v>
      </ns0:c>
      <ns0:c r="O278" s="145" t="str">
        <ns0:f>IF(AND(E278&gt;0,E278=INT(E278),G278&gt;=0,G278&lt;=F278,G278=INT(G278),OR(AND(F278=1,OR(D278="单颗暂存盒",D278="数字冰冻单颗暂存盒")),AND(F278=4,NOT(OR(D278="单颗暂存盒",D278="数字冰冻单颗暂存盒")))),IF(OR(D278="数字盖盒",D278="数字冰冻盒",D278="数字冰冻单颗暂存盒"),AND(H278&gt;=1,H278=INT(H278)),H278=0),IF(B278="开局",AND(IF(OR(D278="数字盖盒",D278="普通冰冻盒",D278="数字冰冻盒",D278="炸弹盒",D278="底部置顶盒"),OR(G278=3,G278=4),TRUE),IF(OR(D278="单向收纳盒",D278="单颗暂存盒",D278="数字冰冻单颗暂存盒"),OR(G278=0,G278=1),TRUE),IF(OR(D278="固定颜色盒",D278="广告锁定周转盒"),G278=0,TRUE)),TRUE)),"通过","需调整")</ns0:f>
        <ns0:v>通过</ns0:v>
      </ns0:c>
      <ns0:c r="P278" s="145" t="str">
        <ns0:v>三类空间配合</ns0:v>
      </ns0:c>
      <ns0:c r="Q278" s="145" t="str">
        <ns0:v>层序见本关首组；按盒序固定</ns0:v>
      </ns0:c>
      <ns0:c r="R278" s="149" t="n">
        <ns0:f>E278*H278</ns0:f>
        <ns0:v>0</ns0:v>
      </ns0:c>
    </ns0:row>
    <ns0:row r="279" ht="21" customHeight="1">
      <ns0:c r="A279" s="150" t="n">
        <ns0:v>48</ns0:v>
      </ns0:c>
      <ns0:c r="B279" s="147" t="str">
        <ns0:v>备货</ns0:v>
      </ns0:c>
      <ns0:c r="C279" s="147" t="str">
        <ns0:v>W048-07</ns0:v>
      </ns0:c>
      <ns0:c r="D279" s="147" t="str">
        <ns0:v>普通盒</ns0:v>
      </ns0:c>
      <ns0:c r="E279" s="152" t="n">
        <ns0:v>1</ns0:v>
      </ns0:c>
      <ns0:c r="F279" s="152" t="n">
        <ns0:v>4</ns0:v>
      </ns0:c>
      <ns0:c r="G279" s="152" t="n">
        <ns0:v>4</ns0:v>
      </ns0:c>
      <ns0:c r="H279" s="152" t="n">
        <ns0:v>0</ns0:v>
      </ns0:c>
      <ns0:c r="I279" s="150" t="n">
        <ns0:f>E279*G279</ns0:f>
        <ns0:v>4</ns0:v>
      </ns0:c>
      <ns0:c r="J279" s="150" t="n">
        <ns0:f>E279*(F279-G279)</ns0:f>
        <ns0:v>0</ns0:v>
      </ns0:c>
      <ns0:c r="K279" s="150" t="n">
        <ns0:f>IF(AND(B279="开局",G279=0,OR(D279="普通盒",D279="单颗暂存盒")),J279,0)</ns0:f>
        <ns0:v>0</ns0:v>
      </ns0:c>
      <ns0:c r="L279" s="150" t="n">
        <ns0:f>IF(AND(B279="开局",G279&gt;0,OR(D279="普通盒",D279="底部置顶盒",D279="炸弹盒")),J279,0)</ns0:f>
        <ns0:v>0</ns0:v>
      </ns0:c>
      <ns0:c r="M279" s="150" t="n">
        <ns0:f>IF(AND(B279="开局",OR(D279="固定颜色盒",D279="单向收纳盒")),J279,0)</ns0:f>
        <ns0:v>0</ns0:v>
      </ns0:c>
      <ns0:c r="N279" s="150" t="n">
        <ns0:f>IF(AND(B279="开局",OR(D279="数字盖盒",D279="普通冰冻盒",D279="数字冰冻盒",D279="数字冰冻单颗暂存盒")),J279,0)</ns0:f>
        <ns0:v>0</ns0:v>
      </ns0:c>
      <ns0:c r="O279" s="147" t="str">
        <ns0:f>IF(AND(E279&gt;0,E279=INT(E279),G279&gt;=0,G279&lt;=F279,G279=INT(G279),OR(AND(F279=1,OR(D279="单颗暂存盒",D279="数字冰冻单颗暂存盒")),AND(F279=4,NOT(OR(D279="单颗暂存盒",D279="数字冰冻单颗暂存盒")))),IF(OR(D279="数字盖盒",D279="数字冰冻盒",D279="数字冰冻单颗暂存盒"),AND(H279&gt;=1,H279=INT(H279)),H279=0),IF(B279="开局",AND(IF(OR(D279="数字盖盒",D279="普通冰冻盒",D279="数字冰冻盒",D279="炸弹盒",D279="底部置顶盒"),OR(G279=3,G279=4),TRUE),IF(OR(D279="单向收纳盒",D279="单颗暂存盒",D279="数字冰冻单颗暂存盒"),OR(G279=0,G279=1),TRUE),IF(OR(D279="固定颜色盒",D279="广告锁定周转盒"),G279=0,TRUE)),TRUE)),"通过","需调整")</ns0:f>
        <ns0:v>通过</ns0:v>
      </ns0:c>
      <ns0:c r="P279" s="147" t="str">
        <ns0:v>三类空间配合</ns0:v>
      </ns0:c>
      <ns0:c r="Q279" s="147" t="str">
        <ns0:v>层序见本关首组；按盒序固定</ns0:v>
      </ns0:c>
      <ns0:c r="R279" s="150" t="n">
        <ns0:f>E279*H279</ns0:f>
        <ns0:v>0</ns0:v>
      </ns0:c>
    </ns0:row>
    <ns0:row r="280" ht="21" customHeight="1">
      <ns0:c r="A280" s="149" t="n">
        <ns0:v>49</ns0:v>
      </ns0:c>
      <ns0:c r="B280" s="145" t="str">
        <ns0:v>开局</ns0:v>
      </ns0:c>
      <ns0:c r="C280" s="145" t="str">
        <ns0:v>W049-01</ns0:v>
      </ns0:c>
      <ns0:c r="D280" s="145" t="str">
        <ns0:v>普通盒</ns0:v>
      </ns0:c>
      <ns0:c r="E280" s="152" t="n">
        <ns0:v>12</ns0:v>
      </ns0:c>
      <ns0:c r="F280" s="152" t="n">
        <ns0:v>4</ns0:v>
      </ns0:c>
      <ns0:c r="G280" s="152" t="n">
        <ns0:v>4</ns0:v>
      </ns0:c>
      <ns0:c r="H280" s="152" t="n">
        <ns0:v>0</ns0:v>
      </ns0:c>
      <ns0:c r="I280" s="149" t="n">
        <ns0:f>E280*G280</ns0:f>
        <ns0:v>48</ns0:v>
      </ns0:c>
      <ns0:c r="J280" s="149" t="n">
        <ns0:f>E280*(F280-G280)</ns0:f>
        <ns0:v>0</ns0:v>
      </ns0:c>
      <ns0:c r="K280" s="149" t="n">
        <ns0:f>IF(AND(B280="开局",G280=0,OR(D280="普通盒",D280="单颗暂存盒")),J280,0)</ns0:f>
        <ns0:v>0</ns0:v>
      </ns0:c>
      <ns0:c r="L280" s="149" t="n">
        <ns0:f>IF(AND(B280="开局",G280&gt;0,OR(D280="普通盒",D280="底部置顶盒",D280="炸弹盒")),J280,0)</ns0:f>
        <ns0:v>0</ns0:v>
      </ns0:c>
      <ns0:c r="M280" s="149" t="n">
        <ns0:f>IF(AND(B280="开局",OR(D280="固定颜色盒",D280="单向收纳盒")),J280,0)</ns0:f>
        <ns0:v>0</ns0:v>
      </ns0:c>
      <ns0:c r="N280" s="149" t="n">
        <ns0:f>IF(AND(B280="开局",OR(D280="数字盖盒",D280="普通冰冻盒",D280="数字冰冻盒",D280="数字冰冻单颗暂存盒")),J280,0)</ns0:f>
        <ns0:v>0</ns0:v>
      </ns0:c>
      <ns0:c r="O280" s="145" t="str">
        <ns0:f>IF(AND(E280&gt;0,E280=INT(E280),G280&gt;=0,G280&lt;=F280,G280=INT(G280),OR(AND(F280=1,OR(D280="单颗暂存盒",D280="数字冰冻单颗暂存盒")),AND(F280=4,NOT(OR(D280="单颗暂存盒",D280="数字冰冻单颗暂存盒")))),IF(OR(D280="数字盖盒",D280="数字冰冻盒",D280="数字冰冻单颗暂存盒"),AND(H280&gt;=1,H280=INT(H280)),H280=0),IF(B280="开局",AND(IF(OR(D280="数字盖盒",D280="普通冰冻盒",D280="数字冰冻盒",D280="炸弹盒",D280="底部置顶盒"),OR(G280=3,G280=4),TRUE),IF(OR(D280="单向收纳盒",D280="单颗暂存盒",D280="数字冰冻单颗暂存盒"),OR(G280=0,G280=1),TRUE),IF(OR(D280="固定颜色盒",D280="广告锁定周转盒"),G280=0,TRUE)),TRUE)),"通过","需调整")</ns0:f>
        <ns0:v>通过</ns0:v>
      </ns0:c>
      <ns0:c r="P280" s="145" t="str">
        <ns0:v>指定口味综合高点</ns0:v>
      </ns0:c>
      <ns0:c r="Q280" s="145" t="str">
        <ns0:v>层序JSON:{"reference":"已确认的41–50关方案；第49关：指定口味综合高点；固定层序与订单，非参考小游戏逐关复刻","slots":[{"group_id":"W049-01","layers":[3,4,2,3]},{"group_id":"W049-01","layers":[6,0,4,3]},{"group_id":"W049-05","layers":[12,0,2,5]},{"group_id":"W049-01","layers":[4,12,5,3]},{"group_id":"W049-01","layers":[0,2,5,8]},{"group_id":"W049-01","layers":[0,2,12,2]},{"group_id":"W049-04","layers":[12,12,6,12]},{"group_id":"W049-01","layers":[12,0,3,2]},{"group_id":"W049-03","layers":[2,6]},{"group_id":"W049-03","layers":[6,4]},{"group_id":"W049-02","layers":[4,12,2]},{"group_id":"W049-01","layers":[5,2,12,2]},{"group_id":"W049-01","layers":[2,0,8,0],"hidden":[1,2,3]},{"group_id":"W049-01","layers":[0,4,0,3]},{"group_id":"W049-01","layers":[12,12,3,5]},{"group_id":"W049-03","layers":[8,8]},{"group_id":"W049-01","layers":[0,3,0,4]},{"group_id":"W049-02","layers":[5,12,0]},{"group_id":"W049-01","layers":[2,5,5,4],"hidden":[1,2,3]},{"group_id":"W049-06","layers":[],"fixed_flavor":2}],"stock":[],"demand_sequences":[[3,0,4,12,2,12,6,0,3],[4,5,2,8,0,5,2,12]]}</ns0:v>
      </ns0:c>
      <ns0:c r="R280" s="149" t="n">
        <ns0:f>E280*H280</ns0:f>
        <ns0:v>0</ns0:v>
      </ns0:c>
    </ns0:row>
    <ns0:row r="281" ht="21" customHeight="1">
      <ns0:c r="A281" s="150" t="n">
        <ns0:v>49</ns0:v>
      </ns0:c>
      <ns0:c r="B281" s="147" t="str">
        <ns0:v>开局</ns0:v>
      </ns0:c>
      <ns0:c r="C281" s="147" t="str">
        <ns0:v>W049-02</ns0:v>
      </ns0:c>
      <ns0:c r="D281" s="147" t="str">
        <ns0:v>普通盒</ns0:v>
      </ns0:c>
      <ns0:c r="E281" s="152" t="n">
        <ns0:v>2</ns0:v>
      </ns0:c>
      <ns0:c r="F281" s="152" t="n">
        <ns0:v>4</ns0:v>
      </ns0:c>
      <ns0:c r="G281" s="152" t="n">
        <ns0:v>3</ns0:v>
      </ns0:c>
      <ns0:c r="H281" s="152" t="n">
        <ns0:v>0</ns0:v>
      </ns0:c>
      <ns0:c r="I281" s="150" t="n">
        <ns0:f>E281*G281</ns0:f>
        <ns0:v>6</ns0:v>
      </ns0:c>
      <ns0:c r="J281" s="150" t="n">
        <ns0:f>E281*(F281-G281)</ns0:f>
        <ns0:v>2</ns0:v>
      </ns0:c>
      <ns0:c r="K281" s="150" t="n">
        <ns0:f>IF(AND(B281="开局",G281=0,OR(D281="普通盒",D281="单颗暂存盒")),J281,0)</ns0:f>
        <ns0:v>0</ns0:v>
      </ns0:c>
      <ns0:c r="L281" s="150" t="n">
        <ns0:f>IF(AND(B281="开局",G281&gt;0,OR(D281="普通盒",D281="底部置顶盒",D281="炸弹盒")),J281,0)</ns0:f>
        <ns0:v>2</ns0:v>
      </ns0:c>
      <ns0:c r="M281" s="150" t="n">
        <ns0:f>IF(AND(B281="开局",OR(D281="固定颜色盒",D281="单向收纳盒")),J281,0)</ns0:f>
        <ns0:v>0</ns0:v>
      </ns0:c>
      <ns0:c r="N281" s="150" t="n">
        <ns0:f>IF(AND(B281="开局",OR(D281="数字盖盒",D281="普通冰冻盒",D281="数字冰冻盒",D281="数字冰冻单颗暂存盒")),J281,0)</ns0:f>
        <ns0:v>0</ns0:v>
      </ns0:c>
      <ns0:c r="O281" s="147" t="str">
        <ns0:f>IF(AND(E281&gt;0,E281=INT(E281),G281&gt;=0,G281&lt;=F281,G281=INT(G281),OR(AND(F281=1,OR(D281="单颗暂存盒",D281="数字冰冻单颗暂存盒")),AND(F281=4,NOT(OR(D281="单颗暂存盒",D281="数字冰冻单颗暂存盒")))),IF(OR(D281="数字盖盒",D281="数字冰冻盒",D281="数字冰冻单颗暂存盒"),AND(H281&gt;=1,H281=INT(H281)),H281=0),IF(B281="开局",AND(IF(OR(D281="数字盖盒",D281="普通冰冻盒",D281="数字冰冻盒",D281="炸弹盒",D281="底部置顶盒"),OR(G281=3,G281=4),TRUE),IF(OR(D281="单向收纳盒",D281="单颗暂存盒",D281="数字冰冻单颗暂存盒"),OR(G281=0,G281=1),TRUE),IF(OR(D281="固定颜色盒",D281="广告锁定周转盒"),G281=0,TRUE)),TRUE)),"通过","需调整")</ns0:f>
        <ns0:v>通过</ns0:v>
      </ns0:c>
      <ns0:c r="P281" s="147" t="str">
        <ns0:v>指定口味综合高点</ns0:v>
      </ns0:c>
      <ns0:c r="Q281" s="147" t="str">
        <ns0:v>层序见本关首组；按盒序固定</ns0:v>
      </ns0:c>
      <ns0:c r="R281" s="150" t="n">
        <ns0:f>E281*H281</ns0:f>
        <ns0:v>0</ns0:v>
      </ns0:c>
    </ns0:row>
    <ns0:row r="282" ht="21" customHeight="1">
      <ns0:c r="A282" s="149" t="n">
        <ns0:v>49</ns0:v>
      </ns0:c>
      <ns0:c r="B282" s="145" t="str">
        <ns0:v>开局</ns0:v>
      </ns0:c>
      <ns0:c r="C282" s="145" t="str">
        <ns0:v>W049-03</ns0:v>
      </ns0:c>
      <ns0:c r="D282" s="145" t="str">
        <ns0:v>普通盒</ns0:v>
      </ns0:c>
      <ns0:c r="E282" s="152" t="n">
        <ns0:v>3</ns0:v>
      </ns0:c>
      <ns0:c r="F282" s="152" t="n">
        <ns0:v>4</ns0:v>
      </ns0:c>
      <ns0:c r="G282" s="152" t="n">
        <ns0:v>2</ns0:v>
      </ns0:c>
      <ns0:c r="H282" s="152" t="n">
        <ns0:v>0</ns0:v>
      </ns0:c>
      <ns0:c r="I282" s="149" t="n">
        <ns0:f>E282*G282</ns0:f>
        <ns0:v>6</ns0:v>
      </ns0:c>
      <ns0:c r="J282" s="149" t="n">
        <ns0:f>E282*(F282-G282)</ns0:f>
        <ns0:v>6</ns0:v>
      </ns0:c>
      <ns0:c r="K282" s="149" t="n">
        <ns0:f>IF(AND(B282="开局",G282=0,OR(D282="普通盒",D282="单颗暂存盒")),J282,0)</ns0:f>
        <ns0:v>0</ns0:v>
      </ns0:c>
      <ns0:c r="L282" s="149" t="n">
        <ns0:f>IF(AND(B282="开局",G282&gt;0,OR(D282="普通盒",D282="底部置顶盒",D282="炸弹盒")),J282,0)</ns0:f>
        <ns0:v>6</ns0:v>
      </ns0:c>
      <ns0:c r="M282" s="149" t="n">
        <ns0:f>IF(AND(B282="开局",OR(D282="固定颜色盒",D282="单向收纳盒")),J282,0)</ns0:f>
        <ns0:v>0</ns0:v>
      </ns0:c>
      <ns0:c r="N282" s="149" t="n">
        <ns0:f>IF(AND(B282="开局",OR(D282="数字盖盒",D282="普通冰冻盒",D282="数字冰冻盒",D282="数字冰冻单颗暂存盒")),J282,0)</ns0:f>
        <ns0:v>0</ns0:v>
      </ns0:c>
      <ns0:c r="O282" s="145" t="str">
        <ns0:f>IF(AND(E282&gt;0,E282=INT(E282),G282&gt;=0,G282&lt;=F282,G282=INT(G282),OR(AND(F282=1,OR(D282="单颗暂存盒",D282="数字冰冻单颗暂存盒")),AND(F282=4,NOT(OR(D282="单颗暂存盒",D282="数字冰冻单颗暂存盒")))),IF(OR(D282="数字盖盒",D282="数字冰冻盒",D282="数字冰冻单颗暂存盒"),AND(H282&gt;=1,H282=INT(H282)),H282=0),IF(B282="开局",AND(IF(OR(D282="数字盖盒",D282="普通冰冻盒",D282="数字冰冻盒",D282="炸弹盒",D282="底部置顶盒"),OR(G282=3,G282=4),TRUE),IF(OR(D282="单向收纳盒",D282="单颗暂存盒",D282="数字冰冻单颗暂存盒"),OR(G282=0,G282=1),TRUE),IF(OR(D282="固定颜色盒",D282="广告锁定周转盒"),G282=0,TRUE)),TRUE)),"通过","需调整")</ns0:f>
        <ns0:v>通过</ns0:v>
      </ns0:c>
      <ns0:c r="P282" s="145" t="str">
        <ns0:v>指定口味综合高点</ns0:v>
      </ns0:c>
      <ns0:c r="Q282" s="145" t="str">
        <ns0:v>层序见本关首组；按盒序固定</ns0:v>
      </ns0:c>
      <ns0:c r="R282" s="149" t="n">
        <ns0:f>E282*H282</ns0:f>
        <ns0:v>0</ns0:v>
      </ns0:c>
    </ns0:row>
    <ns0:row r="283" ht="21" customHeight="1">
      <ns0:c r="A283" s="150" t="n">
        <ns0:v>49</ns0:v>
      </ns0:c>
      <ns0:c r="B283" s="147" t="str">
        <ns0:v>开局</ns0:v>
      </ns0:c>
      <ns0:c r="C283" s="147" t="str">
        <ns0:v>W049-04</ns0:v>
      </ns0:c>
      <ns0:c r="D283" s="147" t="str">
        <ns0:v>数字冰冻盒</ns0:v>
      </ns0:c>
      <ns0:c r="E283" s="152" t="n">
        <ns0:v>1</ns0:v>
      </ns0:c>
      <ns0:c r="F283" s="152" t="n">
        <ns0:v>4</ns0:v>
      </ns0:c>
      <ns0:c r="G283" s="152" t="n">
        <ns0:v>4</ns0:v>
      </ns0:c>
      <ns0:c r="H283" s="152" t="n">
        <ns0:v>2</ns0:v>
      </ns0:c>
      <ns0:c r="I283" s="150" t="n">
        <ns0:f>E283*G283</ns0:f>
        <ns0:v>4</ns0:v>
      </ns0:c>
      <ns0:c r="J283" s="150" t="n">
        <ns0:f>E283*(F283-G283)</ns0:f>
        <ns0:v>0</ns0:v>
      </ns0:c>
      <ns0:c r="K283" s="150" t="n">
        <ns0:f>IF(AND(B283="开局",G283=0,OR(D283="普通盒",D283="单颗暂存盒")),J283,0)</ns0:f>
        <ns0:v>0</ns0:v>
      </ns0:c>
      <ns0:c r="L283" s="150" t="n">
        <ns0:f>IF(AND(B283="开局",G283&gt;0,OR(D283="普通盒",D283="底部置顶盒",D283="炸弹盒")),J283,0)</ns0:f>
        <ns0:v>0</ns0:v>
      </ns0:c>
      <ns0:c r="M283" s="150" t="n">
        <ns0:f>IF(AND(B283="开局",OR(D283="固定颜色盒",D283="单向收纳盒")),J283,0)</ns0:f>
        <ns0:v>0</ns0:v>
      </ns0:c>
      <ns0:c r="N283" s="150" t="n">
        <ns0:f>IF(AND(B283="开局",OR(D283="数字盖盒",D283="普通冰冻盒",D283="数字冰冻盒",D283="数字冰冻单颗暂存盒")),J283,0)</ns0:f>
        <ns0:v>0</ns0:v>
      </ns0:c>
      <ns0:c r="O283" s="147" t="str">
        <ns0:f>IF(AND(E283&gt;0,E283=INT(E283),G283&gt;=0,G283&lt;=F283,G283=INT(G283),OR(AND(F283=1,OR(D283="单颗暂存盒",D283="数字冰冻单颗暂存盒")),AND(F283=4,NOT(OR(D283="单颗暂存盒",D283="数字冰冻单颗暂存盒")))),IF(OR(D283="数字盖盒",D283="数字冰冻盒",D283="数字冰冻单颗暂存盒"),AND(H283&gt;=1,H283=INT(H283)),H283=0),IF(B283="开局",AND(IF(OR(D283="数字盖盒",D283="普通冰冻盒",D283="数字冰冻盒",D283="炸弹盒",D283="底部置顶盒"),OR(G283=3,G283=4),TRUE),IF(OR(D283="单向收纳盒",D283="单颗暂存盒",D283="数字冰冻单颗暂存盒"),OR(G283=0,G283=1),TRUE),IF(OR(D283="固定颜色盒",D283="广告锁定周转盒"),G283=0,TRUE)),TRUE)),"通过","需调整")</ns0:f>
        <ns0:v>通过</ns0:v>
      </ns0:c>
      <ns0:c r="P283" s="147" t="str">
        <ns0:v>指定口味综合高点</ns0:v>
      </ns0:c>
      <ns0:c r="Q283" s="147" t="str">
        <ns0:v>层序见本关首组；按盒序固定</ns0:v>
      </ns0:c>
      <ns0:c r="R283" s="150" t="n">
        <ns0:f>E283*H283</ns0:f>
        <ns0:v>2</ns0:v>
      </ns0:c>
    </ns0:row>
    <ns0:row r="284" ht="21" customHeight="1">
      <ns0:c r="A284" s="149" t="n">
        <ns0:v>49</ns0:v>
      </ns0:c>
      <ns0:c r="B284" s="145" t="str">
        <ns0:v>开局</ns0:v>
      </ns0:c>
      <ns0:c r="C284" s="145" t="str">
        <ns0:v>W049-05</ns0:v>
      </ns0:c>
      <ns0:c r="D284" s="145" t="str">
        <ns0:v>普通冰冻盒</ns0:v>
      </ns0:c>
      <ns0:c r="E284" s="152" t="n">
        <ns0:v>1</ns0:v>
      </ns0:c>
      <ns0:c r="F284" s="152" t="n">
        <ns0:v>4</ns0:v>
      </ns0:c>
      <ns0:c r="G284" s="152" t="n">
        <ns0:v>4</ns0:v>
      </ns0:c>
      <ns0:c r="H284" s="152" t="n">
        <ns0:v>0</ns0:v>
      </ns0:c>
      <ns0:c r="I284" s="149" t="n">
        <ns0:f>E284*G284</ns0:f>
        <ns0:v>4</ns0:v>
      </ns0:c>
      <ns0:c r="J284" s="149" t="n">
        <ns0:f>E284*(F284-G284)</ns0:f>
        <ns0:v>0</ns0:v>
      </ns0:c>
      <ns0:c r="K284" s="149" t="n">
        <ns0:f>IF(AND(B284="开局",G284=0,OR(D284="普通盒",D284="单颗暂存盒")),J284,0)</ns0:f>
        <ns0:v>0</ns0:v>
      </ns0:c>
      <ns0:c r="L284" s="149" t="n">
        <ns0:f>IF(AND(B284="开局",G284&gt;0,OR(D284="普通盒",D284="底部置顶盒",D284="炸弹盒")),J284,0)</ns0:f>
        <ns0:v>0</ns0:v>
      </ns0:c>
      <ns0:c r="M284" s="149" t="n">
        <ns0:f>IF(AND(B284="开局",OR(D284="固定颜色盒",D284="单向收纳盒")),J284,0)</ns0:f>
        <ns0:v>0</ns0:v>
      </ns0:c>
      <ns0:c r="N284" s="149" t="n">
        <ns0:f>IF(AND(B284="开局",OR(D284="数字盖盒",D284="普通冰冻盒",D284="数字冰冻盒",D284="数字冰冻单颗暂存盒")),J284,0)</ns0:f>
        <ns0:v>0</ns0:v>
      </ns0:c>
      <ns0:c r="O284" s="145" t="str">
        <ns0:f>IF(AND(E284&gt;0,E284=INT(E284),G284&gt;=0,G284&lt;=F284,G284=INT(G284),OR(AND(F284=1,OR(D284="单颗暂存盒",D284="数字冰冻单颗暂存盒")),AND(F284=4,NOT(OR(D284="单颗暂存盒",D284="数字冰冻单颗暂存盒")))),IF(OR(D284="数字盖盒",D284="数字冰冻盒",D284="数字冰冻单颗暂存盒"),AND(H284&gt;=1,H284=INT(H284)),H284=0),IF(B284="开局",AND(IF(OR(D284="数字盖盒",D284="普通冰冻盒",D284="数字冰冻盒",D284="炸弹盒",D284="底部置顶盒"),OR(G284=3,G284=4),TRUE),IF(OR(D284="单向收纳盒",D284="单颗暂存盒",D284="数字冰冻单颗暂存盒"),OR(G284=0,G284=1),TRUE),IF(OR(D284="固定颜色盒",D284="广告锁定周转盒"),G284=0,TRUE)),TRUE)),"通过","需调整")</ns0:f>
        <ns0:v>通过</ns0:v>
      </ns0:c>
      <ns0:c r="P284" s="145" t="str">
        <ns0:v>指定口味综合高点</ns0:v>
      </ns0:c>
      <ns0:c r="Q284" s="145" t="str">
        <ns0:v>层序见本关首组；按盒序固定</ns0:v>
      </ns0:c>
      <ns0:c r="R284" s="149" t="n">
        <ns0:f>E284*H284</ns0:f>
        <ns0:v>0</ns0:v>
      </ns0:c>
    </ns0:row>
    <ns0:row r="285" ht="21" customHeight="1">
      <ns0:c r="A285" s="150" t="n">
        <ns0:v>49</ns0:v>
      </ns0:c>
      <ns0:c r="B285" s="147" t="str">
        <ns0:v>开局</ns0:v>
      </ns0:c>
      <ns0:c r="C285" s="147" t="str">
        <ns0:v>W049-06</ns0:v>
      </ns0:c>
      <ns0:c r="D285" s="147" t="str">
        <ns0:v>固定颜色盒</ns0:v>
      </ns0:c>
      <ns0:c r="E285" s="152" t="n">
        <ns0:v>1</ns0:v>
      </ns0:c>
      <ns0:c r="F285" s="152" t="n">
        <ns0:v>4</ns0:v>
      </ns0:c>
      <ns0:c r="G285" s="152" t="n">
        <ns0:v>0</ns0:v>
      </ns0:c>
      <ns0:c r="H285" s="152" t="n">
        <ns0:v>0</ns0:v>
      </ns0:c>
      <ns0:c r="I285" s="150" t="n">
        <ns0:f>E285*G285</ns0:f>
        <ns0:v>0</ns0:v>
      </ns0:c>
      <ns0:c r="J285" s="150" t="n">
        <ns0:f>E285*(F285-G285)</ns0:f>
        <ns0:v>4</ns0:v>
      </ns0:c>
      <ns0:c r="K285" s="150" t="n">
        <ns0:f>IF(AND(B285="开局",G285=0,OR(D285="普通盒",D285="单颗暂存盒")),J285,0)</ns0:f>
        <ns0:v>0</ns0:v>
      </ns0:c>
      <ns0:c r="L285" s="150" t="n">
        <ns0:f>IF(AND(B285="开局",G285&gt;0,OR(D285="普通盒",D285="底部置顶盒",D285="炸弹盒")),J285,0)</ns0:f>
        <ns0:v>0</ns0:v>
      </ns0:c>
      <ns0:c r="M285" s="150" t="n">
        <ns0:f>IF(AND(B285="开局",OR(D285="固定颜色盒",D285="单向收纳盒")),J285,0)</ns0:f>
        <ns0:v>4</ns0:v>
      </ns0:c>
      <ns0:c r="N285" s="150" t="n">
        <ns0:f>IF(AND(B285="开局",OR(D285="数字盖盒",D285="普通冰冻盒",D285="数字冰冻盒",D285="数字冰冻单颗暂存盒")),J285,0)</ns0:f>
        <ns0:v>0</ns0:v>
      </ns0:c>
      <ns0:c r="O285" s="147" t="str">
        <ns0:f>IF(AND(E285&gt;0,E285=INT(E285),G285&gt;=0,G285&lt;=F285,G285=INT(G285),OR(AND(F285=1,OR(D285="单颗暂存盒",D285="数字冰冻单颗暂存盒")),AND(F285=4,NOT(OR(D285="单颗暂存盒",D285="数字冰冻单颗暂存盒")))),IF(OR(D285="数字盖盒",D285="数字冰冻盒",D285="数字冰冻单颗暂存盒"),AND(H285&gt;=1,H285=INT(H285)),H285=0),IF(B285="开局",AND(IF(OR(D285="数字盖盒",D285="普通冰冻盒",D285="数字冰冻盒",D285="炸弹盒",D285="底部置顶盒"),OR(G285=3,G285=4),TRUE),IF(OR(D285="单向收纳盒",D285="单颗暂存盒",D285="数字冰冻单颗暂存盒"),OR(G285=0,G285=1),TRUE),IF(OR(D285="固定颜色盒",D285="广告锁定周转盒"),G285=0,TRUE)),TRUE)),"通过","需调整")</ns0:f>
        <ns0:v>通过</ns0:v>
      </ns0:c>
      <ns0:c r="P285" s="147" t="str">
        <ns0:v>指定口味综合高点</ns0:v>
      </ns0:c>
      <ns0:c r="Q285" s="147" t="str">
        <ns0:v>层序见本关首组；按盒序固定</ns0:v>
      </ns0:c>
      <ns0:c r="R285" s="150" t="n">
        <ns0:f>E285*H285</ns0:f>
        <ns0:v>0</ns0:v>
      </ns0:c>
    </ns0:row>
    <ns0:row r="286" ht="21" customHeight="1">
      <ns0:c r="A286" s="149" t="n">
        <ns0:v>49</ns0:v>
      </ns0:c>
      <ns0:c r="B286" s="145" t="str">
        <ns0:v>开局</ns0:v>
      </ns0:c>
      <ns0:c r="C286" s="145" t="str">
        <ns0:v>W049-07</ns0:v>
      </ns0:c>
      <ns0:c r="D286" s="145" t="str">
        <ns0:v>广告锁定周转盒</ns0:v>
      </ns0:c>
      <ns0:c r="E286" s="152" t="n">
        <ns0:v>2</ns0:v>
      </ns0:c>
      <ns0:c r="F286" s="152" t="n">
        <ns0:v>4</ns0:v>
      </ns0:c>
      <ns0:c r="G286" s="152" t="n">
        <ns0:v>0</ns0:v>
      </ns0:c>
      <ns0:c r="H286" s="152" t="n">
        <ns0:v>0</ns0:v>
      </ns0:c>
      <ns0:c r="I286" s="149" t="n">
        <ns0:f>E286*G286</ns0:f>
        <ns0:v>0</ns0:v>
      </ns0:c>
      <ns0:c r="J286" s="149" t="n">
        <ns0:f>E286*(F286-G286)</ns0:f>
        <ns0:v>8</ns0:v>
      </ns0:c>
      <ns0:c r="K286" s="149" t="n">
        <ns0:f>IF(AND(B286="开局",G286=0,OR(D286="普通盒",D286="单颗暂存盒")),J286,0)</ns0:f>
        <ns0:v>0</ns0:v>
      </ns0:c>
      <ns0:c r="L286" s="149" t="n">
        <ns0:f>IF(AND(B286="开局",G286&gt;0,OR(D286="普通盒",D286="底部置顶盒",D286="炸弹盒")),J286,0)</ns0:f>
        <ns0:v>0</ns0:v>
      </ns0:c>
      <ns0:c r="M286" s="149" t="n">
        <ns0:f>IF(AND(B286="开局",OR(D286="固定颜色盒",D286="单向收纳盒")),J286,0)</ns0:f>
        <ns0:v>0</ns0:v>
      </ns0:c>
      <ns0:c r="N286" s="149" t="n">
        <ns0:f>IF(AND(B286="开局",OR(D286="数字盖盒",D286="普通冰冻盒",D286="数字冰冻盒",D286="数字冰冻单颗暂存盒")),J286,0)</ns0:f>
        <ns0:v>0</ns0:v>
      </ns0:c>
      <ns0:c r="O286" s="145" t="str">
        <ns0:f>IF(AND(E286&gt;0,E286=INT(E286),G286&gt;=0,G286&lt;=F286,G286=INT(G286),OR(AND(F286=1,OR(D286="单颗暂存盒",D286="数字冰冻单颗暂存盒")),AND(F286=4,NOT(OR(D286="单颗暂存盒",D286="数字冰冻单颗暂存盒")))),IF(OR(D286="数字盖盒",D286="数字冰冻盒",D286="数字冰冻单颗暂存盒"),AND(H286&gt;=1,H286=INT(H286)),H286=0),IF(B286="开局",AND(IF(OR(D286="数字盖盒",D286="普通冰冻盒",D286="数字冰冻盒",D286="炸弹盒",D286="底部置顶盒"),OR(G286=3,G286=4),TRUE),IF(OR(D286="单向收纳盒",D286="单颗暂存盒",D286="数字冰冻单颗暂存盒"),OR(G286=0,G286=1),TRUE),IF(OR(D286="固定颜色盒",D286="广告锁定周转盒"),G286=0,TRUE)),TRUE)),"通过","需调整")</ns0:f>
        <ns0:v>通过</ns0:v>
      </ns0:c>
      <ns0:c r="P286" s="145" t="str">
        <ns0:v>指定口味综合高点</ns0:v>
      </ns0:c>
      <ns0:c r="Q286" s="145" t="str">
        <ns0:v>层序见本关首组；按盒序固定</ns0:v>
      </ns0:c>
      <ns0:c r="R286" s="149" t="n">
        <ns0:f>E286*H286</ns0:f>
        <ns0:v>0</ns0:v>
      </ns0:c>
    </ns0:row>
    <ns0:row r="287" ht="21" customHeight="1">
      <ns0:c r="A287" s="150" t="n">
        <ns0:v>50</ns0:v>
      </ns0:c>
      <ns0:c r="B287" s="147" t="str">
        <ns0:v>开局</ns0:v>
      </ns0:c>
      <ns0:c r="C287" s="147" t="str">
        <ns0:v>W050-01</ns0:v>
      </ns0:c>
      <ns0:c r="D287" s="147" t="str">
        <ns0:v>普通盒</ns0:v>
      </ns0:c>
      <ns0:c r="E287" s="152" t="n">
        <ns0:v>13</ns0:v>
      </ns0:c>
      <ns0:c r="F287" s="152" t="n">
        <ns0:v>4</ns0:v>
      </ns0:c>
      <ns0:c r="G287" s="152" t="n">
        <ns0:v>4</ns0:v>
      </ns0:c>
      <ns0:c r="H287" s="152" t="n">
        <ns0:v>0</ns0:v>
      </ns0:c>
      <ns0:c r="I287" s="150" t="n">
        <ns0:f>E287*G287</ns0:f>
        <ns0:v>52</ns0:v>
      </ns0:c>
      <ns0:c r="J287" s="150" t="n">
        <ns0:f>E287*(F287-G287)</ns0:f>
        <ns0:v>0</ns0:v>
      </ns0:c>
      <ns0:c r="K287" s="150" t="n">
        <ns0:f>IF(AND(B287="开局",G287=0,OR(D287="普通盒",D287="单颗暂存盒")),J287,0)</ns0:f>
        <ns0:v>0</ns0:v>
      </ns0:c>
      <ns0:c r="L287" s="150" t="n">
        <ns0:f>IF(AND(B287="开局",G287&gt;0,OR(D287="普通盒",D287="底部置顶盒",D287="炸弹盒")),J287,0)</ns0:f>
        <ns0:v>0</ns0:v>
      </ns0:c>
      <ns0:c r="M287" s="150" t="n">
        <ns0:f>IF(AND(B287="开局",OR(D287="固定颜色盒",D287="单向收纳盒")),J287,0)</ns0:f>
        <ns0:v>0</ns0:v>
      </ns0:c>
      <ns0:c r="N287" s="150" t="n">
        <ns0:f>IF(AND(B287="开局",OR(D287="数字盖盒",D287="普通冰冻盒",D287="数字冰冻盒",D287="数字冰冻单颗暂存盒")),J287,0)</ns0:f>
        <ns0:v>0</ns0:v>
      </ns0:c>
      <ns0:c r="O287" s="147" t="str">
        <ns0:f>IF(AND(E287&gt;0,E287=INT(E287),G287&gt;=0,G287&lt;=F287,G287=INT(G287),OR(AND(F287=1,OR(D287="单颗暂存盒",D287="数字冰冻单颗暂存盒")),AND(F287=4,NOT(OR(D287="单颗暂存盒",D287="数字冰冻单颗暂存盒")))),IF(OR(D287="数字盖盒",D287="数字冰冻盒",D287="数字冰冻单颗暂存盒"),AND(H287&gt;=1,H287=INT(H287)),H287=0),IF(B287="开局",AND(IF(OR(D287="数字盖盒",D287="普通冰冻盒",D287="数字冰冻盒",D287="炸弹盒",D287="底部置顶盒"),OR(G287=3,G287=4),TRUE),IF(OR(D287="单向收纳盒",D287="单颗暂存盒",D287="数字冰冻单颗暂存盒"),OR(G287=0,G287=1),TRUE),IF(OR(D287="固定颜色盒",D287="广告锁定周转盒"),G287=0,TRUE)),TRUE)),"通过","需调整")</ns0:f>
        <ns0:v>通过</ns0:v>
      </ns0:c>
      <ns0:c r="P287" s="147" t="str">
        <ns0:v>明牌整理收束</ns0:v>
      </ns0:c>
      <ns0:c r="Q287" s="147" t="str">
        <ns0:v>层序JSON:{"reference":"已确认的41–50关方案；第50关：明牌整理收束；固定层序与订单，非参考小游戏逐关复刻","slots":[{"group_id":"W050-01","layers":[5,3,4,8]},{"group_id":"W050-01","layers":[5,4,5,2]},{"group_id":"W050-01","layers":[3,5,5,3]},{"group_id":"W050-01","layers":[0,8,8,0]},{"group_id":"W050-03","layers":[8,6]},{"group_id":"W050-02","layers":[8,12,6]},{"group_id":"W050-01","layers":[0,2,2,0]},{"group_id":"W050-01","layers":[2,0,12,5]},{"group_id":"W050-01","layers":[5,8,0,4]},{"group_id":"W050-05","layers":[6,8,6,8]},{"group_id":"W050-01","layers":[5,2,6,5]},{"group_id":"W050-01","layers":[8,0,12,3]},{"group_id":"W050-02","layers":[5,2,3]},{"group_id":"W050-01","layers":[8,6,3,12]},{"group_id":"W050-01","layers":[8,3,5,0]},{"group_id":"W050-01","layers":[5,3,4,6]},{"group_id":"W050-01","layers":[2,2,8,6]},{"group_id":"W050-04","layers":[]},{"group_id":"W050-06","layers":[],"fixed_flavor":3}],"stock":[],"demand_sequences":[[5,6,12,8,5,3,2,8],[3,0,8,0,6,2,4,5]]}</ns0:v>
      </ns0:c>
      <ns0:c r="R287" s="150" t="n">
        <ns0:f>E287*H287</ns0:f>
        <ns0:v>0</ns0:v>
      </ns0:c>
    </ns0:row>
    <ns0:row r="288" ht="21" customHeight="1">
      <ns0:c r="A288" s="149" t="n">
        <ns0:v>50</ns0:v>
      </ns0:c>
      <ns0:c r="B288" s="145" t="str">
        <ns0:v>开局</ns0:v>
      </ns0:c>
      <ns0:c r="C288" s="145" t="str">
        <ns0:v>W050-02</ns0:v>
      </ns0:c>
      <ns0:c r="D288" s="145" t="str">
        <ns0:v>普通盒</ns0:v>
      </ns0:c>
      <ns0:c r="E288" s="152" t="n">
        <ns0:v>2</ns0:v>
      </ns0:c>
      <ns0:c r="F288" s="152" t="n">
        <ns0:v>4</ns0:v>
      </ns0:c>
      <ns0:c r="G288" s="152" t="n">
        <ns0:v>3</ns0:v>
      </ns0:c>
      <ns0:c r="H288" s="152" t="n">
        <ns0:v>0</ns0:v>
      </ns0:c>
      <ns0:c r="I288" s="149" t="n">
        <ns0:f>E288*G288</ns0:f>
        <ns0:v>6</ns0:v>
      </ns0:c>
      <ns0:c r="J288" s="149" t="n">
        <ns0:f>E288*(F288-G288)</ns0:f>
        <ns0:v>2</ns0:v>
      </ns0:c>
      <ns0:c r="K288" s="149" t="n">
        <ns0:f>IF(AND(B288="开局",G288=0,OR(D288="普通盒",D288="单颗暂存盒")),J288,0)</ns0:f>
        <ns0:v>0</ns0:v>
      </ns0:c>
      <ns0:c r="L288" s="149" t="n">
        <ns0:f>IF(AND(B288="开局",G288&gt;0,OR(D288="普通盒",D288="底部置顶盒",D288="炸弹盒")),J288,0)</ns0:f>
        <ns0:v>2</ns0:v>
      </ns0:c>
      <ns0:c r="M288" s="149" t="n">
        <ns0:f>IF(AND(B288="开局",OR(D288="固定颜色盒",D288="单向收纳盒")),J288,0)</ns0:f>
        <ns0:v>0</ns0:v>
      </ns0:c>
      <ns0:c r="N288" s="149" t="n">
        <ns0:f>IF(AND(B288="开局",OR(D288="数字盖盒",D288="普通冰冻盒",D288="数字冰冻盒",D288="数字冰冻单颗暂存盒")),J288,0)</ns0:f>
        <ns0:v>0</ns0:v>
      </ns0:c>
      <ns0:c r="O288" s="145" t="str">
        <ns0:f>IF(AND(E288&gt;0,E288=INT(E288),G288&gt;=0,G288&lt;=F288,G288=INT(G288),OR(AND(F288=1,OR(D288="单颗暂存盒",D288="数字冰冻单颗暂存盒")),AND(F288=4,NOT(OR(D288="单颗暂存盒",D288="数字冰冻单颗暂存盒")))),IF(OR(D288="数字盖盒",D288="数字冰冻盒",D288="数字冰冻单颗暂存盒"),AND(H288&gt;=1,H288=INT(H288)),H288=0),IF(B288="开局",AND(IF(OR(D288="数字盖盒",D288="普通冰冻盒",D288="数字冰冻盒",D288="炸弹盒",D288="底部置顶盒"),OR(G288=3,G288=4),TRUE),IF(OR(D288="单向收纳盒",D288="单颗暂存盒",D288="数字冰冻单颗暂存盒"),OR(G288=0,G288=1),TRUE),IF(OR(D288="固定颜色盒",D288="广告锁定周转盒"),G288=0,TRUE)),TRUE)),"通过","需调整")</ns0:f>
        <ns0:v>通过</ns0:v>
      </ns0:c>
      <ns0:c r="P288" s="145" t="str">
        <ns0:v>明牌整理收束</ns0:v>
      </ns0:c>
      <ns0:c r="Q288" s="145" t="str">
        <ns0:v>层序见本关首组；按盒序固定</ns0:v>
      </ns0:c>
      <ns0:c r="R288" s="149" t="n">
        <ns0:f>E288*H288</ns0:f>
        <ns0:v>0</ns0:v>
      </ns0:c>
    </ns0:row>
    <ns0:row r="289" ht="21" customHeight="1">
      <ns0:c r="A289" s="150" t="n">
        <ns0:v>50</ns0:v>
      </ns0:c>
      <ns0:c r="B289" s="147" t="str">
        <ns0:v>开局</ns0:v>
      </ns0:c>
      <ns0:c r="C289" s="147" t="str">
        <ns0:v>W050-03</ns0:v>
      </ns0:c>
      <ns0:c r="D289" s="147" t="str">
        <ns0:v>普通盒</ns0:v>
      </ns0:c>
      <ns0:c r="E289" s="152" t="n">
        <ns0:v>1</ns0:v>
      </ns0:c>
      <ns0:c r="F289" s="152" t="n">
        <ns0:v>4</ns0:v>
      </ns0:c>
      <ns0:c r="G289" s="152" t="n">
        <ns0:v>2</ns0:v>
      </ns0:c>
      <ns0:c r="H289" s="152" t="n">
        <ns0:v>0</ns0:v>
      </ns0:c>
      <ns0:c r="I289" s="150" t="n">
        <ns0:f>E289*G289</ns0:f>
        <ns0:v>2</ns0:v>
      </ns0:c>
      <ns0:c r="J289" s="150" t="n">
        <ns0:f>E289*(F289-G289)</ns0:f>
        <ns0:v>2</ns0:v>
      </ns0:c>
      <ns0:c r="K289" s="150" t="n">
        <ns0:f>IF(AND(B289="开局",G289=0,OR(D289="普通盒",D289="单颗暂存盒")),J289,0)</ns0:f>
        <ns0:v>0</ns0:v>
      </ns0:c>
      <ns0:c r="L289" s="150" t="n">
        <ns0:f>IF(AND(B289="开局",G289&gt;0,OR(D289="普通盒",D289="底部置顶盒",D289="炸弹盒")),J289,0)</ns0:f>
        <ns0:v>2</ns0:v>
      </ns0:c>
      <ns0:c r="M289" s="150" t="n">
        <ns0:f>IF(AND(B289="开局",OR(D289="固定颜色盒",D289="单向收纳盒")),J289,0)</ns0:f>
        <ns0:v>0</ns0:v>
      </ns0:c>
      <ns0:c r="N289" s="150" t="n">
        <ns0:f>IF(AND(B289="开局",OR(D289="数字盖盒",D289="普通冰冻盒",D289="数字冰冻盒",D289="数字冰冻单颗暂存盒")),J289,0)</ns0:f>
        <ns0:v>0</ns0:v>
      </ns0:c>
      <ns0:c r="O289" s="147" t="str">
        <ns0:f>IF(AND(E289&gt;0,E289=INT(E289),G289&gt;=0,G289&lt;=F289,G289=INT(G289),OR(AND(F289=1,OR(D289="单颗暂存盒",D289="数字冰冻单颗暂存盒")),AND(F289=4,NOT(OR(D289="单颗暂存盒",D289="数字冰冻单颗暂存盒")))),IF(OR(D289="数字盖盒",D289="数字冰冻盒",D289="数字冰冻单颗暂存盒"),AND(H289&gt;=1,H289=INT(H289)),H289=0),IF(B289="开局",AND(IF(OR(D289="数字盖盒",D289="普通冰冻盒",D289="数字冰冻盒",D289="炸弹盒",D289="底部置顶盒"),OR(G289=3,G289=4),TRUE),IF(OR(D289="单向收纳盒",D289="单颗暂存盒",D289="数字冰冻单颗暂存盒"),OR(G289=0,G289=1),TRUE),IF(OR(D289="固定颜色盒",D289="广告锁定周转盒"),G289=0,TRUE)),TRUE)),"通过","需调整")</ns0:f>
        <ns0:v>通过</ns0:v>
      </ns0:c>
      <ns0:c r="P289" s="147" t="str">
        <ns0:v>明牌整理收束</ns0:v>
      </ns0:c>
      <ns0:c r="Q289" s="147" t="str">
        <ns0:v>层序见本关首组；按盒序固定</ns0:v>
      </ns0:c>
      <ns0:c r="R289" s="150" t="n">
        <ns0:f>E289*H289</ns0:f>
        <ns0:v>0</ns0:v>
      </ns0:c>
    </ns0:row>
    <ns0:row r="290" ht="21" customHeight="1">
      <ns0:c r="A290" s="149" t="n">
        <ns0:v>50</ns0:v>
      </ns0:c>
      <ns0:c r="B290" s="145" t="str">
        <ns0:v>开局</ns0:v>
      </ns0:c>
      <ns0:c r="C290" s="145" t="str">
        <ns0:v>W050-04</ns0:v>
      </ns0:c>
      <ns0:c r="D290" s="145" t="str">
        <ns0:v>普通盒</ns0:v>
      </ns0:c>
      <ns0:c r="E290" s="152" t="n">
        <ns0:v>1</ns0:v>
      </ns0:c>
      <ns0:c r="F290" s="152" t="n">
        <ns0:v>4</ns0:v>
      </ns0:c>
      <ns0:c r="G290" s="152" t="n">
        <ns0:v>0</ns0:v>
      </ns0:c>
      <ns0:c r="H290" s="152" t="n">
        <ns0:v>0</ns0:v>
      </ns0:c>
      <ns0:c r="I290" s="149" t="n">
        <ns0:f>E290*G290</ns0:f>
        <ns0:v>0</ns0:v>
      </ns0:c>
      <ns0:c r="J290" s="149" t="n">
        <ns0:f>E290*(F290-G290)</ns0:f>
        <ns0:v>4</ns0:v>
      </ns0:c>
      <ns0:c r="K290" s="149" t="n">
        <ns0:f>IF(AND(B290="开局",G290=0,OR(D290="普通盒",D290="单颗暂存盒")),J290,0)</ns0:f>
        <ns0:v>4</ns0:v>
      </ns0:c>
      <ns0:c r="L290" s="149" t="n">
        <ns0:f>IF(AND(B290="开局",G290&gt;0,OR(D290="普通盒",D290="底部置顶盒",D290="炸弹盒")),J290,0)</ns0:f>
        <ns0:v>0</ns0:v>
      </ns0:c>
      <ns0:c r="M290" s="149" t="n">
        <ns0:f>IF(AND(B290="开局",OR(D290="固定颜色盒",D290="单向收纳盒")),J290,0)</ns0:f>
        <ns0:v>0</ns0:v>
      </ns0:c>
      <ns0:c r="N290" s="149" t="n">
        <ns0:f>IF(AND(B290="开局",OR(D290="数字盖盒",D290="普通冰冻盒",D290="数字冰冻盒",D290="数字冰冻单颗暂存盒")),J290,0)</ns0:f>
        <ns0:v>0</ns0:v>
      </ns0:c>
      <ns0:c r="O290" s="145" t="str">
        <ns0:f>IF(AND(E290&gt;0,E290=INT(E290),G290&gt;=0,G290&lt;=F290,G290=INT(G290),OR(AND(F290=1,OR(D290="单颗暂存盒",D290="数字冰冻单颗暂存盒")),AND(F290=4,NOT(OR(D290="单颗暂存盒",D290="数字冰冻单颗暂存盒")))),IF(OR(D290="数字盖盒",D290="数字冰冻盒",D290="数字冰冻单颗暂存盒"),AND(H290&gt;=1,H290=INT(H290)),H290=0),IF(B290="开局",AND(IF(OR(D290="数字盖盒",D290="普通冰冻盒",D290="数字冰冻盒",D290="炸弹盒",D290="底部置顶盒"),OR(G290=3,G290=4),TRUE),IF(OR(D290="单向收纳盒",D290="单颗暂存盒",D290="数字冰冻单颗暂存盒"),OR(G290=0,G290=1),TRUE),IF(OR(D290="固定颜色盒",D290="广告锁定周转盒"),G290=0,TRUE)),TRUE)),"通过","需调整")</ns0:f>
        <ns0:v>通过</ns0:v>
      </ns0:c>
      <ns0:c r="P290" s="145" t="str">
        <ns0:v>明牌整理收束</ns0:v>
      </ns0:c>
      <ns0:c r="Q290" s="145" t="str">
        <ns0:v>层序见本关首组；按盒序固定</ns0:v>
      </ns0:c>
      <ns0:c r="R290" s="149" t="n">
        <ns0:f>E290*H290</ns0:f>
        <ns0:v>0</ns0:v>
      </ns0:c>
    </ns0:row>
    <ns0:row r="291" ht="21" customHeight="1">
      <ns0:c r="A291" s="150" t="n">
        <ns0:v>50</ns0:v>
      </ns0:c>
      <ns0:c r="B291" s="147" t="str">
        <ns0:v>开局</ns0:v>
      </ns0:c>
      <ns0:c r="C291" s="147" t="str">
        <ns0:v>W050-05</ns0:v>
      </ns0:c>
      <ns0:c r="D291" s="147" t="str">
        <ns0:v>普通冰冻盒</ns0:v>
      </ns0:c>
      <ns0:c r="E291" s="152" t="n">
        <ns0:v>1</ns0:v>
      </ns0:c>
      <ns0:c r="F291" s="152" t="n">
        <ns0:v>4</ns0:v>
      </ns0:c>
      <ns0:c r="G291" s="152" t="n">
        <ns0:v>4</ns0:v>
      </ns0:c>
      <ns0:c r="H291" s="152" t="n">
        <ns0:v>0</ns0:v>
      </ns0:c>
      <ns0:c r="I291" s="150" t="n">
        <ns0:f>E291*G291</ns0:f>
        <ns0:v>4</ns0:v>
      </ns0:c>
      <ns0:c r="J291" s="150" t="n">
        <ns0:f>E291*(F291-G291)</ns0:f>
        <ns0:v>0</ns0:v>
      </ns0:c>
      <ns0:c r="K291" s="150" t="n">
        <ns0:f>IF(AND(B291="开局",G291=0,OR(D291="普通盒",D291="单颗暂存盒")),J291,0)</ns0:f>
        <ns0:v>0</ns0:v>
      </ns0:c>
      <ns0:c r="L291" s="150" t="n">
        <ns0:f>IF(AND(B291="开局",G291&gt;0,OR(D291="普通盒",D291="底部置顶盒",D291="炸弹盒")),J291,0)</ns0:f>
        <ns0:v>0</ns0:v>
      </ns0:c>
      <ns0:c r="M291" s="150" t="n">
        <ns0:f>IF(AND(B291="开局",OR(D291="固定颜色盒",D291="单向收纳盒")),J291,0)</ns0:f>
        <ns0:v>0</ns0:v>
      </ns0:c>
      <ns0:c r="N291" s="150" t="n">
        <ns0:f>IF(AND(B291="开局",OR(D291="数字盖盒",D291="普通冰冻盒",D291="数字冰冻盒",D291="数字冰冻单颗暂存盒")),J291,0)</ns0:f>
        <ns0:v>0</ns0:v>
      </ns0:c>
      <ns0:c r="O291" s="147" t="str">
        <ns0:f>IF(AND(E291&gt;0,E291=INT(E291),G291&gt;=0,G291&lt;=F291,G291=INT(G291),OR(AND(F291=1,OR(D291="单颗暂存盒",D291="数字冰冻单颗暂存盒")),AND(F291=4,NOT(OR(D291="单颗暂存盒",D291="数字冰冻单颗暂存盒")))),IF(OR(D291="数字盖盒",D291="数字冰冻盒",D291="数字冰冻单颗暂存盒"),AND(H291&gt;=1,H291=INT(H291)),H291=0),IF(B291="开局",AND(IF(OR(D291="数字盖盒",D291="普通冰冻盒",D291="数字冰冻盒",D291="炸弹盒",D291="底部置顶盒"),OR(G291=3,G291=4),TRUE),IF(OR(D291="单向收纳盒",D291="单颗暂存盒",D291="数字冰冻单颗暂存盒"),OR(G291=0,G291=1),TRUE),IF(OR(D291="固定颜色盒",D291="广告锁定周转盒"),G291=0,TRUE)),TRUE)),"通过","需调整")</ns0:f>
        <ns0:v>通过</ns0:v>
      </ns0:c>
      <ns0:c r="P291" s="147" t="str">
        <ns0:v>明牌整理收束</ns0:v>
      </ns0:c>
      <ns0:c r="Q291" s="147" t="str">
        <ns0:v>层序见本关首组；按盒序固定</ns0:v>
      </ns0:c>
      <ns0:c r="R291" s="150" t="n">
        <ns0:f>E291*H291</ns0:f>
        <ns0:v>0</ns0:v>
      </ns0:c>
    </ns0:row>
    <ns0:row r="292" ht="21" customHeight="1">
      <ns0:c r="A292" s="149" t="n">
        <ns0:v>50</ns0:v>
      </ns0:c>
      <ns0:c r="B292" s="145" t="str">
        <ns0:v>开局</ns0:v>
      </ns0:c>
      <ns0:c r="C292" s="145" t="str">
        <ns0:v>W050-06</ns0:v>
      </ns0:c>
      <ns0:c r="D292" s="145" t="str">
        <ns0:v>固定颜色盒</ns0:v>
      </ns0:c>
      <ns0:c r="E292" s="152" t="n">
        <ns0:v>1</ns0:v>
      </ns0:c>
      <ns0:c r="F292" s="152" t="n">
        <ns0:v>4</ns0:v>
      </ns0:c>
      <ns0:c r="G292" s="152" t="n">
        <ns0:v>0</ns0:v>
      </ns0:c>
      <ns0:c r="H292" s="152" t="n">
        <ns0:v>0</ns0:v>
      </ns0:c>
      <ns0:c r="I292" s="149" t="n">
        <ns0:f>E292*G292</ns0:f>
        <ns0:v>0</ns0:v>
      </ns0:c>
      <ns0:c r="J292" s="149" t="n">
        <ns0:f>E292*(F292-G292)</ns0:f>
        <ns0:v>4</ns0:v>
      </ns0:c>
      <ns0:c r="K292" s="149" t="n">
        <ns0:f>IF(AND(B292="开局",G292=0,OR(D292="普通盒",D292="单颗暂存盒")),J292,0)</ns0:f>
        <ns0:v>0</ns0:v>
      </ns0:c>
      <ns0:c r="L292" s="149" t="n">
        <ns0:f>IF(AND(B292="开局",G292&gt;0,OR(D292="普通盒",D292="底部置顶盒",D292="炸弹盒")),J292,0)</ns0:f>
        <ns0:v>0</ns0:v>
      </ns0:c>
      <ns0:c r="M292" s="149" t="n">
        <ns0:f>IF(AND(B292="开局",OR(D292="固定颜色盒",D292="单向收纳盒")),J292,0)</ns0:f>
        <ns0:v>4</ns0:v>
      </ns0:c>
      <ns0:c r="N292" s="149" t="n">
        <ns0:f>IF(AND(B292="开局",OR(D292="数字盖盒",D292="普通冰冻盒",D292="数字冰冻盒",D292="数字冰冻单颗暂存盒")),J292,0)</ns0:f>
        <ns0:v>0</ns0:v>
      </ns0:c>
      <ns0:c r="O292" s="145" t="str">
        <ns0:f>IF(AND(E292&gt;0,E292=INT(E292),G292&gt;=0,G292&lt;=F292,G292=INT(G292),OR(AND(F292=1,OR(D292="单颗暂存盒",D292="数字冰冻单颗暂存盒")),AND(F292=4,NOT(OR(D292="单颗暂存盒",D292="数字冰冻单颗暂存盒")))),IF(OR(D292="数字盖盒",D292="数字冰冻盒",D292="数字冰冻单颗暂存盒"),AND(H292&gt;=1,H292=INT(H292)),H292=0),IF(B292="开局",AND(IF(OR(D292="数字盖盒",D292="普通冰冻盒",D292="数字冰冻盒",D292="炸弹盒",D292="底部置顶盒"),OR(G292=3,G292=4),TRUE),IF(OR(D292="单向收纳盒",D292="单颗暂存盒",D292="数字冰冻单颗暂存盒"),OR(G292=0,G292=1),TRUE),IF(OR(D292="固定颜色盒",D292="广告锁定周转盒"),G292=0,TRUE)),TRUE)),"通过","需调整")</ns0:f>
        <ns0:v>通过</ns0:v>
      </ns0:c>
      <ns0:c r="P292" s="145" t="str">
        <ns0:v>明牌整理收束</ns0:v>
      </ns0:c>
      <ns0:c r="Q292" s="145" t="str">
        <ns0:v>层序见本关首组；按盒序固定</ns0:v>
      </ns0:c>
      <ns0:c r="R292" s="149" t="n">
        <ns0:f>E292*H292</ns0:f>
        <ns0:v>0</ns0:v>
      </ns0:c>
    </ns0:row>
    <ns0:row r="293" ht="21" customHeight="1">
      <ns0:c r="A293" s="150" t="n">
        <ns0:v>50</ns0:v>
      </ns0:c>
      <ns0:c r="B293" s="147" t="str">
        <ns0:v>开局</ns0:v>
      </ns0:c>
      <ns0:c r="C293" s="147" t="str">
        <ns0:v>W050-07</ns0:v>
      </ns0:c>
      <ns0:c r="D293" s="147" t="str">
        <ns0:v>广告锁定周转盒</ns0:v>
      </ns0:c>
      <ns0:c r="E293" s="152" t="n">
        <ns0:v>2</ns0:v>
      </ns0:c>
      <ns0:c r="F293" s="152" t="n">
        <ns0:v>4</ns0:v>
      </ns0:c>
      <ns0:c r="G293" s="152" t="n">
        <ns0:v>0</ns0:v>
      </ns0:c>
      <ns0:c r="H293" s="152" t="n">
        <ns0:v>0</ns0:v>
      </ns0:c>
      <ns0:c r="I293" s="150" t="n">
        <ns0:f>E293*G293</ns0:f>
        <ns0:v>0</ns0:v>
      </ns0:c>
      <ns0:c r="J293" s="150" t="n">
        <ns0:f>E293*(F293-G293)</ns0:f>
        <ns0:v>8</ns0:v>
      </ns0:c>
      <ns0:c r="K293" s="150" t="n">
        <ns0:f>IF(AND(B293="开局",G293=0,OR(D293="普通盒",D293="单颗暂存盒")),J293,0)</ns0:f>
        <ns0:v>0</ns0:v>
      </ns0:c>
      <ns0:c r="L293" s="150" t="n">
        <ns0:f>IF(AND(B293="开局",G293&gt;0,OR(D293="普通盒",D293="底部置顶盒",D293="炸弹盒")),J293,0)</ns0:f>
        <ns0:v>0</ns0:v>
      </ns0:c>
      <ns0:c r="M293" s="150" t="n">
        <ns0:f>IF(AND(B293="开局",OR(D293="固定颜色盒",D293="单向收纳盒")),J293,0)</ns0:f>
        <ns0:v>0</ns0:v>
      </ns0:c>
      <ns0:c r="N293" s="150" t="n">
        <ns0:f>IF(AND(B293="开局",OR(D293="数字盖盒",D293="普通冰冻盒",D293="数字冰冻盒",D293="数字冰冻单颗暂存盒")),J293,0)</ns0:f>
        <ns0:v>0</ns0:v>
      </ns0:c>
      <ns0:c r="O293" s="147" t="str">
        <ns0:f>IF(AND(E293&gt;0,E293=INT(E293),G293&gt;=0,G293&lt;=F293,G293=INT(G293),OR(AND(F293=1,OR(D293="单颗暂存盒",D293="数字冰冻单颗暂存盒")),AND(F293=4,NOT(OR(D293="单颗暂存盒",D293="数字冰冻单颗暂存盒")))),IF(OR(D293="数字盖盒",D293="数字冰冻盒",D293="数字冰冻单颗暂存盒"),AND(H293&gt;=1,H293=INT(H293)),H293=0),IF(B293="开局",AND(IF(OR(D293="数字盖盒",D293="普通冰冻盒",D293="数字冰冻盒",D293="炸弹盒",D293="底部置顶盒"),OR(G293=3,G293=4),TRUE),IF(OR(D293="单向收纳盒",D293="单颗暂存盒",D293="数字冰冻单颗暂存盒"),OR(G293=0,G293=1),TRUE),IF(OR(D293="固定颜色盒",D293="广告锁定周转盒"),G293=0,TRUE)),TRUE)),"通过","需调整")</ns0:f>
        <ns0:v>通过</ns0:v>
      </ns0:c>
      <ns0:c r="P293" s="147" t="str">
        <ns0:v>明牌整理收束</ns0:v>
      </ns0:c>
      <ns0:c r="Q293" s="147" t="str">
        <ns0:v>层序见本关首组；按盒序固定</ns0:v>
      </ns0:c>
      <ns0:c r="R293" s="150" t="n">
        <ns0:f>E293*H293</ns0:f>
        <ns0:v>0</ns0:v>
      </ns0:c>
    </ns0:row>
    <ns0:row r="294" ht="21" customHeight="1">
      <ns0:c r="A294" s="149"/>
      <ns0:c r="B294" s="145"/>
      <ns0:c r="C294" s="145"/>
      <ns0:c r="D294" s="145"/>
      <ns0:c r="E294" s="152"/>
      <ns0:c r="F294" s="152"/>
      <ns0:c r="G294" s="152"/>
      <ns0:c r="H294" s="152"/>
      <ns0:c r="I294" s="149"/>
      <ns0:c r="J294" s="149"/>
      <ns0:c r="K294" s="149"/>
      <ns0:c r="L294" s="149"/>
      <ns0:c r="M294" s="149"/>
      <ns0:c r="N294" s="149"/>
      <ns0:c r="O294" s="145"/>
      <ns0:c r="P294" s="145"/>
      <ns0:c r="Q294" s="145"/>
      <ns0:c r="R294" s="149"/>
    </ns0:row>
    <ns0:row r="295" ht="21" customHeight="1">
      <ns0:c r="A295" s="150"/>
      <ns0:c r="B295" s="147"/>
      <ns0:c r="C295" s="147"/>
      <ns0:c r="D295" s="147"/>
      <ns0:c r="E295" s="152"/>
      <ns0:c r="F295" s="152"/>
      <ns0:c r="G295" s="152"/>
      <ns0:c r="H295" s="152"/>
      <ns0:c r="I295" s="150"/>
      <ns0:c r="J295" s="150"/>
      <ns0:c r="K295" s="150"/>
      <ns0:c r="L295" s="150"/>
      <ns0:c r="M295" s="150"/>
      <ns0:c r="N295" s="150"/>
      <ns0:c r="O295" s="147"/>
      <ns0:c r="P295" s="147"/>
      <ns0:c r="Q295" s="147"/>
      <ns0:c r="R295" s="150"/>
    </ns0:row>
    <ns0:row r="296" ht="21" customHeight="1">
      <ns0:c r="A296" s="149"/>
      <ns0:c r="B296" s="145"/>
      <ns0:c r="C296" s="145"/>
      <ns0:c r="D296" s="145"/>
      <ns0:c r="E296" s="152"/>
      <ns0:c r="F296" s="152"/>
      <ns0:c r="G296" s="152"/>
      <ns0:c r="H296" s="152"/>
      <ns0:c r="I296" s="149"/>
      <ns0:c r="J296" s="149"/>
      <ns0:c r="K296" s="149"/>
      <ns0:c r="L296" s="149"/>
      <ns0:c r="M296" s="149"/>
      <ns0:c r="N296" s="149"/>
      <ns0:c r="O296" s="145"/>
      <ns0:c r="P296" s="145"/>
      <ns0:c r="Q296" s="145"/>
      <ns0:c r="R296" s="149"/>
    </ns0:row>
    <ns0:row r="297" ht="21" customHeight="1">
      <ns0:c r="A297" s="150"/>
      <ns0:c r="B297" s="147"/>
      <ns0:c r="C297" s="147"/>
      <ns0:c r="D297" s="147"/>
      <ns0:c r="E297" s="152"/>
      <ns0:c r="F297" s="152"/>
      <ns0:c r="G297" s="152"/>
      <ns0:c r="H297" s="152"/>
      <ns0:c r="I297" s="150"/>
      <ns0:c r="J297" s="150"/>
      <ns0:c r="K297" s="150"/>
      <ns0:c r="L297" s="150"/>
      <ns0:c r="M297" s="150"/>
      <ns0:c r="N297" s="150"/>
      <ns0:c r="O297" s="147"/>
      <ns0:c r="P297" s="147"/>
      <ns0:c r="Q297" s="147"/>
      <ns0:c r="R297" s="150"/>
    </ns0:row>
    <ns0:row r="298" ht="21" customHeight="1">
      <ns0:c r="A298" s="149"/>
      <ns0:c r="B298" s="145"/>
      <ns0:c r="C298" s="145"/>
      <ns0:c r="D298" s="145"/>
      <ns0:c r="E298" s="152"/>
      <ns0:c r="F298" s="152"/>
      <ns0:c r="G298" s="152"/>
      <ns0:c r="H298" s="152"/>
      <ns0:c r="I298" s="149"/>
      <ns0:c r="J298" s="149"/>
      <ns0:c r="K298" s="149"/>
      <ns0:c r="L298" s="149"/>
      <ns0:c r="M298" s="149"/>
      <ns0:c r="N298" s="149"/>
      <ns0:c r="O298" s="145"/>
      <ns0:c r="P298" s="145"/>
      <ns0:c r="Q298" s="145"/>
      <ns0:c r="R298" s="149"/>
    </ns0:row>
    <ns0:row r="299" ht="21" customHeight="1">
      <ns0:c r="A299" s="150"/>
      <ns0:c r="B299" s="147"/>
      <ns0:c r="C299" s="147"/>
      <ns0:c r="D299" s="147"/>
      <ns0:c r="E299" s="152"/>
      <ns0:c r="F299" s="152"/>
      <ns0:c r="G299" s="152"/>
      <ns0:c r="H299" s="152"/>
      <ns0:c r="I299" s="150"/>
      <ns0:c r="J299" s="150"/>
      <ns0:c r="K299" s="150"/>
      <ns0:c r="L299" s="150"/>
      <ns0:c r="M299" s="150"/>
      <ns0:c r="N299" s="150"/>
      <ns0:c r="O299" s="147"/>
      <ns0:c r="P299" s="147"/>
      <ns0:c r="Q299" s="147"/>
      <ns0:c r="R299" s="150"/>
    </ns0:row>
    <ns0:row r="300" ht="21" customHeight="1">
      <ns0:c r="A300" s="149"/>
      <ns0:c r="B300" s="145"/>
      <ns0:c r="C300" s="145"/>
      <ns0:c r="D300" s="145"/>
      <ns0:c r="E300" s="152"/>
      <ns0:c r="F300" s="152"/>
      <ns0:c r="G300" s="152"/>
      <ns0:c r="H300" s="152"/>
      <ns0:c r="I300" s="149"/>
      <ns0:c r="J300" s="149"/>
      <ns0:c r="K300" s="149"/>
      <ns0:c r="L300" s="149"/>
      <ns0:c r="M300" s="149"/>
      <ns0:c r="N300" s="149"/>
      <ns0:c r="O300" s="145"/>
      <ns0:c r="P300" s="145"/>
      <ns0:c r="Q300" s="145"/>
      <ns0:c r="R300" s="149"/>
    </ns0:row>
    <ns0:row r="301" ht="21" customHeight="1">
      <ns0:c r="A301" s="150"/>
      <ns0:c r="B301" s="147"/>
      <ns0:c r="C301" s="147"/>
      <ns0:c r="D301" s="147"/>
      <ns0:c r="E301" s="152"/>
      <ns0:c r="F301" s="152"/>
      <ns0:c r="G301" s="152"/>
      <ns0:c r="H301" s="152"/>
      <ns0:c r="I301" s="150"/>
      <ns0:c r="J301" s="150"/>
      <ns0:c r="K301" s="150"/>
      <ns0:c r="L301" s="150"/>
      <ns0:c r="M301" s="150"/>
      <ns0:c r="N301" s="150"/>
      <ns0:c r="O301" s="147"/>
      <ns0:c r="P301" s="147"/>
      <ns0:c r="Q301" s="147"/>
      <ns0:c r="R301" s="150"/>
    </ns0:row>
    <ns0:row r="302" ht="21" customHeight="1">
      <ns0:c r="A302" s="149" t="n">
        <ns0:v>51</ns0:v>
      </ns0:c>
      <ns0:c r="B302" s="145" t="str">
        <ns0:v>开局</ns0:v>
      </ns0:c>
      <ns0:c r="C302" s="145" t="str">
        <ns0:v>W6-051-01</ns0:v>
      </ns0:c>
      <ns0:c r="D302" s="145" t="str">
        <ns0:v>普通盒</ns0:v>
      </ns0:c>
      <ns0:c r="E302" s="152" t="n">
        <ns0:v>13</ns0:v>
      </ns0:c>
      <ns0:c r="F302" s="152" t="n">
        <ns0:v>4</ns0:v>
      </ns0:c>
      <ns0:c r="G302" s="152" t="n">
        <ns0:v>4</ns0:v>
      </ns0:c>
      <ns0:c r="H302" s="152" t="n">
        <ns0:v>0</ns0:v>
      </ns0:c>
      <ns0:c r="I302" s="149" t="n">
        <ns0:f>E302*G302</ns0:f>
        <ns0:v>52</ns0:v>
      </ns0:c>
      <ns0:c r="J302" s="149" t="n">
        <ns0:f>E302*(F302-G302)</ns0:f>
        <ns0:v>0</ns0:v>
      </ns0:c>
      <ns0:c r="K302" s="149" t="n">
        <ns0:f>IF(AND(B302="开局",G302=0,OR(D302="普通盒",D302="单颗暂存盒")),J302,0)</ns0:f>
        <ns0:v>0</ns0:v>
      </ns0:c>
      <ns0:c r="L302" s="149" t="n">
        <ns0:f>IF(AND(B302="开局",G302&gt;0,OR(D302="普通盒",D302="底部置顶盒",D302="炸弹盒")),J302,0)</ns0:f>
        <ns0:v>0</ns0:v>
      </ns0:c>
      <ns0:c r="M302" s="149" t="n">
        <ns0:f>IF(AND(B302="开局",OR(D302="固定颜色盒",D302="单向收纳盒")),J302,0)</ns0:f>
        <ns0:v>0</ns0:v>
      </ns0:c>
      <ns0:c r="N302" s="149" t="n">
        <ns0:f>IF(AND(B302="开局",OR(D302="数字盖盒",D302="普通冰冻盒",D302="数字冰冻盒",D302="数字冰冻单颗暂存盒")),J302,0)</ns0:f>
        <ns0:v>0</ns0:v>
      </ns0:c>
      <ns0:c r="O302" s="145" t="str">
        <ns0:f>IF(AND(E302&gt;0,E302=INT(E302),G302&gt;=0,G302&lt;=F302,G302=INT(G302),OR(AND(F302=1,OR(D302="单颗暂存盒",D302="数字冰冻单颗暂存盒")),AND(F302=4,NOT(OR(D302="单颗暂存盒",D302="数字冰冻单颗暂存盒")))),IF(OR(D302="数字盖盒",D302="数字冰冻盒",D302="数字冰冻单颗暂存盒"),AND(H302&gt;=1,H302=INT(H302)),H302=0),IF(B302="开局",AND(IF(OR(D302="数字盖盒",D302="普通冰冻盒",D302="数字冰冻盒",D302="炸弹盒",D302="底部置顶盒"),OR(G302=3,G302=4),TRUE),IF(OR(D302="单向收纳盒",D302="单颗暂存盒",D302="数字冰冻单颗暂存盒"),OR(G302=0,G302=1),TRUE),IF(OR(D302="固定颜色盒",D302="广告锁定周转盒"),G302=0,TRUE)),TRUE)),"通过","需调整")</ns0:f>
        <ns0:v>通过</ns0:v>
      </ns0:c>
      <ns0:c r="P302" s="145" t="str">
        <ns0:v>普通盒</ns0:v>
      </ns0:c>
      <ns0:c r="Q302" s="145" t="str">
        <ns0:v>层序JSON:{"reference":"2026-10-12 第51至60关续接设计；自主层序与单向收纳节奏","slots":[{"group_id":"W6-051-01","layers":[6,4,2,0]},{"group_id":"W6-051-01","layers":[3,0,5,0]},{"group_id":"W6-051-01","layers":[8,0,5,0]},{"group_id":"W6-051-01","layers":[6,3,4,0]},{"group_id":"W6-051-01","layers":[8,4,6,2]},{"group_id":"W6-051-01","layers":[5,2,2,6]},{"group_id":"W6-051-02","layers":[6,2,4]},{"group_id":"W6-051-01","layers":[4,8,0,4]},{"group_id":"W6-051-01","layers":[5,8,0,4]},{"group_id":"W6-051-01","layers":[8,0,3,3]},{"group_id":"W6-051-01","layers":[5,0,5,8]},{"group_id":"W6-051-01","layers":[2,3,8,8]},{"group_id":"W6-051-03","layers":[3,5]},{"group_id":"W6-051-01","layers":[6,5,3,4]},{"group_id":"W6-051-01","layers":[0,6,6,2]},{"group_id":"W6-051-02","layers":[2,3,0]},{"group_id":"W6-051-04","layers":[]},{"group_id":"W6-051-05","layers":[]}],"stock":[],"demand_sequences":[[6,0,5,0,6,0,5,4],[8,4,3,2,2,8,3]]}</ns0:v>
      </ns0:c>
      <ns0:c r="R302" s="149" t="n">
        <ns0:f>E302*H302</ns0:f>
        <ns0:v>0</ns0:v>
      </ns0:c>
    </ns0:row>
    <ns0:row r="303" ht="21" customHeight="1">
      <ns0:c r="A303" s="150" t="n">
        <ns0:v>51</ns0:v>
      </ns0:c>
      <ns0:c r="B303" s="147" t="str">
        <ns0:v>开局</ns0:v>
      </ns0:c>
      <ns0:c r="C303" s="147" t="str">
        <ns0:v>W6-051-02</ns0:v>
      </ns0:c>
      <ns0:c r="D303" s="147" t="str">
        <ns0:v>普通盒</ns0:v>
      </ns0:c>
      <ns0:c r="E303" s="152" t="n">
        <ns0:v>2</ns0:v>
      </ns0:c>
      <ns0:c r="F303" s="152" t="n">
        <ns0:v>4</ns0:v>
      </ns0:c>
      <ns0:c r="G303" s="152" t="n">
        <ns0:v>3</ns0:v>
      </ns0:c>
      <ns0:c r="H303" s="152" t="n">
        <ns0:v>0</ns0:v>
      </ns0:c>
      <ns0:c r="I303" s="150" t="n">
        <ns0:f>E303*G303</ns0:f>
        <ns0:v>6</ns0:v>
      </ns0:c>
      <ns0:c r="J303" s="150" t="n">
        <ns0:f>E303*(F303-G303)</ns0:f>
        <ns0:v>2</ns0:v>
      </ns0:c>
      <ns0:c r="K303" s="150" t="n">
        <ns0:f>IF(AND(B303="开局",G303=0,OR(D303="普通盒",D303="单颗暂存盒")),J303,0)</ns0:f>
        <ns0:v>0</ns0:v>
      </ns0:c>
      <ns0:c r="L303" s="150" t="n">
        <ns0:f>IF(AND(B303="开局",G303&gt;0,OR(D303="普通盒",D303="底部置顶盒",D303="炸弹盒")),J303,0)</ns0:f>
        <ns0:v>2</ns0:v>
      </ns0:c>
      <ns0:c r="M303" s="150" t="n">
        <ns0:f>IF(AND(B303="开局",OR(D303="固定颜色盒",D303="单向收纳盒")),J303,0)</ns0:f>
        <ns0:v>0</ns0:v>
      </ns0:c>
      <ns0:c r="N303" s="150" t="n">
        <ns0:f>IF(AND(B303="开局",OR(D303="数字盖盒",D303="普通冰冻盒",D303="数字冰冻盒",D303="数字冰冻单颗暂存盒")),J303,0)</ns0:f>
        <ns0:v>0</ns0:v>
      </ns0:c>
      <ns0:c r="O303" s="147" t="str">
        <ns0:f>IF(AND(E303&gt;0,E303=INT(E303),G303&gt;=0,G303&lt;=F303,G303=INT(G303),OR(AND(F303=1,OR(D303="单颗暂存盒",D303="数字冰冻单颗暂存盒")),AND(F303=4,NOT(OR(D303="单颗暂存盒",D303="数字冰冻单颗暂存盒")))),IF(OR(D303="数字盖盒",D303="数字冰冻盒",D303="数字冰冻单颗暂存盒"),AND(H303&gt;=1,H303=INT(H303)),H303=0),IF(B303="开局",AND(IF(OR(D303="数字盖盒",D303="普通冰冻盒",D303="数字冰冻盒",D303="炸弹盒",D303="底部置顶盒"),OR(G303=3,G303=4),TRUE),IF(OR(D303="单向收纳盒",D303="单颗暂存盒",D303="数字冰冻单颗暂存盒"),OR(G303=0,G303=1),TRUE),IF(OR(D303="固定颜色盒",D303="广告锁定周转盒"),G303=0,TRUE)),TRUE)),"通过","需调整")</ns0:f>
        <ns0:v>通过</ns0:v>
      </ns0:c>
      <ns0:c r="P303" s="147" t="str">
        <ns0:v>普通盒</ns0:v>
      </ns0:c>
      <ns0:c r="Q303" s="147" t="str">
        <ns0:v>固定层序见本关首行</ns0:v>
      </ns0:c>
      <ns0:c r="R303" s="150" t="n">
        <ns0:f>E303*H303</ns0:f>
        <ns0:v>0</ns0:v>
      </ns0:c>
    </ns0:row>
    <ns0:row r="304" ht="21" customHeight="1">
      <ns0:c r="A304" s="149" t="n">
        <ns0:v>51</ns0:v>
      </ns0:c>
      <ns0:c r="B304" s="145" t="str">
        <ns0:v>开局</ns0:v>
      </ns0:c>
      <ns0:c r="C304" s="145" t="str">
        <ns0:v>W6-051-03</ns0:v>
      </ns0:c>
      <ns0:c r="D304" s="145" t="str">
        <ns0:v>普通盒</ns0:v>
      </ns0:c>
      <ns0:c r="E304" s="152" t="n">
        <ns0:v>1</ns0:v>
      </ns0:c>
      <ns0:c r="F304" s="152" t="n">
        <ns0:v>4</ns0:v>
      </ns0:c>
      <ns0:c r="G304" s="152" t="n">
        <ns0:v>2</ns0:v>
      </ns0:c>
      <ns0:c r="H304" s="152" t="n">
        <ns0:v>0</ns0:v>
      </ns0:c>
      <ns0:c r="I304" s="149" t="n">
        <ns0:f>E304*G304</ns0:f>
        <ns0:v>2</ns0:v>
      </ns0:c>
      <ns0:c r="J304" s="149" t="n">
        <ns0:f>E304*(F304-G304)</ns0:f>
        <ns0:v>2</ns0:v>
      </ns0:c>
      <ns0:c r="K304" s="149" t="n">
        <ns0:f>IF(AND(B304="开局",G304=0,OR(D304="普通盒",D304="单颗暂存盒")),J304,0)</ns0:f>
        <ns0:v>0</ns0:v>
      </ns0:c>
      <ns0:c r="L304" s="149" t="n">
        <ns0:f>IF(AND(B304="开局",G304&gt;0,OR(D304="普通盒",D304="底部置顶盒",D304="炸弹盒")),J304,0)</ns0:f>
        <ns0:v>2</ns0:v>
      </ns0:c>
      <ns0:c r="M304" s="149" t="n">
        <ns0:f>IF(AND(B304="开局",OR(D304="固定颜色盒",D304="单向收纳盒")),J304,0)</ns0:f>
        <ns0:v>0</ns0:v>
      </ns0:c>
      <ns0:c r="N304" s="149" t="n">
        <ns0:f>IF(AND(B304="开局",OR(D304="数字盖盒",D304="普通冰冻盒",D304="数字冰冻盒",D304="数字冰冻单颗暂存盒")),J304,0)</ns0:f>
        <ns0:v>0</ns0:v>
      </ns0:c>
      <ns0:c r="O304" s="145" t="str">
        <ns0:f>IF(AND(E304&gt;0,E304=INT(E304),G304&gt;=0,G304&lt;=F304,G304=INT(G304),OR(AND(F304=1,OR(D304="单颗暂存盒",D304="数字冰冻单颗暂存盒")),AND(F304=4,NOT(OR(D304="单颗暂存盒",D304="数字冰冻单颗暂存盒")))),IF(OR(D304="数字盖盒",D304="数字冰冻盒",D304="数字冰冻单颗暂存盒"),AND(H304&gt;=1,H304=INT(H304)),H304=0),IF(B304="开局",AND(IF(OR(D304="数字盖盒",D304="普通冰冻盒",D304="数字冰冻盒",D304="炸弹盒",D304="底部置顶盒"),OR(G304=3,G304=4),TRUE),IF(OR(D304="单向收纳盒",D304="单颗暂存盒",D304="数字冰冻单颗暂存盒"),OR(G304=0,G304=1),TRUE),IF(OR(D304="固定颜色盒",D304="广告锁定周转盒"),G304=0,TRUE)),TRUE)),"通过","需调整")</ns0:f>
        <ns0:v>通过</ns0:v>
      </ns0:c>
      <ns0:c r="P304" s="145" t="str">
        <ns0:v>普通盒</ns0:v>
      </ns0:c>
      <ns0:c r="Q304" s="145" t="str">
        <ns0:v>固定层序见本关首行</ns0:v>
      </ns0:c>
      <ns0:c r="R304" s="149" t="n">
        <ns0:f>E304*H304</ns0:f>
        <ns0:v>0</ns0:v>
      </ns0:c>
    </ns0:row>
    <ns0:row r="305" ht="21" customHeight="1">
      <ns0:c r="A305" s="150" t="n">
        <ns0:v>51</ns0:v>
      </ns0:c>
      <ns0:c r="B305" s="147" t="str">
        <ns0:v>开局</ns0:v>
      </ns0:c>
      <ns0:c r="C305" s="147" t="str">
        <ns0:v>W6-051-04</ns0:v>
      </ns0:c>
      <ns0:c r="D305" s="147" t="str">
        <ns0:v>普通盒</ns0:v>
      </ns0:c>
      <ns0:c r="E305" s="152" t="n">
        <ns0:v>1</ns0:v>
      </ns0:c>
      <ns0:c r="F305" s="152" t="n">
        <ns0:v>4</ns0:v>
      </ns0:c>
      <ns0:c r="G305" s="152" t="n">
        <ns0:v>0</ns0:v>
      </ns0:c>
      <ns0:c r="H305" s="152" t="n">
        <ns0:v>0</ns0:v>
      </ns0:c>
      <ns0:c r="I305" s="150" t="n">
        <ns0:f>E305*G305</ns0:f>
        <ns0:v>0</ns0:v>
      </ns0:c>
      <ns0:c r="J305" s="150" t="n">
        <ns0:f>E305*(F305-G305)</ns0:f>
        <ns0:v>4</ns0:v>
      </ns0:c>
      <ns0:c r="K305" s="150" t="n">
        <ns0:f>IF(AND(B305="开局",G305=0,OR(D305="普通盒",D305="单颗暂存盒")),J305,0)</ns0:f>
        <ns0:v>4</ns0:v>
      </ns0:c>
      <ns0:c r="L305" s="150" t="n">
        <ns0:f>IF(AND(B305="开局",G305&gt;0,OR(D305="普通盒",D305="底部置顶盒",D305="炸弹盒")),J305,0)</ns0:f>
        <ns0:v>0</ns0:v>
      </ns0:c>
      <ns0:c r="M305" s="150" t="n">
        <ns0:f>IF(AND(B305="开局",OR(D305="固定颜色盒",D305="单向收纳盒")),J305,0)</ns0:f>
        <ns0:v>0</ns0:v>
      </ns0:c>
      <ns0:c r="N305" s="150" t="n">
        <ns0:f>IF(AND(B305="开局",OR(D305="数字盖盒",D305="普通冰冻盒",D305="数字冰冻盒",D305="数字冰冻单颗暂存盒")),J305,0)</ns0:f>
        <ns0:v>0</ns0:v>
      </ns0:c>
      <ns0:c r="O305" s="147" t="str">
        <ns0:f>IF(AND(E305&gt;0,E305=INT(E305),G305&gt;=0,G305&lt;=F305,G305=INT(G305),OR(AND(F305=1,OR(D305="单颗暂存盒",D305="数字冰冻单颗暂存盒")),AND(F305=4,NOT(OR(D305="单颗暂存盒",D305="数字冰冻单颗暂存盒")))),IF(OR(D305="数字盖盒",D305="数字冰冻盒",D305="数字冰冻单颗暂存盒"),AND(H305&gt;=1,H305=INT(H305)),H305=0),IF(B305="开局",AND(IF(OR(D305="数字盖盒",D305="普通冰冻盒",D305="数字冰冻盒",D305="炸弹盒",D305="底部置顶盒"),OR(G305=3,G305=4),TRUE),IF(OR(D305="单向收纳盒",D305="单颗暂存盒",D305="数字冰冻单颗暂存盒"),OR(G305=0,G305=1),TRUE),IF(OR(D305="固定颜色盒",D305="广告锁定周转盒"),G305=0,TRUE)),TRUE)),"通过","需调整")</ns0:f>
        <ns0:v>通过</ns0:v>
      </ns0:c>
      <ns0:c r="P305" s="147" t="str">
        <ns0:v>普通盒</ns0:v>
      </ns0:c>
      <ns0:c r="Q305" s="147" t="str">
        <ns0:v>固定层序见本关首行</ns0:v>
      </ns0:c>
      <ns0:c r="R305" s="150" t="n">
        <ns0:f>E305*H305</ns0:f>
        <ns0:v>0</ns0:v>
      </ns0:c>
    </ns0:row>
    <ns0:row r="306" ht="21" customHeight="1">
      <ns0:c r="A306" s="149" t="n">
        <ns0:v>51</ns0:v>
      </ns0:c>
      <ns0:c r="B306" s="145" t="str">
        <ns0:v>开局</ns0:v>
      </ns0:c>
      <ns0:c r="C306" s="145" t="str">
        <ns0:v>W6-051-05</ns0:v>
      </ns0:c>
      <ns0:c r="D306" s="145" t="str">
        <ns0:v>单向收纳盒</ns0:v>
      </ns0:c>
      <ns0:c r="E306" s="152" t="n">
        <ns0:v>1</ns0:v>
      </ns0:c>
      <ns0:c r="F306" s="152" t="n">
        <ns0:v>4</ns0:v>
      </ns0:c>
      <ns0:c r="G306" s="152" t="n">
        <ns0:v>0</ns0:v>
      </ns0:c>
      <ns0:c r="H306" s="152" t="n">
        <ns0:v>0</ns0:v>
      </ns0:c>
      <ns0:c r="I306" s="149" t="n">
        <ns0:f>E306*G306</ns0:f>
        <ns0:v>0</ns0:v>
      </ns0:c>
      <ns0:c r="J306" s="149" t="n">
        <ns0:f>E306*(F306-G306)</ns0:f>
        <ns0:v>4</ns0:v>
      </ns0:c>
      <ns0:c r="K306" s="149" t="n">
        <ns0:f>IF(AND(B306="开局",G306=0,OR(D306="普通盒",D306="单颗暂存盒")),J306,0)</ns0:f>
        <ns0:v>0</ns0:v>
      </ns0:c>
      <ns0:c r="L306" s="149" t="n">
        <ns0:f>IF(AND(B306="开局",G306&gt;0,OR(D306="普通盒",D306="底部置顶盒",D306="炸弹盒")),J306,0)</ns0:f>
        <ns0:v>0</ns0:v>
      </ns0:c>
      <ns0:c r="M306" s="149" t="n">
        <ns0:f>IF(AND(B306="开局",OR(D306="固定颜色盒",D306="单向收纳盒")),J306,0)</ns0:f>
        <ns0:v>4</ns0:v>
      </ns0:c>
      <ns0:c r="N306" s="149" t="n">
        <ns0:f>IF(AND(B306="开局",OR(D306="数字盖盒",D306="普通冰冻盒",D306="数字冰冻盒",D306="数字冰冻单颗暂存盒")),J306,0)</ns0:f>
        <ns0:v>0</ns0:v>
      </ns0:c>
      <ns0:c r="O306" s="145" t="str">
        <ns0:f>IF(AND(E306&gt;0,E306=INT(E306),G306&gt;=0,G306&lt;=F306,G306=INT(G306),OR(AND(F306=1,OR(D306="单颗暂存盒",D306="数字冰冻单颗暂存盒")),AND(F306=4,NOT(OR(D306="单颗暂存盒",D306="数字冰冻单颗暂存盒")))),IF(OR(D306="数字盖盒",D306="数字冰冻盒",D306="数字冰冻单颗暂存盒"),AND(H306&gt;=1,H306=INT(H306)),H306=0),IF(B306="开局",AND(IF(OR(D306="数字盖盒",D306="普通冰冻盒",D306="数字冰冻盒",D306="炸弹盒",D306="底部置顶盒"),OR(G306=3,G306=4),TRUE),IF(OR(D306="单向收纳盒",D306="单颗暂存盒",D306="数字冰冻单颗暂存盒"),OR(G306=0,G306=1),TRUE),IF(OR(D306="固定颜色盒",D306="广告锁定周转盒"),G306=0,TRUE)),TRUE)),"通过","需调整")</ns0:f>
        <ns0:v>通过</ns0:v>
      </ns0:c>
      <ns0:c r="P306" s="145" t="str">
        <ns0:v>单向收纳盒</ns0:v>
      </ns0:c>
      <ns0:c r="Q306" s="145" t="str">
        <ns0:v>固定层序见本关首行</ns0:v>
      </ns0:c>
      <ns0:c r="R306" s="149" t="n">
        <ns0:f>E306*H306</ns0:f>
        <ns0:v>0</ns0:v>
      </ns0:c>
    </ns0:row>
    <ns0:row r="307" ht="21" customHeight="1">
      <ns0:c r="A307" s="150" t="n">
        <ns0:v>51</ns0:v>
      </ns0:c>
      <ns0:c r="B307" s="147" t="str">
        <ns0:v>开局</ns0:v>
      </ns0:c>
      <ns0:c r="C307" s="147" t="str">
        <ns0:v>W6-051-06</ns0:v>
      </ns0:c>
      <ns0:c r="D307" s="147" t="str">
        <ns0:v>广告锁定周转盒</ns0:v>
      </ns0:c>
      <ns0:c r="E307" s="152" t="n">
        <ns0:v>2</ns0:v>
      </ns0:c>
      <ns0:c r="F307" s="152" t="n">
        <ns0:v>4</ns0:v>
      </ns0:c>
      <ns0:c r="G307" s="152" t="n">
        <ns0:v>0</ns0:v>
      </ns0:c>
      <ns0:c r="H307" s="152" t="n">
        <ns0:v>0</ns0:v>
      </ns0:c>
      <ns0:c r="I307" s="150" t="n">
        <ns0:f>E307*G307</ns0:f>
        <ns0:v>0</ns0:v>
      </ns0:c>
      <ns0:c r="J307" s="150" t="n">
        <ns0:f>E307*(F307-G307)</ns0:f>
        <ns0:v>8</ns0:v>
      </ns0:c>
      <ns0:c r="K307" s="150" t="n">
        <ns0:f>IF(AND(B307="开局",G307=0,OR(D307="普通盒",D307="单颗暂存盒")),J307,0)</ns0:f>
        <ns0:v>0</ns0:v>
      </ns0:c>
      <ns0:c r="L307" s="150" t="n">
        <ns0:f>IF(AND(B307="开局",G307&gt;0,OR(D307="普通盒",D307="底部置顶盒",D307="炸弹盒")),J307,0)</ns0:f>
        <ns0:v>0</ns0:v>
      </ns0:c>
      <ns0:c r="M307" s="150" t="n">
        <ns0:f>IF(AND(B307="开局",OR(D307="固定颜色盒",D307="单向收纳盒")),J307,0)</ns0:f>
        <ns0:v>0</ns0:v>
      </ns0:c>
      <ns0:c r="N307" s="150" t="n">
        <ns0:f>IF(AND(B307="开局",OR(D307="数字盖盒",D307="普通冰冻盒",D307="数字冰冻盒",D307="数字冰冻单颗暂存盒")),J307,0)</ns0:f>
        <ns0:v>0</ns0:v>
      </ns0:c>
      <ns0:c r="O307" s="147" t="str">
        <ns0:f>IF(AND(E307&gt;0,E307=INT(E307),G307&gt;=0,G307&lt;=F307,G307=INT(G307),OR(AND(F307=1,OR(D307="单颗暂存盒",D307="数字冰冻单颗暂存盒")),AND(F307=4,NOT(OR(D307="单颗暂存盒",D307="数字冰冻单颗暂存盒")))),IF(OR(D307="数字盖盒",D307="数字冰冻盒",D307="数字冰冻单颗暂存盒"),AND(H307&gt;=1,H307=INT(H307)),H307=0),IF(B307="开局",AND(IF(OR(D307="数字盖盒",D307="普通冰冻盒",D307="数字冰冻盒",D307="炸弹盒",D307="底部置顶盒"),OR(G307=3,G307=4),TRUE),IF(OR(D307="单向收纳盒",D307="单颗暂存盒",D307="数字冰冻单颗暂存盒"),OR(G307=0,G307=1),TRUE),IF(OR(D307="固定颜色盒",D307="广告锁定周转盒"),G307=0,TRUE)),TRUE)),"通过","需调整")</ns0:f>
        <ns0:v>通过</ns0:v>
      </ns0:c>
      <ns0:c r="P307" s="147" t="str">
        <ns0:v>双广告锁位</ns0:v>
      </ns0:c>
      <ns0:c r="Q307" s="147" t="str">
        <ns0:v>固定层序见本关首行</ns0:v>
      </ns0:c>
      <ns0:c r="R307" s="150" t="n">
        <ns0:f>E307*H307</ns0:f>
        <ns0:v>0</ns0:v>
      </ns0:c>
    </ns0:row>
    <ns0:row r="308" ht="21" customHeight="1">
      <ns0:c r="A308" s="149" t="n">
        <ns0:v>52</ns0:v>
      </ns0:c>
      <ns0:c r="B308" s="145" t="str">
        <ns0:v>开局</ns0:v>
      </ns0:c>
      <ns0:c r="C308" s="145" t="str">
        <ns0:v>W6-052-01</ns0:v>
      </ns0:c>
      <ns0:c r="D308" s="145" t="str">
        <ns0:v>普通盒</ns0:v>
      </ns0:c>
      <ns0:c r="E308" s="152" t="n">
        <ns0:v>14</ns0:v>
      </ns0:c>
      <ns0:c r="F308" s="152" t="n">
        <ns0:v>4</ns0:v>
      </ns0:c>
      <ns0:c r="G308" s="152" t="n">
        <ns0:v>4</ns0:v>
      </ns0:c>
      <ns0:c r="H308" s="152" t="n">
        <ns0:v>0</ns0:v>
      </ns0:c>
      <ns0:c r="I308" s="149" t="n">
        <ns0:f>E308*G308</ns0:f>
        <ns0:v>56</ns0:v>
      </ns0:c>
      <ns0:c r="J308" s="149" t="n">
        <ns0:f>E308*(F308-G308)</ns0:f>
        <ns0:v>0</ns0:v>
      </ns0:c>
      <ns0:c r="K308" s="149" t="n">
        <ns0:f>IF(AND(B308="开局",G308=0,OR(D308="普通盒",D308="单颗暂存盒")),J308,0)</ns0:f>
        <ns0:v>0</ns0:v>
      </ns0:c>
      <ns0:c r="L308" s="149" t="n">
        <ns0:f>IF(AND(B308="开局",G308&gt;0,OR(D308="普通盒",D308="底部置顶盒",D308="炸弹盒")),J308,0)</ns0:f>
        <ns0:v>0</ns0:v>
      </ns0:c>
      <ns0:c r="M308" s="149" t="n">
        <ns0:f>IF(AND(B308="开局",OR(D308="固定颜色盒",D308="单向收纳盒")),J308,0)</ns0:f>
        <ns0:v>0</ns0:v>
      </ns0:c>
      <ns0:c r="N308" s="149" t="n">
        <ns0:f>IF(AND(B308="开局",OR(D308="数字盖盒",D308="普通冰冻盒",D308="数字冰冻盒",D308="数字冰冻单颗暂存盒")),J308,0)</ns0:f>
        <ns0:v>0</ns0:v>
      </ns0:c>
      <ns0:c r="O308" s="145" t="str">
        <ns0:f>IF(AND(E308&gt;0,E308=INT(E308),G308&gt;=0,G308&lt;=F308,G308=INT(G308),OR(AND(F308=1,OR(D308="单颗暂存盒",D308="数字冰冻单颗暂存盒")),AND(F308=4,NOT(OR(D308="单颗暂存盒",D308="数字冰冻单颗暂存盒")))),IF(OR(D308="数字盖盒",D308="数字冰冻盒",D308="数字冰冻单颗暂存盒"),AND(H308&gt;=1,H308=INT(H308)),H308=0),IF(B308="开局",AND(IF(OR(D308="数字盖盒",D308="普通冰冻盒",D308="数字冰冻盒",D308="炸弹盒",D308="底部置顶盒"),OR(G308=3,G308=4),TRUE),IF(OR(D308="单向收纳盒",D308="单颗暂存盒",D308="数字冰冻单颗暂存盒"),OR(G308=0,G308=1),TRUE),IF(OR(D308="固定颜色盒",D308="广告锁定周转盒"),G308=0,TRUE)),TRUE)),"通过","需调整")</ns0:f>
        <ns0:v>通过</ns0:v>
      </ns0:c>
      <ns0:c r="P308" s="145" t="str">
        <ns0:v>普通盒</ns0:v>
      </ns0:c>
      <ns0:c r="Q308" s="145" t="str">
        <ns0:v>层序JSON:{"reference":"2026-10-12 第51至60关续接设计；自主层序与单向收纳节奏","slots":[{"group_id":"W6-052-01","layers":[0,12,6,4]},{"group_id":"W6-052-01","layers":[4,0,6,3]},{"group_id":"W6-052-01","layers":[12,5,5,8]},{"group_id":"W6-052-03","layers":[2,2]},{"group_id":"W6-052-01","layers":[6,12,8,2]},{"group_id":"W6-052-01","layers":[8,8,6,5]},{"group_id":"W6-052-01","layers":[2,5,6,3]},{"group_id":"W6-052-03","layers":[6,2]},{"group_id":"W6-052-02","layers":[12,8,6]},{"group_id":"W6-052-01","layers":[0,3,8,8]},{"group_id":"W6-052-01","layers":[3,0,4,2]},{"group_id":"W6-052-01","layers":[4,4,2,4]},{"group_id":"W6-052-01","layers":[4,5,12,3]},{"group_id":"W6-052-01","layers":[6,12,5,4]},{"group_id":"W6-052-01","layers":[0,5,12,3]},{"group_id":"W6-052-01","layers":[12,3,0,0]},{"group_id":"W6-052-01","layers":[3,0,2,8]},{"group_id":"W6-052-04","layers":[5]}],"stock":[],"demand_sequences":[[5,2,8,0,3,0,3,8],[4,12,4,5,6,2,12,6]]}</ns0:v>
      </ns0:c>
      <ns0:c r="R308" s="149" t="n">
        <ns0:f>E308*H308</ns0:f>
        <ns0:v>0</ns0:v>
      </ns0:c>
    </ns0:row>
    <ns0:row r="309" ht="21" customHeight="1">
      <ns0:c r="A309" s="150" t="n">
        <ns0:v>52</ns0:v>
      </ns0:c>
      <ns0:c r="B309" s="147" t="str">
        <ns0:v>开局</ns0:v>
      </ns0:c>
      <ns0:c r="C309" s="147" t="str">
        <ns0:v>W6-052-02</ns0:v>
      </ns0:c>
      <ns0:c r="D309" s="147" t="str">
        <ns0:v>普通盒</ns0:v>
      </ns0:c>
      <ns0:c r="E309" s="152" t="n">
        <ns0:v>1</ns0:v>
      </ns0:c>
      <ns0:c r="F309" s="152" t="n">
        <ns0:v>4</ns0:v>
      </ns0:c>
      <ns0:c r="G309" s="152" t="n">
        <ns0:v>3</ns0:v>
      </ns0:c>
      <ns0:c r="H309" s="152" t="n">
        <ns0:v>0</ns0:v>
      </ns0:c>
      <ns0:c r="I309" s="150" t="n">
        <ns0:f>E309*G309</ns0:f>
        <ns0:v>3</ns0:v>
      </ns0:c>
      <ns0:c r="J309" s="150" t="n">
        <ns0:f>E309*(F309-G309)</ns0:f>
        <ns0:v>1</ns0:v>
      </ns0:c>
      <ns0:c r="K309" s="150" t="n">
        <ns0:f>IF(AND(B309="开局",G309=0,OR(D309="普通盒",D309="单颗暂存盒")),J309,0)</ns0:f>
        <ns0:v>0</ns0:v>
      </ns0:c>
      <ns0:c r="L309" s="150" t="n">
        <ns0:f>IF(AND(B309="开局",G309&gt;0,OR(D309="普通盒",D309="底部置顶盒",D309="炸弹盒")),J309,0)</ns0:f>
        <ns0:v>1</ns0:v>
      </ns0:c>
      <ns0:c r="M309" s="150" t="n">
        <ns0:f>IF(AND(B309="开局",OR(D309="固定颜色盒",D309="单向收纳盒")),J309,0)</ns0:f>
        <ns0:v>0</ns0:v>
      </ns0:c>
      <ns0:c r="N309" s="150" t="n">
        <ns0:f>IF(AND(B309="开局",OR(D309="数字盖盒",D309="普通冰冻盒",D309="数字冰冻盒",D309="数字冰冻单颗暂存盒")),J309,0)</ns0:f>
        <ns0:v>0</ns0:v>
      </ns0:c>
      <ns0:c r="O309" s="147" t="str">
        <ns0:f>IF(AND(E309&gt;0,E309=INT(E309),G309&gt;=0,G309&lt;=F309,G309=INT(G309),OR(AND(F309=1,OR(D309="单颗暂存盒",D309="数字冰冻单颗暂存盒")),AND(F309=4,NOT(OR(D309="单颗暂存盒",D309="数字冰冻单颗暂存盒")))),IF(OR(D309="数字盖盒",D309="数字冰冻盒",D309="数字冰冻单颗暂存盒"),AND(H309&gt;=1,H309=INT(H309)),H309=0),IF(B309="开局",AND(IF(OR(D309="数字盖盒",D309="普通冰冻盒",D309="数字冰冻盒",D309="炸弹盒",D309="底部置顶盒"),OR(G309=3,G309=4),TRUE),IF(OR(D309="单向收纳盒",D309="单颗暂存盒",D309="数字冰冻单颗暂存盒"),OR(G309=0,G309=1),TRUE),IF(OR(D309="固定颜色盒",D309="广告锁定周转盒"),G309=0,TRUE)),TRUE)),"通过","需调整")</ns0:f>
        <ns0:v>通过</ns0:v>
      </ns0:c>
      <ns0:c r="P309" s="147" t="str">
        <ns0:v>普通盒</ns0:v>
      </ns0:c>
      <ns0:c r="Q309" s="147" t="str">
        <ns0:v>固定层序见本关首行</ns0:v>
      </ns0:c>
      <ns0:c r="R309" s="150" t="n">
        <ns0:f>E309*H309</ns0:f>
        <ns0:v>0</ns0:v>
      </ns0:c>
    </ns0:row>
    <ns0:row r="310" ht="21" customHeight="1">
      <ns0:c r="A310" s="149" t="n">
        <ns0:v>52</ns0:v>
      </ns0:c>
      <ns0:c r="B310" s="145" t="str">
        <ns0:v>开局</ns0:v>
      </ns0:c>
      <ns0:c r="C310" s="145" t="str">
        <ns0:v>W6-052-03</ns0:v>
      </ns0:c>
      <ns0:c r="D310" s="145" t="str">
        <ns0:v>普通盒</ns0:v>
      </ns0:c>
      <ns0:c r="E310" s="152" t="n">
        <ns0:v>2</ns0:v>
      </ns0:c>
      <ns0:c r="F310" s="152" t="n">
        <ns0:v>4</ns0:v>
      </ns0:c>
      <ns0:c r="G310" s="152" t="n">
        <ns0:v>2</ns0:v>
      </ns0:c>
      <ns0:c r="H310" s="152" t="n">
        <ns0:v>0</ns0:v>
      </ns0:c>
      <ns0:c r="I310" s="149" t="n">
        <ns0:f>E310*G310</ns0:f>
        <ns0:v>4</ns0:v>
      </ns0:c>
      <ns0:c r="J310" s="149" t="n">
        <ns0:f>E310*(F310-G310)</ns0:f>
        <ns0:v>4</ns0:v>
      </ns0:c>
      <ns0:c r="K310" s="149" t="n">
        <ns0:f>IF(AND(B310="开局",G310=0,OR(D310="普通盒",D310="单颗暂存盒")),J310,0)</ns0:f>
        <ns0:v>0</ns0:v>
      </ns0:c>
      <ns0:c r="L310" s="149" t="n">
        <ns0:f>IF(AND(B310="开局",G310&gt;0,OR(D310="普通盒",D310="底部置顶盒",D310="炸弹盒")),J310,0)</ns0:f>
        <ns0:v>4</ns0:v>
      </ns0:c>
      <ns0:c r="M310" s="149" t="n">
        <ns0:f>IF(AND(B310="开局",OR(D310="固定颜色盒",D310="单向收纳盒")),J310,0)</ns0:f>
        <ns0:v>0</ns0:v>
      </ns0:c>
      <ns0:c r="N310" s="149" t="n">
        <ns0:f>IF(AND(B310="开局",OR(D310="数字盖盒",D310="普通冰冻盒",D310="数字冰冻盒",D310="数字冰冻单颗暂存盒")),J310,0)</ns0:f>
        <ns0:v>0</ns0:v>
      </ns0:c>
      <ns0:c r="O310" s="145" t="str">
        <ns0:f>IF(AND(E310&gt;0,E310=INT(E310),G310&gt;=0,G310&lt;=F310,G310=INT(G310),OR(AND(F310=1,OR(D310="单颗暂存盒",D310="数字冰冻单颗暂存盒")),AND(F310=4,NOT(OR(D310="单颗暂存盒",D310="数字冰冻单颗暂存盒")))),IF(OR(D310="数字盖盒",D310="数字冰冻盒",D310="数字冰冻单颗暂存盒"),AND(H310&gt;=1,H310=INT(H310)),H310=0),IF(B310="开局",AND(IF(OR(D310="数字盖盒",D310="普通冰冻盒",D310="数字冰冻盒",D310="炸弹盒",D310="底部置顶盒"),OR(G310=3,G310=4),TRUE),IF(OR(D310="单向收纳盒",D310="单颗暂存盒",D310="数字冰冻单颗暂存盒"),OR(G310=0,G310=1),TRUE),IF(OR(D310="固定颜色盒",D310="广告锁定周转盒"),G310=0,TRUE)),TRUE)),"通过","需调整")</ns0:f>
        <ns0:v>通过</ns0:v>
      </ns0:c>
      <ns0:c r="P310" s="145" t="str">
        <ns0:v>普通盒</ns0:v>
      </ns0:c>
      <ns0:c r="Q310" s="145" t="str">
        <ns0:v>固定层序见本关首行</ns0:v>
      </ns0:c>
      <ns0:c r="R310" s="149" t="n">
        <ns0:f>E310*H310</ns0:f>
        <ns0:v>0</ns0:v>
      </ns0:c>
    </ns0:row>
    <ns0:row r="311" ht="21" customHeight="1">
      <ns0:c r="A311" s="150" t="n">
        <ns0:v>52</ns0:v>
      </ns0:c>
      <ns0:c r="B311" s="147" t="str">
        <ns0:v>开局</ns0:v>
      </ns0:c>
      <ns0:c r="C311" s="147" t="str">
        <ns0:v>W6-052-04</ns0:v>
      </ns0:c>
      <ns0:c r="D311" s="147" t="str">
        <ns0:v>单向收纳盒</ns0:v>
      </ns0:c>
      <ns0:c r="E311" s="152" t="n">
        <ns0:v>1</ns0:v>
      </ns0:c>
      <ns0:c r="F311" s="152" t="n">
        <ns0:v>4</ns0:v>
      </ns0:c>
      <ns0:c r="G311" s="152" t="n">
        <ns0:v>1</ns0:v>
      </ns0:c>
      <ns0:c r="H311" s="152" t="n">
        <ns0:v>0</ns0:v>
      </ns0:c>
      <ns0:c r="I311" s="150" t="n">
        <ns0:f>E311*G311</ns0:f>
        <ns0:v>1</ns0:v>
      </ns0:c>
      <ns0:c r="J311" s="150" t="n">
        <ns0:f>E311*(F311-G311)</ns0:f>
        <ns0:v>3</ns0:v>
      </ns0:c>
      <ns0:c r="K311" s="150" t="n">
        <ns0:f>IF(AND(B311="开局",G311=0,OR(D311="普通盒",D311="单颗暂存盒")),J311,0)</ns0:f>
        <ns0:v>0</ns0:v>
      </ns0:c>
      <ns0:c r="L311" s="150" t="n">
        <ns0:f>IF(AND(B311="开局",G311&gt;0,OR(D311="普通盒",D311="底部置顶盒",D311="炸弹盒")),J311,0)</ns0:f>
        <ns0:v>0</ns0:v>
      </ns0:c>
      <ns0:c r="M311" s="150" t="n">
        <ns0:f>IF(AND(B311="开局",OR(D311="固定颜色盒",D311="单向收纳盒")),J311,0)</ns0:f>
        <ns0:v>3</ns0:v>
      </ns0:c>
      <ns0:c r="N311" s="150" t="n">
        <ns0:f>IF(AND(B311="开局",OR(D311="数字盖盒",D311="普通冰冻盒",D311="数字冰冻盒",D311="数字冰冻单颗暂存盒")),J311,0)</ns0:f>
        <ns0:v>0</ns0:v>
      </ns0:c>
      <ns0:c r="O311" s="147" t="str">
        <ns0:f>IF(AND(E311&gt;0,E311=INT(E311),G311&gt;=0,G311&lt;=F311,G311=INT(G311),OR(AND(F311=1,OR(D311="单颗暂存盒",D311="数字冰冻单颗暂存盒")),AND(F311=4,NOT(OR(D311="单颗暂存盒",D311="数字冰冻单颗暂存盒")))),IF(OR(D311="数字盖盒",D311="数字冰冻盒",D311="数字冰冻单颗暂存盒"),AND(H311&gt;=1,H311=INT(H311)),H311=0),IF(B311="开局",AND(IF(OR(D311="数字盖盒",D311="普通冰冻盒",D311="数字冰冻盒",D311="炸弹盒",D311="底部置顶盒"),OR(G311=3,G311=4),TRUE),IF(OR(D311="单向收纳盒",D311="单颗暂存盒",D311="数字冰冻单颗暂存盒"),OR(G311=0,G311=1),TRUE),IF(OR(D311="固定颜色盒",D311="广告锁定周转盒"),G311=0,TRUE)),TRUE)),"通过","需调整")</ns0:f>
        <ns0:v>通过</ns0:v>
      </ns0:c>
      <ns0:c r="P311" s="147" t="str">
        <ns0:v>单向收纳盒</ns0:v>
      </ns0:c>
      <ns0:c r="Q311" s="147" t="str">
        <ns0:v>固定层序见本关首行</ns0:v>
      </ns0:c>
      <ns0:c r="R311" s="150" t="n">
        <ns0:f>E311*H311</ns0:f>
        <ns0:v>0</ns0:v>
      </ns0:c>
    </ns0:row>
    <ns0:row r="312" ht="21" customHeight="1">
      <ns0:c r="A312" s="149" t="n">
        <ns0:v>52</ns0:v>
      </ns0:c>
      <ns0:c r="B312" s="145" t="str">
        <ns0:v>开局</ns0:v>
      </ns0:c>
      <ns0:c r="C312" s="145" t="str">
        <ns0:v>W6-052-05</ns0:v>
      </ns0:c>
      <ns0:c r="D312" s="145" t="str">
        <ns0:v>广告锁定周转盒</ns0:v>
      </ns0:c>
      <ns0:c r="E312" s="152" t="n">
        <ns0:v>2</ns0:v>
      </ns0:c>
      <ns0:c r="F312" s="152" t="n">
        <ns0:v>4</ns0:v>
      </ns0:c>
      <ns0:c r="G312" s="152" t="n">
        <ns0:v>0</ns0:v>
      </ns0:c>
      <ns0:c r="H312" s="152" t="n">
        <ns0:v>0</ns0:v>
      </ns0:c>
      <ns0:c r="I312" s="149" t="n">
        <ns0:f>E312*G312</ns0:f>
        <ns0:v>0</ns0:v>
      </ns0:c>
      <ns0:c r="J312" s="149" t="n">
        <ns0:f>E312*(F312-G312)</ns0:f>
        <ns0:v>8</ns0:v>
      </ns0:c>
      <ns0:c r="K312" s="149" t="n">
        <ns0:f>IF(AND(B312="开局",G312=0,OR(D312="普通盒",D312="单颗暂存盒")),J312,0)</ns0:f>
        <ns0:v>0</ns0:v>
      </ns0:c>
      <ns0:c r="L312" s="149" t="n">
        <ns0:f>IF(AND(B312="开局",G312&gt;0,OR(D312="普通盒",D312="底部置顶盒",D312="炸弹盒")),J312,0)</ns0:f>
        <ns0:v>0</ns0:v>
      </ns0:c>
      <ns0:c r="M312" s="149" t="n">
        <ns0:f>IF(AND(B312="开局",OR(D312="固定颜色盒",D312="单向收纳盒")),J312,0)</ns0:f>
        <ns0:v>0</ns0:v>
      </ns0:c>
      <ns0:c r="N312" s="149" t="n">
        <ns0:f>IF(AND(B312="开局",OR(D312="数字盖盒",D312="普通冰冻盒",D312="数字冰冻盒",D312="数字冰冻单颗暂存盒")),J312,0)</ns0:f>
        <ns0:v>0</ns0:v>
      </ns0:c>
      <ns0:c r="O312" s="145" t="str">
        <ns0:f>IF(AND(E312&gt;0,E312=INT(E312),G312&gt;=0,G312&lt;=F312,G312=INT(G312),OR(AND(F312=1,OR(D312="单颗暂存盒",D312="数字冰冻单颗暂存盒")),AND(F312=4,NOT(OR(D312="单颗暂存盒",D312="数字冰冻单颗暂存盒")))),IF(OR(D312="数字盖盒",D312="数字冰冻盒",D312="数字冰冻单颗暂存盒"),AND(H312&gt;=1,H312=INT(H312)),H312=0),IF(B312="开局",AND(IF(OR(D312="数字盖盒",D312="普通冰冻盒",D312="数字冰冻盒",D312="炸弹盒",D312="底部置顶盒"),OR(G312=3,G312=4),TRUE),IF(OR(D312="单向收纳盒",D312="单颗暂存盒",D312="数字冰冻单颗暂存盒"),OR(G312=0,G312=1),TRUE),IF(OR(D312="固定颜色盒",D312="广告锁定周转盒"),G312=0,TRUE)),TRUE)),"通过","需调整")</ns0:f>
        <ns0:v>通过</ns0:v>
      </ns0:c>
      <ns0:c r="P312" s="145" t="str">
        <ns0:v>双广告锁位</ns0:v>
      </ns0:c>
      <ns0:c r="Q312" s="145" t="str">
        <ns0:v>固定层序见本关首行</ns0:v>
      </ns0:c>
      <ns0:c r="R312" s="149" t="n">
        <ns0:f>E312*H312</ns0:f>
        <ns0:v>0</ns0:v>
      </ns0:c>
    </ns0:row>
    <ns0:row r="313" ht="21" customHeight="1">
      <ns0:c r="A313" s="150" t="n">
        <ns0:v>53</ns0:v>
      </ns0:c>
      <ns0:c r="B313" s="147" t="str">
        <ns0:v>开局</ns0:v>
      </ns0:c>
      <ns0:c r="C313" s="147" t="str">
        <ns0:v>W6-053-01</ns0:v>
      </ns0:c>
      <ns0:c r="D313" s="147" t="str">
        <ns0:v>普通盒</ns0:v>
      </ns0:c>
      <ns0:c r="E313" s="152" t="n">
        <ns0:v>16</ns0:v>
      </ns0:c>
      <ns0:c r="F313" s="152" t="n">
        <ns0:v>4</ns0:v>
      </ns0:c>
      <ns0:c r="G313" s="152" t="n">
        <ns0:v>4</ns0:v>
      </ns0:c>
      <ns0:c r="H313" s="152" t="n">
        <ns0:v>0</ns0:v>
      </ns0:c>
      <ns0:c r="I313" s="150" t="n">
        <ns0:f>E313*G313</ns0:f>
        <ns0:v>64</ns0:v>
      </ns0:c>
      <ns0:c r="J313" s="150" t="n">
        <ns0:f>E313*(F313-G313)</ns0:f>
        <ns0:v>0</ns0:v>
      </ns0:c>
      <ns0:c r="K313" s="150" t="n">
        <ns0:f>IF(AND(B313="开局",G313=0,OR(D313="普通盒",D313="单颗暂存盒")),J313,0)</ns0:f>
        <ns0:v>0</ns0:v>
      </ns0:c>
      <ns0:c r="L313" s="150" t="n">
        <ns0:f>IF(AND(B313="开局",G313&gt;0,OR(D313="普通盒",D313="底部置顶盒",D313="炸弹盒")),J313,0)</ns0:f>
        <ns0:v>0</ns0:v>
      </ns0:c>
      <ns0:c r="M313" s="150" t="n">
        <ns0:f>IF(AND(B313="开局",OR(D313="固定颜色盒",D313="单向收纳盒")),J313,0)</ns0:f>
        <ns0:v>0</ns0:v>
      </ns0:c>
      <ns0:c r="N313" s="150" t="n">
        <ns0:f>IF(AND(B313="开局",OR(D313="数字盖盒",D313="普通冰冻盒",D313="数字冰冻盒",D313="数字冰冻单颗暂存盒")),J313,0)</ns0:f>
        <ns0:v>0</ns0:v>
      </ns0:c>
      <ns0:c r="O313" s="147" t="str">
        <ns0:f>IF(AND(E313&gt;0,E313=INT(E313),G313&gt;=0,G313&lt;=F313,G313=INT(G313),OR(AND(F313=1,OR(D313="单颗暂存盒",D313="数字冰冻单颗暂存盒")),AND(F313=4,NOT(OR(D313="单颗暂存盒",D313="数字冰冻单颗暂存盒")))),IF(OR(D313="数字盖盒",D313="数字冰冻盒",D313="数字冰冻单颗暂存盒"),AND(H313&gt;=1,H313=INT(H313)),H313=0),IF(B313="开局",AND(IF(OR(D313="数字盖盒",D313="普通冰冻盒",D313="数字冰冻盒",D313="炸弹盒",D313="底部置顶盒"),OR(G313=3,G313=4),TRUE),IF(OR(D313="单向收纳盒",D313="单颗暂存盒",D313="数字冰冻单颗暂存盒"),OR(G313=0,G313=1),TRUE),IF(OR(D313="固定颜色盒",D313="广告锁定周转盒"),G313=0,TRUE)),TRUE)),"通过","需调整")</ns0:f>
        <ns0:v>通过</ns0:v>
      </ns0:c>
      <ns0:c r="P313" s="147" t="str">
        <ns0:v>普通盒</ns0:v>
      </ns0:c>
      <ns0:c r="Q313" s="147" t="str">
        <ns0:v>层序JSON:{"reference":"2026-10-12 第51至60关续接设计；自主层序与单向收纳节奏","slots":[{"group_id":"W6-053-01","layers":[4,6,0,0]},{"group_id":"W6-053-01","layers":[8,0,3,4]},{"group_id":"W6-053-01","layers":[8,12,4,0]},{"group_id":"W6-053-01","layers":[12,3,5,4]},{"group_id":"W6-053-01","layers":[3,2,0,6]},{"group_id":"W6-053-01","layers":[12,8,4,12]},{"group_id":"W6-053-01","layers":[2,5,0,3]},{"group_id":"W6-053-01","layers":[3,6,0,2]},{"group_id":"W6-053-01","layers":[5,6,12,2]},{"group_id":"W6-053-01","layers":[5,3,12,0]},{"group_id":"W6-053-01","layers":[4,8,6,5]},{"group_id":"W6-053-03","layers":[12,0,5,5]},{"group_id":"W6-053-01","layers":[6,2,4,8]},{"group_id":"W6-053-01","layers":[8,3,8,3]},{"group_id":"W6-053-01","layers":[12,0,4,2]},{"group_id":"W6-053-01","layers":[5,2,6,0]},{"group_id":"W6-053-01","layers":[0,8,6,2]},{"group_id":"W6-053-02","layers":[]},{"group_id":"W6-053-04","layers":[]}],"stock":[],"demand_sequences":[[0,2,4,3,3,0,0,5,2],[6,5,8,12,12,4,8,6]]}</ns0:v>
      </ns0:c>
      <ns0:c r="R313" s="150" t="n">
        <ns0:f>E313*H313</ns0:f>
        <ns0:v>0</ns0:v>
      </ns0:c>
    </ns0:row>
    <ns0:row r="314" ht="21" customHeight="1">
      <ns0:c r="A314" s="149" t="n">
        <ns0:v>53</ns0:v>
      </ns0:c>
      <ns0:c r="B314" s="145" t="str">
        <ns0:v>开局</ns0:v>
      </ns0:c>
      <ns0:c r="C314" s="145" t="str">
        <ns0:v>W6-053-02</ns0:v>
      </ns0:c>
      <ns0:c r="D314" s="145" t="str">
        <ns0:v>普通盒</ns0:v>
      </ns0:c>
      <ns0:c r="E314" s="152" t="n">
        <ns0:v>1</ns0:v>
      </ns0:c>
      <ns0:c r="F314" s="152" t="n">
        <ns0:v>4</ns0:v>
      </ns0:c>
      <ns0:c r="G314" s="152" t="n">
        <ns0:v>0</ns0:v>
      </ns0:c>
      <ns0:c r="H314" s="152" t="n">
        <ns0:v>0</ns0:v>
      </ns0:c>
      <ns0:c r="I314" s="149" t="n">
        <ns0:f>E314*G314</ns0:f>
        <ns0:v>0</ns0:v>
      </ns0:c>
      <ns0:c r="J314" s="149" t="n">
        <ns0:f>E314*(F314-G314)</ns0:f>
        <ns0:v>4</ns0:v>
      </ns0:c>
      <ns0:c r="K314" s="149" t="n">
        <ns0:f>IF(AND(B314="开局",G314=0,OR(D314="普通盒",D314="单颗暂存盒")),J314,0)</ns0:f>
        <ns0:v>4</ns0:v>
      </ns0:c>
      <ns0:c r="L314" s="149" t="n">
        <ns0:f>IF(AND(B314="开局",G314&gt;0,OR(D314="普通盒",D314="底部置顶盒",D314="炸弹盒")),J314,0)</ns0:f>
        <ns0:v>0</ns0:v>
      </ns0:c>
      <ns0:c r="M314" s="149" t="n">
        <ns0:f>IF(AND(B314="开局",OR(D314="固定颜色盒",D314="单向收纳盒")),J314,0)</ns0:f>
        <ns0:v>0</ns0:v>
      </ns0:c>
      <ns0:c r="N314" s="149" t="n">
        <ns0:f>IF(AND(B314="开局",OR(D314="数字盖盒",D314="普通冰冻盒",D314="数字冰冻盒",D314="数字冰冻单颗暂存盒")),J314,0)</ns0:f>
        <ns0:v>0</ns0:v>
      </ns0:c>
      <ns0:c r="O314" s="145" t="str">
        <ns0:f>IF(AND(E314&gt;0,E314=INT(E314),G314&gt;=0,G314&lt;=F314,G314=INT(G314),OR(AND(F314=1,OR(D314="单颗暂存盒",D314="数字冰冻单颗暂存盒")),AND(F314=4,NOT(OR(D314="单颗暂存盒",D314="数字冰冻单颗暂存盒")))),IF(OR(D314="数字盖盒",D314="数字冰冻盒",D314="数字冰冻单颗暂存盒"),AND(H314&gt;=1,H314=INT(H314)),H314=0),IF(B314="开局",AND(IF(OR(D314="数字盖盒",D314="普通冰冻盒",D314="数字冰冻盒",D314="炸弹盒",D314="底部置顶盒"),OR(G314=3,G314=4),TRUE),IF(OR(D314="单向收纳盒",D314="单颗暂存盒",D314="数字冰冻单颗暂存盒"),OR(G314=0,G314=1),TRUE),IF(OR(D314="固定颜色盒",D314="广告锁定周转盒"),G314=0,TRUE)),TRUE)),"通过","需调整")</ns0:f>
        <ns0:v>通过</ns0:v>
      </ns0:c>
      <ns0:c r="P314" s="145" t="str">
        <ns0:v>普通盒</ns0:v>
      </ns0:c>
      <ns0:c r="Q314" s="145" t="str">
        <ns0:v>固定层序见本关首行</ns0:v>
      </ns0:c>
      <ns0:c r="R314" s="149" t="n">
        <ns0:f>E314*H314</ns0:f>
        <ns0:v>0</ns0:v>
      </ns0:c>
    </ns0:row>
    <ns0:row r="315" ht="21" customHeight="1">
      <ns0:c r="A315" s="150" t="n">
        <ns0:v>53</ns0:v>
      </ns0:c>
      <ns0:c r="B315" s="147" t="str">
        <ns0:v>开局</ns0:v>
      </ns0:c>
      <ns0:c r="C315" s="147" t="str">
        <ns0:v>W6-053-03</ns0:v>
      </ns0:c>
      <ns0:c r="D315" s="147" t="str">
        <ns0:v>数字冰冻盒</ns0:v>
      </ns0:c>
      <ns0:c r="E315" s="152" t="n">
        <ns0:v>1</ns0:v>
      </ns0:c>
      <ns0:c r="F315" s="152" t="n">
        <ns0:v>4</ns0:v>
      </ns0:c>
      <ns0:c r="G315" s="152" t="n">
        <ns0:v>4</ns0:v>
      </ns0:c>
      <ns0:c r="H315" s="152" t="n">
        <ns0:v>1</ns0:v>
      </ns0:c>
      <ns0:c r="I315" s="150" t="n">
        <ns0:f>E315*G315</ns0:f>
        <ns0:v>4</ns0:v>
      </ns0:c>
      <ns0:c r="J315" s="150" t="n">
        <ns0:f>E315*(F315-G315)</ns0:f>
        <ns0:v>0</ns0:v>
      </ns0:c>
      <ns0:c r="K315" s="150" t="n">
        <ns0:f>IF(AND(B315="开局",G315=0,OR(D315="普通盒",D315="单颗暂存盒")),J315,0)</ns0:f>
        <ns0:v>0</ns0:v>
      </ns0:c>
      <ns0:c r="L315" s="150" t="n">
        <ns0:f>IF(AND(B315="开局",G315&gt;0,OR(D315="普通盒",D315="底部置顶盒",D315="炸弹盒")),J315,0)</ns0:f>
        <ns0:v>0</ns0:v>
      </ns0:c>
      <ns0:c r="M315" s="150" t="n">
        <ns0:f>IF(AND(B315="开局",OR(D315="固定颜色盒",D315="单向收纳盒")),J315,0)</ns0:f>
        <ns0:v>0</ns0:v>
      </ns0:c>
      <ns0:c r="N315" s="150" t="n">
        <ns0:f>IF(AND(B315="开局",OR(D315="数字盖盒",D315="普通冰冻盒",D315="数字冰冻盒",D315="数字冰冻单颗暂存盒")),J315,0)</ns0:f>
        <ns0:v>0</ns0:v>
      </ns0:c>
      <ns0:c r="O315" s="147" t="str">
        <ns0:f>IF(AND(E315&gt;0,E315=INT(E315),G315&gt;=0,G315&lt;=F315,G315=INT(G315),OR(AND(F315=1,OR(D315="单颗暂存盒",D315="数字冰冻单颗暂存盒")),AND(F315=4,NOT(OR(D315="单颗暂存盒",D315="数字冰冻单颗暂存盒")))),IF(OR(D315="数字盖盒",D315="数字冰冻盒",D315="数字冰冻单颗暂存盒"),AND(H315&gt;=1,H315=INT(H315)),H315=0),IF(B315="开局",AND(IF(OR(D315="数字盖盒",D315="普通冰冻盒",D315="数字冰冻盒",D315="炸弹盒",D315="底部置顶盒"),OR(G315=3,G315=4),TRUE),IF(OR(D315="单向收纳盒",D315="单颗暂存盒",D315="数字冰冻单颗暂存盒"),OR(G315=0,G315=1),TRUE),IF(OR(D315="固定颜色盒",D315="广告锁定周转盒"),G315=0,TRUE)),TRUE)),"通过","需调整")</ns0:f>
        <ns0:v>通过</ns0:v>
      </ns0:c>
      <ns0:c r="P315" s="147" t="str">
        <ns0:v>数字冰冻盒</ns0:v>
      </ns0:c>
      <ns0:c r="Q315" s="147" t="str">
        <ns0:v>固定层序见本关首行</ns0:v>
      </ns0:c>
      <ns0:c r="R315" s="150" t="n">
        <ns0:f>E315*H315</ns0:f>
        <ns0:v>1</ns0:v>
      </ns0:c>
    </ns0:row>
    <ns0:row r="316" ht="21" customHeight="1">
      <ns0:c r="A316" s="149" t="n">
        <ns0:v>53</ns0:v>
      </ns0:c>
      <ns0:c r="B316" s="145" t="str">
        <ns0:v>开局</ns0:v>
      </ns0:c>
      <ns0:c r="C316" s="145" t="str">
        <ns0:v>W6-053-04</ns0:v>
      </ns0:c>
      <ns0:c r="D316" s="145" t="str">
        <ns0:v>单向收纳盒</ns0:v>
      </ns0:c>
      <ns0:c r="E316" s="152" t="n">
        <ns0:v>1</ns0:v>
      </ns0:c>
      <ns0:c r="F316" s="152" t="n">
        <ns0:v>4</ns0:v>
      </ns0:c>
      <ns0:c r="G316" s="152" t="n">
        <ns0:v>0</ns0:v>
      </ns0:c>
      <ns0:c r="H316" s="152" t="n">
        <ns0:v>0</ns0:v>
      </ns0:c>
      <ns0:c r="I316" s="149" t="n">
        <ns0:f>E316*G316</ns0:f>
        <ns0:v>0</ns0:v>
      </ns0:c>
      <ns0:c r="J316" s="149" t="n">
        <ns0:f>E316*(F316-G316)</ns0:f>
        <ns0:v>4</ns0:v>
      </ns0:c>
      <ns0:c r="K316" s="149" t="n">
        <ns0:f>IF(AND(B316="开局",G316=0,OR(D316="普通盒",D316="单颗暂存盒")),J316,0)</ns0:f>
        <ns0:v>0</ns0:v>
      </ns0:c>
      <ns0:c r="L316" s="149" t="n">
        <ns0:f>IF(AND(B316="开局",G316&gt;0,OR(D316="普通盒",D316="底部置顶盒",D316="炸弹盒")),J316,0)</ns0:f>
        <ns0:v>0</ns0:v>
      </ns0:c>
      <ns0:c r="M316" s="149" t="n">
        <ns0:f>IF(AND(B316="开局",OR(D316="固定颜色盒",D316="单向收纳盒")),J316,0)</ns0:f>
        <ns0:v>4</ns0:v>
      </ns0:c>
      <ns0:c r="N316" s="149" t="n">
        <ns0:f>IF(AND(B316="开局",OR(D316="数字盖盒",D316="普通冰冻盒",D316="数字冰冻盒",D316="数字冰冻单颗暂存盒")),J316,0)</ns0:f>
        <ns0:v>0</ns0:v>
      </ns0:c>
      <ns0:c r="O316" s="145" t="str">
        <ns0:f>IF(AND(E316&gt;0,E316=INT(E316),G316&gt;=0,G316&lt;=F316,G316=INT(G316),OR(AND(F316=1,OR(D316="单颗暂存盒",D316="数字冰冻单颗暂存盒")),AND(F316=4,NOT(OR(D316="单颗暂存盒",D316="数字冰冻单颗暂存盒")))),IF(OR(D316="数字盖盒",D316="数字冰冻盒",D316="数字冰冻单颗暂存盒"),AND(H316&gt;=1,H316=INT(H316)),H316=0),IF(B316="开局",AND(IF(OR(D316="数字盖盒",D316="普通冰冻盒",D316="数字冰冻盒",D316="炸弹盒",D316="底部置顶盒"),OR(G316=3,G316=4),TRUE),IF(OR(D316="单向收纳盒",D316="单颗暂存盒",D316="数字冰冻单颗暂存盒"),OR(G316=0,G316=1),TRUE),IF(OR(D316="固定颜色盒",D316="广告锁定周转盒"),G316=0,TRUE)),TRUE)),"通过","需调整")</ns0:f>
        <ns0:v>通过</ns0:v>
      </ns0:c>
      <ns0:c r="P316" s="145" t="str">
        <ns0:v>单向收纳盒</ns0:v>
      </ns0:c>
      <ns0:c r="Q316" s="145" t="str">
        <ns0:v>固定层序见本关首行</ns0:v>
      </ns0:c>
      <ns0:c r="R316" s="149" t="n">
        <ns0:f>E316*H316</ns0:f>
        <ns0:v>0</ns0:v>
      </ns0:c>
    </ns0:row>
    <ns0:row r="317" ht="21" customHeight="1">
      <ns0:c r="A317" s="150" t="n">
        <ns0:v>53</ns0:v>
      </ns0:c>
      <ns0:c r="B317" s="147" t="str">
        <ns0:v>开局</ns0:v>
      </ns0:c>
      <ns0:c r="C317" s="147" t="str">
        <ns0:v>W6-053-05</ns0:v>
      </ns0:c>
      <ns0:c r="D317" s="147" t="str">
        <ns0:v>广告锁定周转盒</ns0:v>
      </ns0:c>
      <ns0:c r="E317" s="152" t="n">
        <ns0:v>2</ns0:v>
      </ns0:c>
      <ns0:c r="F317" s="152" t="n">
        <ns0:v>4</ns0:v>
      </ns0:c>
      <ns0:c r="G317" s="152" t="n">
        <ns0:v>0</ns0:v>
      </ns0:c>
      <ns0:c r="H317" s="152" t="n">
        <ns0:v>0</ns0:v>
      </ns0:c>
      <ns0:c r="I317" s="150" t="n">
        <ns0:f>E317*G317</ns0:f>
        <ns0:v>0</ns0:v>
      </ns0:c>
      <ns0:c r="J317" s="150" t="n">
        <ns0:f>E317*(F317-G317)</ns0:f>
        <ns0:v>8</ns0:v>
      </ns0:c>
      <ns0:c r="K317" s="150" t="n">
        <ns0:f>IF(AND(B317="开局",G317=0,OR(D317="普通盒",D317="单颗暂存盒")),J317,0)</ns0:f>
        <ns0:v>0</ns0:v>
      </ns0:c>
      <ns0:c r="L317" s="150" t="n">
        <ns0:f>IF(AND(B317="开局",G317&gt;0,OR(D317="普通盒",D317="底部置顶盒",D317="炸弹盒")),J317,0)</ns0:f>
        <ns0:v>0</ns0:v>
      </ns0:c>
      <ns0:c r="M317" s="150" t="n">
        <ns0:f>IF(AND(B317="开局",OR(D317="固定颜色盒",D317="单向收纳盒")),J317,0)</ns0:f>
        <ns0:v>0</ns0:v>
      </ns0:c>
      <ns0:c r="N317" s="150" t="n">
        <ns0:f>IF(AND(B317="开局",OR(D317="数字盖盒",D317="普通冰冻盒",D317="数字冰冻盒",D317="数字冰冻单颗暂存盒")),J317,0)</ns0:f>
        <ns0:v>0</ns0:v>
      </ns0:c>
      <ns0:c r="O317" s="147" t="str">
        <ns0:f>IF(AND(E317&gt;0,E317=INT(E317),G317&gt;=0,G317&lt;=F317,G317=INT(G317),OR(AND(F317=1,OR(D317="单颗暂存盒",D317="数字冰冻单颗暂存盒")),AND(F317=4,NOT(OR(D317="单颗暂存盒",D317="数字冰冻单颗暂存盒")))),IF(OR(D317="数字盖盒",D317="数字冰冻盒",D317="数字冰冻单颗暂存盒"),AND(H317&gt;=1,H317=INT(H317)),H317=0),IF(B317="开局",AND(IF(OR(D317="数字盖盒",D317="普通冰冻盒",D317="数字冰冻盒",D317="炸弹盒",D317="底部置顶盒"),OR(G317=3,G317=4),TRUE),IF(OR(D317="单向收纳盒",D317="单颗暂存盒",D317="数字冰冻单颗暂存盒"),OR(G317=0,G317=1),TRUE),IF(OR(D317="固定颜色盒",D317="广告锁定周转盒"),G317=0,TRUE)),TRUE)),"通过","需调整")</ns0:f>
        <ns0:v>通过</ns0:v>
      </ns0:c>
      <ns0:c r="P317" s="147" t="str">
        <ns0:v>双广告锁位</ns0:v>
      </ns0:c>
      <ns0:c r="Q317" s="147" t="str">
        <ns0:v>固定层序见本关首行</ns0:v>
      </ns0:c>
      <ns0:c r="R317" s="150" t="n">
        <ns0:f>E317*H317</ns0:f>
        <ns0:v>0</ns0:v>
      </ns0:c>
    </ns0:row>
    <ns0:row r="318" ht="21" customHeight="1">
      <ns0:c r="A318" s="149" t="n">
        <ns0:v>54</ns0:v>
      </ns0:c>
      <ns0:c r="B318" s="145" t="str">
        <ns0:v>开局</ns0:v>
      </ns0:c>
      <ns0:c r="C318" s="145" t="str">
        <ns0:v>W6-054-01</ns0:v>
      </ns0:c>
      <ns0:c r="D318" s="145" t="str">
        <ns0:v>普通盒</ns0:v>
      </ns0:c>
      <ns0:c r="E318" s="152" t="n">
        <ns0:v>12</ns0:v>
      </ns0:c>
      <ns0:c r="F318" s="152" t="n">
        <ns0:v>4</ns0:v>
      </ns0:c>
      <ns0:c r="G318" s="152" t="n">
        <ns0:v>4</ns0:v>
      </ns0:c>
      <ns0:c r="H318" s="152" t="n">
        <ns0:v>0</ns0:v>
      </ns0:c>
      <ns0:c r="I318" s="149" t="n">
        <ns0:f>E318*G318</ns0:f>
        <ns0:v>48</ns0:v>
      </ns0:c>
      <ns0:c r="J318" s="149" t="n">
        <ns0:f>E318*(F318-G318)</ns0:f>
        <ns0:v>0</ns0:v>
      </ns0:c>
      <ns0:c r="K318" s="149" t="n">
        <ns0:f>IF(AND(B318="开局",G318=0,OR(D318="普通盒",D318="单颗暂存盒")),J318,0)</ns0:f>
        <ns0:v>0</ns0:v>
      </ns0:c>
      <ns0:c r="L318" s="149" t="n">
        <ns0:f>IF(AND(B318="开局",G318&gt;0,OR(D318="普通盒",D318="底部置顶盒",D318="炸弹盒")),J318,0)</ns0:f>
        <ns0:v>0</ns0:v>
      </ns0:c>
      <ns0:c r="M318" s="149" t="n">
        <ns0:f>IF(AND(B318="开局",OR(D318="固定颜色盒",D318="单向收纳盒")),J318,0)</ns0:f>
        <ns0:v>0</ns0:v>
      </ns0:c>
      <ns0:c r="N318" s="149" t="n">
        <ns0:f>IF(AND(B318="开局",OR(D318="数字盖盒",D318="普通冰冻盒",D318="数字冰冻盒",D318="数字冰冻单颗暂存盒")),J318,0)</ns0:f>
        <ns0:v>0</ns0:v>
      </ns0:c>
      <ns0:c r="O318" s="145" t="str">
        <ns0:f>IF(AND(E318&gt;0,E318=INT(E318),G318&gt;=0,G318&lt;=F318,G318=INT(G318),OR(AND(F318=1,OR(D318="单颗暂存盒",D318="数字冰冻单颗暂存盒")),AND(F318=4,NOT(OR(D318="单颗暂存盒",D318="数字冰冻单颗暂存盒")))),IF(OR(D318="数字盖盒",D318="数字冰冻盒",D318="数字冰冻单颗暂存盒"),AND(H318&gt;=1,H318=INT(H318)),H318=0),IF(B318="开局",AND(IF(OR(D318="数字盖盒",D318="普通冰冻盒",D318="数字冰冻盒",D318="炸弹盒",D318="底部置顶盒"),OR(G318=3,G318=4),TRUE),IF(OR(D318="单向收纳盒",D318="单颗暂存盒",D318="数字冰冻单颗暂存盒"),OR(G318=0,G318=1),TRUE),IF(OR(D318="固定颜色盒",D318="广告锁定周转盒"),G318=0,TRUE)),TRUE)),"通过","需调整")</ns0:f>
        <ns0:v>通过</ns0:v>
      </ns0:c>
      <ns0:c r="P318" s="145" t="str">
        <ns0:v>普通盒</ns0:v>
      </ns0:c>
      <ns0:c r="Q318" s="145" t="str">
        <ns0:v>层序JSON:{"reference":"2026-10-12 第51至60关续接设计；自主层序与单向收纳节奏","slots":[{"group_id":"W6-054-05","layers":[2,0,3,8]},{"group_id":"W6-054-01","layers":[2,8,2,12]},{"group_id":"W6-054-01","layers":[4,0,6,4]},{"group_id":"W6-054-01","layers":[0,6,0,4]},{"group_id":"W6-054-03","layers":[12,12]},{"group_id":"W6-054-02","layers":[0,3,6]},{"group_id":"W6-054-01","layers":[5,4,0,3]},{"group_id":"W6-054-05","layers":[6,6,2,12]},{"group_id":"W6-054-01","layers":[0,3,6,4]},{"group_id":"W6-054-01","layers":[8,0,6,2]},{"group_id":"W6-054-01","layers":[0,4,8,2]},{"group_id":"W6-054-01","layers":[4,3,5,5]},{"group_id":"W6-054-02","layers":[0,12,8]},{"group_id":"W6-054-01","layers":[2,8,5,6]},{"group_id":"W6-054-01","layers":[5,3,0,5]},{"group_id":"W6-054-01","layers":[3,8,4,0]},{"group_id":"W6-054-01","layers":[2,12,8,12]},{"group_id":"W6-054-04","layers":[]}],"stock":[{"group_id":"W6-054-07","layers":[5,5,12,3]}],"demand_sequences":[[0,6,3,2,5,8,12,0,2],[4,5,0,4,12,8,3,6]]}</ns0:v>
      </ns0:c>
      <ns0:c r="R318" s="149" t="n">
        <ns0:f>E318*H318</ns0:f>
        <ns0:v>0</ns0:v>
      </ns0:c>
    </ns0:row>
    <ns0:row r="319" ht="21" customHeight="1">
      <ns0:c r="A319" s="150" t="n">
        <ns0:v>54</ns0:v>
      </ns0:c>
      <ns0:c r="B319" s="147" t="str">
        <ns0:v>开局</ns0:v>
      </ns0:c>
      <ns0:c r="C319" s="147" t="str">
        <ns0:v>W6-054-02</ns0:v>
      </ns0:c>
      <ns0:c r="D319" s="147" t="str">
        <ns0:v>普通盒</ns0:v>
      </ns0:c>
      <ns0:c r="E319" s="152" t="n">
        <ns0:v>2</ns0:v>
      </ns0:c>
      <ns0:c r="F319" s="152" t="n">
        <ns0:v>4</ns0:v>
      </ns0:c>
      <ns0:c r="G319" s="152" t="n">
        <ns0:v>3</ns0:v>
      </ns0:c>
      <ns0:c r="H319" s="152" t="n">
        <ns0:v>0</ns0:v>
      </ns0:c>
      <ns0:c r="I319" s="150" t="n">
        <ns0:f>E319*G319</ns0:f>
        <ns0:v>6</ns0:v>
      </ns0:c>
      <ns0:c r="J319" s="150" t="n">
        <ns0:f>E319*(F319-G319)</ns0:f>
        <ns0:v>2</ns0:v>
      </ns0:c>
      <ns0:c r="K319" s="150" t="n">
        <ns0:f>IF(AND(B319="开局",G319=0,OR(D319="普通盒",D319="单颗暂存盒")),J319,0)</ns0:f>
        <ns0:v>0</ns0:v>
      </ns0:c>
      <ns0:c r="L319" s="150" t="n">
        <ns0:f>IF(AND(B319="开局",G319&gt;0,OR(D319="普通盒",D319="底部置顶盒",D319="炸弹盒")),J319,0)</ns0:f>
        <ns0:v>2</ns0:v>
      </ns0:c>
      <ns0:c r="M319" s="150" t="n">
        <ns0:f>IF(AND(B319="开局",OR(D319="固定颜色盒",D319="单向收纳盒")),J319,0)</ns0:f>
        <ns0:v>0</ns0:v>
      </ns0:c>
      <ns0:c r="N319" s="150" t="n">
        <ns0:f>IF(AND(B319="开局",OR(D319="数字盖盒",D319="普通冰冻盒",D319="数字冰冻盒",D319="数字冰冻单颗暂存盒")),J319,0)</ns0:f>
        <ns0:v>0</ns0:v>
      </ns0:c>
      <ns0:c r="O319" s="147" t="str">
        <ns0:f>IF(AND(E319&gt;0,E319=INT(E319),G319&gt;=0,G319&lt;=F319,G319=INT(G319),OR(AND(F319=1,OR(D319="单颗暂存盒",D319="数字冰冻单颗暂存盒")),AND(F319=4,NOT(OR(D319="单颗暂存盒",D319="数字冰冻单颗暂存盒")))),IF(OR(D319="数字盖盒",D319="数字冰冻盒",D319="数字冰冻单颗暂存盒"),AND(H319&gt;=1,H319=INT(H319)),H319=0),IF(B319="开局",AND(IF(OR(D319="数字盖盒",D319="普通冰冻盒",D319="数字冰冻盒",D319="炸弹盒",D319="底部置顶盒"),OR(G319=3,G319=4),TRUE),IF(OR(D319="单向收纳盒",D319="单颗暂存盒",D319="数字冰冻单颗暂存盒"),OR(G319=0,G319=1),TRUE),IF(OR(D319="固定颜色盒",D319="广告锁定周转盒"),G319=0,TRUE)),TRUE)),"通过","需调整")</ns0:f>
        <ns0:v>通过</ns0:v>
      </ns0:c>
      <ns0:c r="P319" s="147" t="str">
        <ns0:v>普通盒</ns0:v>
      </ns0:c>
      <ns0:c r="Q319" s="147" t="str">
        <ns0:v>固定层序见本关首行</ns0:v>
      </ns0:c>
      <ns0:c r="R319" s="150" t="n">
        <ns0:f>E319*H319</ns0:f>
        <ns0:v>0</ns0:v>
      </ns0:c>
    </ns0:row>
    <ns0:row r="320" ht="21" customHeight="1">
      <ns0:c r="A320" s="149" t="n">
        <ns0:v>54</ns0:v>
      </ns0:c>
      <ns0:c r="B320" s="145" t="str">
        <ns0:v>开局</ns0:v>
      </ns0:c>
      <ns0:c r="C320" s="145" t="str">
        <ns0:v>W6-054-03</ns0:v>
      </ns0:c>
      <ns0:c r="D320" s="145" t="str">
        <ns0:v>普通盒</ns0:v>
      </ns0:c>
      <ns0:c r="E320" s="152" t="n">
        <ns0:v>1</ns0:v>
      </ns0:c>
      <ns0:c r="F320" s="152" t="n">
        <ns0:v>4</ns0:v>
      </ns0:c>
      <ns0:c r="G320" s="152" t="n">
        <ns0:v>2</ns0:v>
      </ns0:c>
      <ns0:c r="H320" s="152" t="n">
        <ns0:v>0</ns0:v>
      </ns0:c>
      <ns0:c r="I320" s="149" t="n">
        <ns0:f>E320*G320</ns0:f>
        <ns0:v>2</ns0:v>
      </ns0:c>
      <ns0:c r="J320" s="149" t="n">
        <ns0:f>E320*(F320-G320)</ns0:f>
        <ns0:v>2</ns0:v>
      </ns0:c>
      <ns0:c r="K320" s="149" t="n">
        <ns0:f>IF(AND(B320="开局",G320=0,OR(D320="普通盒",D320="单颗暂存盒")),J320,0)</ns0:f>
        <ns0:v>0</ns0:v>
      </ns0:c>
      <ns0:c r="L320" s="149" t="n">
        <ns0:f>IF(AND(B320="开局",G320&gt;0,OR(D320="普通盒",D320="底部置顶盒",D320="炸弹盒")),J320,0)</ns0:f>
        <ns0:v>2</ns0:v>
      </ns0:c>
      <ns0:c r="M320" s="149" t="n">
        <ns0:f>IF(AND(B320="开局",OR(D320="固定颜色盒",D320="单向收纳盒")),J320,0)</ns0:f>
        <ns0:v>0</ns0:v>
      </ns0:c>
      <ns0:c r="N320" s="149" t="n">
        <ns0:f>IF(AND(B320="开局",OR(D320="数字盖盒",D320="普通冰冻盒",D320="数字冰冻盒",D320="数字冰冻单颗暂存盒")),J320,0)</ns0:f>
        <ns0:v>0</ns0:v>
      </ns0:c>
      <ns0:c r="O320" s="145" t="str">
        <ns0:f>IF(AND(E320&gt;0,E320=INT(E320),G320&gt;=0,G320&lt;=F320,G320=INT(G320),OR(AND(F320=1,OR(D320="单颗暂存盒",D320="数字冰冻单颗暂存盒")),AND(F320=4,NOT(OR(D320="单颗暂存盒",D320="数字冰冻单颗暂存盒")))),IF(OR(D320="数字盖盒",D320="数字冰冻盒",D320="数字冰冻单颗暂存盒"),AND(H320&gt;=1,H320=INT(H320)),H320=0),IF(B320="开局",AND(IF(OR(D320="数字盖盒",D320="普通冰冻盒",D320="数字冰冻盒",D320="炸弹盒",D320="底部置顶盒"),OR(G320=3,G320=4),TRUE),IF(OR(D320="单向收纳盒",D320="单颗暂存盒",D320="数字冰冻单颗暂存盒"),OR(G320=0,G320=1),TRUE),IF(OR(D320="固定颜色盒",D320="广告锁定周转盒"),G320=0,TRUE)),TRUE)),"通过","需调整")</ns0:f>
        <ns0:v>通过</ns0:v>
      </ns0:c>
      <ns0:c r="P320" s="145" t="str">
        <ns0:v>普通盒</ns0:v>
      </ns0:c>
      <ns0:c r="Q320" s="145" t="str">
        <ns0:v>固定层序见本关首行</ns0:v>
      </ns0:c>
      <ns0:c r="R320" s="149" t="n">
        <ns0:f>E320*H320</ns0:f>
        <ns0:v>0</ns0:v>
      </ns0:c>
    </ns0:row>
    <ns0:row r="321" ht="21" customHeight="1">
      <ns0:c r="A321" s="150" t="n">
        <ns0:v>54</ns0:v>
      </ns0:c>
      <ns0:c r="B321" s="147" t="str">
        <ns0:v>开局</ns0:v>
      </ns0:c>
      <ns0:c r="C321" s="147" t="str">
        <ns0:v>W6-054-04</ns0:v>
      </ns0:c>
      <ns0:c r="D321" s="147" t="str">
        <ns0:v>普通盒</ns0:v>
      </ns0:c>
      <ns0:c r="E321" s="152" t="n">
        <ns0:v>1</ns0:v>
      </ns0:c>
      <ns0:c r="F321" s="152" t="n">
        <ns0:v>4</ns0:v>
      </ns0:c>
      <ns0:c r="G321" s="152" t="n">
        <ns0:v>0</ns0:v>
      </ns0:c>
      <ns0:c r="H321" s="152" t="n">
        <ns0:v>0</ns0:v>
      </ns0:c>
      <ns0:c r="I321" s="150" t="n">
        <ns0:f>E321*G321</ns0:f>
        <ns0:v>0</ns0:v>
      </ns0:c>
      <ns0:c r="J321" s="150" t="n">
        <ns0:f>E321*(F321-G321)</ns0:f>
        <ns0:v>4</ns0:v>
      </ns0:c>
      <ns0:c r="K321" s="150" t="n">
        <ns0:f>IF(AND(B321="开局",G321=0,OR(D321="普通盒",D321="单颗暂存盒")),J321,0)</ns0:f>
        <ns0:v>4</ns0:v>
      </ns0:c>
      <ns0:c r="L321" s="150" t="n">
        <ns0:f>IF(AND(B321="开局",G321&gt;0,OR(D321="普通盒",D321="底部置顶盒",D321="炸弹盒")),J321,0)</ns0:f>
        <ns0:v>0</ns0:v>
      </ns0:c>
      <ns0:c r="M321" s="150" t="n">
        <ns0:f>IF(AND(B321="开局",OR(D321="固定颜色盒",D321="单向收纳盒")),J321,0)</ns0:f>
        <ns0:v>0</ns0:v>
      </ns0:c>
      <ns0:c r="N321" s="150" t="n">
        <ns0:f>IF(AND(B321="开局",OR(D321="数字盖盒",D321="普通冰冻盒",D321="数字冰冻盒",D321="数字冰冻单颗暂存盒")),J321,0)</ns0:f>
        <ns0:v>0</ns0:v>
      </ns0:c>
      <ns0:c r="O321" s="147" t="str">
        <ns0:f>IF(AND(E321&gt;0,E321=INT(E321),G321&gt;=0,G321&lt;=F321,G321=INT(G321),OR(AND(F321=1,OR(D321="单颗暂存盒",D321="数字冰冻单颗暂存盒")),AND(F321=4,NOT(OR(D321="单颗暂存盒",D321="数字冰冻单颗暂存盒")))),IF(OR(D321="数字盖盒",D321="数字冰冻盒",D321="数字冰冻单颗暂存盒"),AND(H321&gt;=1,H321=INT(H321)),H321=0),IF(B321="开局",AND(IF(OR(D321="数字盖盒",D321="普通冰冻盒",D321="数字冰冻盒",D321="炸弹盒",D321="底部置顶盒"),OR(G321=3,G321=4),TRUE),IF(OR(D321="单向收纳盒",D321="单颗暂存盒",D321="数字冰冻单颗暂存盒"),OR(G321=0,G321=1),TRUE),IF(OR(D321="固定颜色盒",D321="广告锁定周转盒"),G321=0,TRUE)),TRUE)),"通过","需调整")</ns0:f>
        <ns0:v>通过</ns0:v>
      </ns0:c>
      <ns0:c r="P321" s="147" t="str">
        <ns0:v>普通盒</ns0:v>
      </ns0:c>
      <ns0:c r="Q321" s="147" t="str">
        <ns0:v>固定层序见本关首行</ns0:v>
      </ns0:c>
      <ns0:c r="R321" s="150" t="n">
        <ns0:f>E321*H321</ns0:f>
        <ns0:v>0</ns0:v>
      </ns0:c>
    </ns0:row>
    <ns0:row r="322" ht="21" customHeight="1">
      <ns0:c r="A322" s="149" t="n">
        <ns0:v>54</ns0:v>
      </ns0:c>
      <ns0:c r="B322" s="145" t="str">
        <ns0:v>开局</ns0:v>
      </ns0:c>
      <ns0:c r="C322" s="145" t="str">
        <ns0:v>W6-054-05</ns0:v>
      </ns0:c>
      <ns0:c r="D322" s="145" t="str">
        <ns0:v>数字冰冻盒</ns0:v>
      </ns0:c>
      <ns0:c r="E322" s="152" t="n">
        <ns0:v>2</ns0:v>
      </ns0:c>
      <ns0:c r="F322" s="152" t="n">
        <ns0:v>4</ns0:v>
      </ns0:c>
      <ns0:c r="G322" s="152" t="n">
        <ns0:v>4</ns0:v>
      </ns0:c>
      <ns0:c r="H322" s="152" t="n">
        <ns0:v>1</ns0:v>
      </ns0:c>
      <ns0:c r="I322" s="149" t="n">
        <ns0:f>E322*G322</ns0:f>
        <ns0:v>8</ns0:v>
      </ns0:c>
      <ns0:c r="J322" s="149" t="n">
        <ns0:f>E322*(F322-G322)</ns0:f>
        <ns0:v>0</ns0:v>
      </ns0:c>
      <ns0:c r="K322" s="149" t="n">
        <ns0:f>IF(AND(B322="开局",G322=0,OR(D322="普通盒",D322="单颗暂存盒")),J322,0)</ns0:f>
        <ns0:v>0</ns0:v>
      </ns0:c>
      <ns0:c r="L322" s="149" t="n">
        <ns0:f>IF(AND(B322="开局",G322&gt;0,OR(D322="普通盒",D322="底部置顶盒",D322="炸弹盒")),J322,0)</ns0:f>
        <ns0:v>0</ns0:v>
      </ns0:c>
      <ns0:c r="M322" s="149" t="n">
        <ns0:f>IF(AND(B322="开局",OR(D322="固定颜色盒",D322="单向收纳盒")),J322,0)</ns0:f>
        <ns0:v>0</ns0:v>
      </ns0:c>
      <ns0:c r="N322" s="149" t="n">
        <ns0:f>IF(AND(B322="开局",OR(D322="数字盖盒",D322="普通冰冻盒",D322="数字冰冻盒",D322="数字冰冻单颗暂存盒")),J322,0)</ns0:f>
        <ns0:v>0</ns0:v>
      </ns0:c>
      <ns0:c r="O322" s="145" t="str">
        <ns0:f>IF(AND(E322&gt;0,E322=INT(E322),G322&gt;=0,G322&lt;=F322,G322=INT(G322),OR(AND(F322=1,OR(D322="单颗暂存盒",D322="数字冰冻单颗暂存盒")),AND(F322=4,NOT(OR(D322="单颗暂存盒",D322="数字冰冻单颗暂存盒")))),IF(OR(D322="数字盖盒",D322="数字冰冻盒",D322="数字冰冻单颗暂存盒"),AND(H322&gt;=1,H322=INT(H322)),H322=0),IF(B322="开局",AND(IF(OR(D322="数字盖盒",D322="普通冰冻盒",D322="数字冰冻盒",D322="炸弹盒",D322="底部置顶盒"),OR(G322=3,G322=4),TRUE),IF(OR(D322="单向收纳盒",D322="单颗暂存盒",D322="数字冰冻单颗暂存盒"),OR(G322=0,G322=1),TRUE),IF(OR(D322="固定颜色盒",D322="广告锁定周转盒"),G322=0,TRUE)),TRUE)),"通过","需调整")</ns0:f>
        <ns0:v>通过</ns0:v>
      </ns0:c>
      <ns0:c r="P322" s="145" t="str">
        <ns0:v>数字冰冻盒</ns0:v>
      </ns0:c>
      <ns0:c r="Q322" s="145" t="str">
        <ns0:v>固定层序见本关首行</ns0:v>
      </ns0:c>
      <ns0:c r="R322" s="149" t="n">
        <ns0:f>E322*H322</ns0:f>
        <ns0:v>2</ns0:v>
      </ns0:c>
    </ns0:row>
    <ns0:row r="323" ht="21" customHeight="1">
      <ns0:c r="A323" s="150" t="n">
        <ns0:v>54</ns0:v>
      </ns0:c>
      <ns0:c r="B323" s="147" t="str">
        <ns0:v>开局</ns0:v>
      </ns0:c>
      <ns0:c r="C323" s="147" t="str">
        <ns0:v>W6-054-06</ns0:v>
      </ns0:c>
      <ns0:c r="D323" s="147" t="str">
        <ns0:v>广告锁定周转盒</ns0:v>
      </ns0:c>
      <ns0:c r="E323" s="152" t="n">
        <ns0:v>2</ns0:v>
      </ns0:c>
      <ns0:c r="F323" s="152" t="n">
        <ns0:v>4</ns0:v>
      </ns0:c>
      <ns0:c r="G323" s="152" t="n">
        <ns0:v>0</ns0:v>
      </ns0:c>
      <ns0:c r="H323" s="152" t="n">
        <ns0:v>0</ns0:v>
      </ns0:c>
      <ns0:c r="I323" s="150" t="n">
        <ns0:f>E323*G323</ns0:f>
        <ns0:v>0</ns0:v>
      </ns0:c>
      <ns0:c r="J323" s="150" t="n">
        <ns0:f>E323*(F323-G323)</ns0:f>
        <ns0:v>8</ns0:v>
      </ns0:c>
      <ns0:c r="K323" s="150" t="n">
        <ns0:f>IF(AND(B323="开局",G323=0,OR(D323="普通盒",D323="单颗暂存盒")),J323,0)</ns0:f>
        <ns0:v>0</ns0:v>
      </ns0:c>
      <ns0:c r="L323" s="150" t="n">
        <ns0:f>IF(AND(B323="开局",G323&gt;0,OR(D323="普通盒",D323="底部置顶盒",D323="炸弹盒")),J323,0)</ns0:f>
        <ns0:v>0</ns0:v>
      </ns0:c>
      <ns0:c r="M323" s="150" t="n">
        <ns0:f>IF(AND(B323="开局",OR(D323="固定颜色盒",D323="单向收纳盒")),J323,0)</ns0:f>
        <ns0:v>0</ns0:v>
      </ns0:c>
      <ns0:c r="N323" s="150" t="n">
        <ns0:f>IF(AND(B323="开局",OR(D323="数字盖盒",D323="普通冰冻盒",D323="数字冰冻盒",D323="数字冰冻单颗暂存盒")),J323,0)</ns0:f>
        <ns0:v>0</ns0:v>
      </ns0:c>
      <ns0:c r="O323" s="147" t="str">
        <ns0:f>IF(AND(E323&gt;0,E323=INT(E323),G323&gt;=0,G323&lt;=F323,G323=INT(G323),OR(AND(F323=1,OR(D323="单颗暂存盒",D323="数字冰冻单颗暂存盒")),AND(F323=4,NOT(OR(D323="单颗暂存盒",D323="数字冰冻单颗暂存盒")))),IF(OR(D323="数字盖盒",D323="数字冰冻盒",D323="数字冰冻单颗暂存盒"),AND(H323&gt;=1,H323=INT(H323)),H323=0),IF(B323="开局",AND(IF(OR(D323="数字盖盒",D323="普通冰冻盒",D323="数字冰冻盒",D323="炸弹盒",D323="底部置顶盒"),OR(G323=3,G323=4),TRUE),IF(OR(D323="单向收纳盒",D323="单颗暂存盒",D323="数字冰冻单颗暂存盒"),OR(G323=0,G323=1),TRUE),IF(OR(D323="固定颜色盒",D323="广告锁定周转盒"),G323=0,TRUE)),TRUE)),"通过","需调整")</ns0:f>
        <ns0:v>通过</ns0:v>
      </ns0:c>
      <ns0:c r="P323" s="147" t="str">
        <ns0:v>双广告锁位</ns0:v>
      </ns0:c>
      <ns0:c r="Q323" s="147" t="str">
        <ns0:v>固定层序见本关首行</ns0:v>
      </ns0:c>
      <ns0:c r="R323" s="150" t="n">
        <ns0:f>E323*H323</ns0:f>
        <ns0:v>0</ns0:v>
      </ns0:c>
    </ns0:row>
    <ns0:row r="324" ht="21" customHeight="1">
      <ns0:c r="A324" s="149" t="n">
        <ns0:v>54</ns0:v>
      </ns0:c>
      <ns0:c r="B324" s="145" t="str">
        <ns0:v>备货</ns0:v>
      </ns0:c>
      <ns0:c r="C324" s="145" t="str">
        <ns0:v>W6-054-07</ns0:v>
      </ns0:c>
      <ns0:c r="D324" s="145" t="str">
        <ns0:v>普通盒</ns0:v>
      </ns0:c>
      <ns0:c r="E324" s="152" t="n">
        <ns0:v>1</ns0:v>
      </ns0:c>
      <ns0:c r="F324" s="152" t="n">
        <ns0:v>4</ns0:v>
      </ns0:c>
      <ns0:c r="G324" s="152" t="n">
        <ns0:v>4</ns0:v>
      </ns0:c>
      <ns0:c r="H324" s="152" t="n">
        <ns0:v>0</ns0:v>
      </ns0:c>
      <ns0:c r="I324" s="149" t="n">
        <ns0:f>E324*G324</ns0:f>
        <ns0:v>4</ns0:v>
      </ns0:c>
      <ns0:c r="J324" s="149" t="n">
        <ns0:f>E324*(F324-G324)</ns0:f>
        <ns0:v>0</ns0:v>
      </ns0:c>
      <ns0:c r="K324" s="149" t="n">
        <ns0:f>IF(AND(B324="开局",G324=0,OR(D324="普通盒",D324="单颗暂存盒")),J324,0)</ns0:f>
        <ns0:v>0</ns0:v>
      </ns0:c>
      <ns0:c r="L324" s="149" t="n">
        <ns0:f>IF(AND(B324="开局",G324&gt;0,OR(D324="普通盒",D324="底部置顶盒",D324="炸弹盒")),J324,0)</ns0:f>
        <ns0:v>0</ns0:v>
      </ns0:c>
      <ns0:c r="M324" s="149" t="n">
        <ns0:f>IF(AND(B324="开局",OR(D324="固定颜色盒",D324="单向收纳盒")),J324,0)</ns0:f>
        <ns0:v>0</ns0:v>
      </ns0:c>
      <ns0:c r="N324" s="149" t="n">
        <ns0:f>IF(AND(B324="开局",OR(D324="数字盖盒",D324="普通冰冻盒",D324="数字冰冻盒",D324="数字冰冻单颗暂存盒")),J324,0)</ns0:f>
        <ns0:v>0</ns0:v>
      </ns0:c>
      <ns0:c r="O324" s="145" t="str">
        <ns0:f>IF(AND(E324&gt;0,E324=INT(E324),G324&gt;=0,G324&lt;=F324,G324=INT(G324),OR(AND(F324=1,OR(D324="单颗暂存盒",D324="数字冰冻单颗暂存盒")),AND(F324=4,NOT(OR(D324="单颗暂存盒",D324="数字冰冻单颗暂存盒")))),IF(OR(D324="数字盖盒",D324="数字冰冻盒",D324="数字冰冻单颗暂存盒"),AND(H324&gt;=1,H324=INT(H324)),H324=0),IF(B324="开局",AND(IF(OR(D324="数字盖盒",D324="普通冰冻盒",D324="数字冰冻盒",D324="炸弹盒",D324="底部置顶盒"),OR(G324=3,G324=4),TRUE),IF(OR(D324="单向收纳盒",D324="单颗暂存盒",D324="数字冰冻单颗暂存盒"),OR(G324=0,G324=1),TRUE),IF(OR(D324="固定颜色盒",D324="广告锁定周转盒"),G324=0,TRUE)),TRUE)),"通过","需调整")</ns0:f>
        <ns0:v>通过</ns0:v>
      </ns0:c>
      <ns0:c r="P324" s="145" t="str">
        <ns0:v>连续侧边补货</ns0:v>
      </ns0:c>
      <ns0:c r="Q324" s="145" t="str">
        <ns0:v>固定层序见本关首行</ns0:v>
      </ns0:c>
      <ns0:c r="R324" s="149" t="n">
        <ns0:f>E324*H324</ns0:f>
        <ns0:v>0</ns0:v>
      </ns0:c>
    </ns0:row>
    <ns0:row r="325" ht="21" customHeight="1">
      <ns0:c r="A325" s="150" t="n">
        <ns0:v>55</ns0:v>
      </ns0:c>
      <ns0:c r="B325" s="147" t="str">
        <ns0:v>开局</ns0:v>
      </ns0:c>
      <ns0:c r="C325" s="147" t="str">
        <ns0:v>W6-055-01</ns0:v>
      </ns0:c>
      <ns0:c r="D325" s="147" t="str">
        <ns0:v>普通盒</ns0:v>
      </ns0:c>
      <ns0:c r="E325" s="152" t="n">
        <ns0:v>15</ns0:v>
      </ns0:c>
      <ns0:c r="F325" s="152" t="n">
        <ns0:v>4</ns0:v>
      </ns0:c>
      <ns0:c r="G325" s="152" t="n">
        <ns0:v>4</ns0:v>
      </ns0:c>
      <ns0:c r="H325" s="152" t="n">
        <ns0:v>0</ns0:v>
      </ns0:c>
      <ns0:c r="I325" s="150" t="n">
        <ns0:f>E325*G325</ns0:f>
        <ns0:v>60</ns0:v>
      </ns0:c>
      <ns0:c r="J325" s="150" t="n">
        <ns0:f>E325*(F325-G325)</ns0:f>
        <ns0:v>0</ns0:v>
      </ns0:c>
      <ns0:c r="K325" s="150" t="n">
        <ns0:f>IF(AND(B325="开局",G325=0,OR(D325="普通盒",D325="单颗暂存盒")),J325,0)</ns0:f>
        <ns0:v>0</ns0:v>
      </ns0:c>
      <ns0:c r="L325" s="150" t="n">
        <ns0:f>IF(AND(B325="开局",G325&gt;0,OR(D325="普通盒",D325="底部置顶盒",D325="炸弹盒")),J325,0)</ns0:f>
        <ns0:v>0</ns0:v>
      </ns0:c>
      <ns0:c r="M325" s="150" t="n">
        <ns0:f>IF(AND(B325="开局",OR(D325="固定颜色盒",D325="单向收纳盒")),J325,0)</ns0:f>
        <ns0:v>0</ns0:v>
      </ns0:c>
      <ns0:c r="N325" s="150" t="n">
        <ns0:f>IF(AND(B325="开局",OR(D325="数字盖盒",D325="普通冰冻盒",D325="数字冰冻盒",D325="数字冰冻单颗暂存盒")),J325,0)</ns0:f>
        <ns0:v>0</ns0:v>
      </ns0:c>
      <ns0:c r="O325" s="147" t="str">
        <ns0:f>IF(AND(E325&gt;0,E325=INT(E325),G325&gt;=0,G325&lt;=F325,G325=INT(G325),OR(AND(F325=1,OR(D325="单颗暂存盒",D325="数字冰冻单颗暂存盒")),AND(F325=4,NOT(OR(D325="单颗暂存盒",D325="数字冰冻单颗暂存盒")))),IF(OR(D325="数字盖盒",D325="数字冰冻盒",D325="数字冰冻单颗暂存盒"),AND(H325&gt;=1,H325=INT(H325)),H325=0),IF(B325="开局",AND(IF(OR(D325="数字盖盒",D325="普通冰冻盒",D325="数字冰冻盒",D325="炸弹盒",D325="底部置顶盒"),OR(G325=3,G325=4),TRUE),IF(OR(D325="单向收纳盒",D325="单颗暂存盒",D325="数字冰冻单颗暂存盒"),OR(G325=0,G325=1),TRUE),IF(OR(D325="固定颜色盒",D325="广告锁定周转盒"),G325=0,TRUE)),TRUE)),"通过","需调整")</ns0:f>
        <ns0:v>通过</ns0:v>
      </ns0:c>
      <ns0:c r="P325" s="147" t="str">
        <ns0:v>普通盒</ns0:v>
      </ns0:c>
      <ns0:c r="Q325" s="147" t="str">
        <ns0:v>层序JSON:{"reference":"2026-10-12 第51至60关续接设计；自主层序与单向收纳节奏","slots":[{"group_id":"W6-055-01","layers":[2,3,4,6]},{"group_id":"W6-055-01","layers":[0,4,8,12]},{"group_id":"W6-055-01","layers":[0,4,6,12]},{"group_id":"W6-055-01","layers":[0,3,8,6]},{"group_id":"W6-055-01","layers":[12,2,12,5]},{"group_id":"W6-055-01","layers":[6,2,3,0]},{"group_id":"W6-055-01","layers":[8,8,3,6]},{"group_id":"W6-055-01","layers":[4,5,0,8]},{"group_id":"W6-055-01","layers":[5,12,5,3],"hidden":[1,2,3]},{"group_id":"W6-055-01","layers":[8,4,0,3]},{"group_id":"W6-055-02","layers":[2,12,0]},{"group_id":"W6-055-02","layers":[6,12,8]},{"group_id":"W6-055-01","layers":[2,0,4,5]},{"group_id":"W6-055-01","layers":[6,3,8,0]},{"group_id":"W6-055-01","layers":[4,5,0,4]},{"group_id":"W6-055-01","layers":[2,6,2,0]},{"group_id":"W6-055-01","layers":[2,5,0,3]},{"group_id":"W6-055-03","layers":[5]},{"group_id":"W6-055-04","layers":[12]}],"stock":[],"demand_sequences":[[12,4,6,2,12,0,8,5,3],[5,3,8,6,0,4,2,0]]}</ns0:v>
      </ns0:c>
      <ns0:c r="R325" s="150" t="n">
        <ns0:f>E325*H325</ns0:f>
        <ns0:v>0</ns0:v>
      </ns0:c>
    </ns0:row>
    <ns0:row r="326" ht="21" customHeight="1">
      <ns0:c r="A326" s="149" t="n">
        <ns0:v>55</ns0:v>
      </ns0:c>
      <ns0:c r="B326" s="145" t="str">
        <ns0:v>开局</ns0:v>
      </ns0:c>
      <ns0:c r="C326" s="145" t="str">
        <ns0:v>W6-055-02</ns0:v>
      </ns0:c>
      <ns0:c r="D326" s="145" t="str">
        <ns0:v>普通盒</ns0:v>
      </ns0:c>
      <ns0:c r="E326" s="152" t="n">
        <ns0:v>2</ns0:v>
      </ns0:c>
      <ns0:c r="F326" s="152" t="n">
        <ns0:v>4</ns0:v>
      </ns0:c>
      <ns0:c r="G326" s="152" t="n">
        <ns0:v>3</ns0:v>
      </ns0:c>
      <ns0:c r="H326" s="152" t="n">
        <ns0:v>0</ns0:v>
      </ns0:c>
      <ns0:c r="I326" s="149" t="n">
        <ns0:f>E326*G326</ns0:f>
        <ns0:v>6</ns0:v>
      </ns0:c>
      <ns0:c r="J326" s="149" t="n">
        <ns0:f>E326*(F326-G326)</ns0:f>
        <ns0:v>2</ns0:v>
      </ns0:c>
      <ns0:c r="K326" s="149" t="n">
        <ns0:f>IF(AND(B326="开局",G326=0,OR(D326="普通盒",D326="单颗暂存盒")),J326,0)</ns0:f>
        <ns0:v>0</ns0:v>
      </ns0:c>
      <ns0:c r="L326" s="149" t="n">
        <ns0:f>IF(AND(B326="开局",G326&gt;0,OR(D326="普通盒",D326="底部置顶盒",D326="炸弹盒")),J326,0)</ns0:f>
        <ns0:v>2</ns0:v>
      </ns0:c>
      <ns0:c r="M326" s="149" t="n">
        <ns0:f>IF(AND(B326="开局",OR(D326="固定颜色盒",D326="单向收纳盒")),J326,0)</ns0:f>
        <ns0:v>0</ns0:v>
      </ns0:c>
      <ns0:c r="N326" s="149" t="n">
        <ns0:f>IF(AND(B326="开局",OR(D326="数字盖盒",D326="普通冰冻盒",D326="数字冰冻盒",D326="数字冰冻单颗暂存盒")),J326,0)</ns0:f>
        <ns0:v>0</ns0:v>
      </ns0:c>
      <ns0:c r="O326" s="145" t="str">
        <ns0:f>IF(AND(E326&gt;0,E326=INT(E326),G326&gt;=0,G326&lt;=F326,G326=INT(G326),OR(AND(F326=1,OR(D326="单颗暂存盒",D326="数字冰冻单颗暂存盒")),AND(F326=4,NOT(OR(D326="单颗暂存盒",D326="数字冰冻单颗暂存盒")))),IF(OR(D326="数字盖盒",D326="数字冰冻盒",D326="数字冰冻单颗暂存盒"),AND(H326&gt;=1,H326=INT(H326)),H326=0),IF(B326="开局",AND(IF(OR(D326="数字盖盒",D326="普通冰冻盒",D326="数字冰冻盒",D326="炸弹盒",D326="底部置顶盒"),OR(G326=3,G326=4),TRUE),IF(OR(D326="单向收纳盒",D326="单颗暂存盒",D326="数字冰冻单颗暂存盒"),OR(G326=0,G326=1),TRUE),IF(OR(D326="固定颜色盒",D326="广告锁定周转盒"),G326=0,TRUE)),TRUE)),"通过","需调整")</ns0:f>
        <ns0:v>通过</ns0:v>
      </ns0:c>
      <ns0:c r="P326" s="145" t="str">
        <ns0:v>普通盒</ns0:v>
      </ns0:c>
      <ns0:c r="Q326" s="145" t="str">
        <ns0:v>固定层序见本关首行</ns0:v>
      </ns0:c>
      <ns0:c r="R326" s="149" t="n">
        <ns0:f>E326*H326</ns0:f>
        <ns0:v>0</ns0:v>
      </ns0:c>
    </ns0:row>
    <ns0:row r="327" ht="21" customHeight="1">
      <ns0:c r="A327" s="150" t="n">
        <ns0:v>55</ns0:v>
      </ns0:c>
      <ns0:c r="B327" s="147" t="str">
        <ns0:v>开局</ns0:v>
      </ns0:c>
      <ns0:c r="C327" s="147" t="str">
        <ns0:v>W6-055-03</ns0:v>
      </ns0:c>
      <ns0:c r="D327" s="147" t="str">
        <ns0:v>普通盒</ns0:v>
      </ns0:c>
      <ns0:c r="E327" s="152" t="n">
        <ns0:v>1</ns0:v>
      </ns0:c>
      <ns0:c r="F327" s="152" t="n">
        <ns0:v>4</ns0:v>
      </ns0:c>
      <ns0:c r="G327" s="152" t="n">
        <ns0:v>1</ns0:v>
      </ns0:c>
      <ns0:c r="H327" s="152" t="n">
        <ns0:v>0</ns0:v>
      </ns0:c>
      <ns0:c r="I327" s="150" t="n">
        <ns0:f>E327*G327</ns0:f>
        <ns0:v>1</ns0:v>
      </ns0:c>
      <ns0:c r="J327" s="150" t="n">
        <ns0:f>E327*(F327-G327)</ns0:f>
        <ns0:v>3</ns0:v>
      </ns0:c>
      <ns0:c r="K327" s="150" t="n">
        <ns0:f>IF(AND(B327="开局",G327=0,OR(D327="普通盒",D327="单颗暂存盒")),J327,0)</ns0:f>
        <ns0:v>0</ns0:v>
      </ns0:c>
      <ns0:c r="L327" s="150" t="n">
        <ns0:f>IF(AND(B327="开局",G327&gt;0,OR(D327="普通盒",D327="底部置顶盒",D327="炸弹盒")),J327,0)</ns0:f>
        <ns0:v>3</ns0:v>
      </ns0:c>
      <ns0:c r="M327" s="150" t="n">
        <ns0:f>IF(AND(B327="开局",OR(D327="固定颜色盒",D327="单向收纳盒")),J327,0)</ns0:f>
        <ns0:v>0</ns0:v>
      </ns0:c>
      <ns0:c r="N327" s="150" t="n">
        <ns0:f>IF(AND(B327="开局",OR(D327="数字盖盒",D327="普通冰冻盒",D327="数字冰冻盒",D327="数字冰冻单颗暂存盒")),J327,0)</ns0:f>
        <ns0:v>0</ns0:v>
      </ns0:c>
      <ns0:c r="O327" s="147" t="str">
        <ns0:f>IF(AND(E327&gt;0,E327=INT(E327),G327&gt;=0,G327&lt;=F327,G327=INT(G327),OR(AND(F327=1,OR(D327="单颗暂存盒",D327="数字冰冻单颗暂存盒")),AND(F327=4,NOT(OR(D327="单颗暂存盒",D327="数字冰冻单颗暂存盒")))),IF(OR(D327="数字盖盒",D327="数字冰冻盒",D327="数字冰冻单颗暂存盒"),AND(H327&gt;=1,H327=INT(H327)),H327=0),IF(B327="开局",AND(IF(OR(D327="数字盖盒",D327="普通冰冻盒",D327="数字冰冻盒",D327="炸弹盒",D327="底部置顶盒"),OR(G327=3,G327=4),TRUE),IF(OR(D327="单向收纳盒",D327="单颗暂存盒",D327="数字冰冻单颗暂存盒"),OR(G327=0,G327=1),TRUE),IF(OR(D327="固定颜色盒",D327="广告锁定周转盒"),G327=0,TRUE)),TRUE)),"通过","需调整")</ns0:f>
        <ns0:v>通过</ns0:v>
      </ns0:c>
      <ns0:c r="P327" s="147" t="str">
        <ns0:v>普通盒</ns0:v>
      </ns0:c>
      <ns0:c r="Q327" s="147" t="str">
        <ns0:v>固定层序见本关首行</ns0:v>
      </ns0:c>
      <ns0:c r="R327" s="150" t="n">
        <ns0:f>E327*H327</ns0:f>
        <ns0:v>0</ns0:v>
      </ns0:c>
    </ns0:row>
    <ns0:row r="328" ht="21" customHeight="1">
      <ns0:c r="A328" s="149" t="n">
        <ns0:v>55</ns0:v>
      </ns0:c>
      <ns0:c r="B328" s="145" t="str">
        <ns0:v>开局</ns0:v>
      </ns0:c>
      <ns0:c r="C328" s="145" t="str">
        <ns0:v>W6-055-04</ns0:v>
      </ns0:c>
      <ns0:c r="D328" s="145" t="str">
        <ns0:v>单向收纳盒</ns0:v>
      </ns0:c>
      <ns0:c r="E328" s="152" t="n">
        <ns0:v>1</ns0:v>
      </ns0:c>
      <ns0:c r="F328" s="152" t="n">
        <ns0:v>4</ns0:v>
      </ns0:c>
      <ns0:c r="G328" s="152" t="n">
        <ns0:v>1</ns0:v>
      </ns0:c>
      <ns0:c r="H328" s="152" t="n">
        <ns0:v>0</ns0:v>
      </ns0:c>
      <ns0:c r="I328" s="149" t="n">
        <ns0:f>E328*G328</ns0:f>
        <ns0:v>1</ns0:v>
      </ns0:c>
      <ns0:c r="J328" s="149" t="n">
        <ns0:f>E328*(F328-G328)</ns0:f>
        <ns0:v>3</ns0:v>
      </ns0:c>
      <ns0:c r="K328" s="149" t="n">
        <ns0:f>IF(AND(B328="开局",G328=0,OR(D328="普通盒",D328="单颗暂存盒")),J328,0)</ns0:f>
        <ns0:v>0</ns0:v>
      </ns0:c>
      <ns0:c r="L328" s="149" t="n">
        <ns0:f>IF(AND(B328="开局",G328&gt;0,OR(D328="普通盒",D328="底部置顶盒",D328="炸弹盒")),J328,0)</ns0:f>
        <ns0:v>0</ns0:v>
      </ns0:c>
      <ns0:c r="M328" s="149" t="n">
        <ns0:f>IF(AND(B328="开局",OR(D328="固定颜色盒",D328="单向收纳盒")),J328,0)</ns0:f>
        <ns0:v>3</ns0:v>
      </ns0:c>
      <ns0:c r="N328" s="149" t="n">
        <ns0:f>IF(AND(B328="开局",OR(D328="数字盖盒",D328="普通冰冻盒",D328="数字冰冻盒",D328="数字冰冻单颗暂存盒")),J328,0)</ns0:f>
        <ns0:v>0</ns0:v>
      </ns0:c>
      <ns0:c r="O328" s="145" t="str">
        <ns0:f>IF(AND(E328&gt;0,E328=INT(E328),G328&gt;=0,G328&lt;=F328,G328=INT(G328),OR(AND(F328=1,OR(D328="单颗暂存盒",D328="数字冰冻单颗暂存盒")),AND(F328=4,NOT(OR(D328="单颗暂存盒",D328="数字冰冻单颗暂存盒")))),IF(OR(D328="数字盖盒",D328="数字冰冻盒",D328="数字冰冻单颗暂存盒"),AND(H328&gt;=1,H328=INT(H328)),H328=0),IF(B328="开局",AND(IF(OR(D328="数字盖盒",D328="普通冰冻盒",D328="数字冰冻盒",D328="炸弹盒",D328="底部置顶盒"),OR(G328=3,G328=4),TRUE),IF(OR(D328="单向收纳盒",D328="单颗暂存盒",D328="数字冰冻单颗暂存盒"),OR(G328=0,G328=1),TRUE),IF(OR(D328="固定颜色盒",D328="广告锁定周转盒"),G328=0,TRUE)),TRUE)),"通过","需调整")</ns0:f>
        <ns0:v>通过</ns0:v>
      </ns0:c>
      <ns0:c r="P328" s="145" t="str">
        <ns0:v>单向收纳盒</ns0:v>
      </ns0:c>
      <ns0:c r="Q328" s="145" t="str">
        <ns0:v>固定层序见本关首行</ns0:v>
      </ns0:c>
      <ns0:c r="R328" s="149" t="n">
        <ns0:f>E328*H328</ns0:f>
        <ns0:v>0</ns0:v>
      </ns0:c>
    </ns0:row>
    <ns0:row r="329" ht="21" customHeight="1">
      <ns0:c r="A329" s="150" t="n">
        <ns0:v>55</ns0:v>
      </ns0:c>
      <ns0:c r="B329" s="147" t="str">
        <ns0:v>开局</ns0:v>
      </ns0:c>
      <ns0:c r="C329" s="147" t="str">
        <ns0:v>W6-055-05</ns0:v>
      </ns0:c>
      <ns0:c r="D329" s="147" t="str">
        <ns0:v>广告锁定周转盒</ns0:v>
      </ns0:c>
      <ns0:c r="E329" s="152" t="n">
        <ns0:v>2</ns0:v>
      </ns0:c>
      <ns0:c r="F329" s="152" t="n">
        <ns0:v>4</ns0:v>
      </ns0:c>
      <ns0:c r="G329" s="152" t="n">
        <ns0:v>0</ns0:v>
      </ns0:c>
      <ns0:c r="H329" s="152" t="n">
        <ns0:v>0</ns0:v>
      </ns0:c>
      <ns0:c r="I329" s="150" t="n">
        <ns0:f>E329*G329</ns0:f>
        <ns0:v>0</ns0:v>
      </ns0:c>
      <ns0:c r="J329" s="150" t="n">
        <ns0:f>E329*(F329-G329)</ns0:f>
        <ns0:v>8</ns0:v>
      </ns0:c>
      <ns0:c r="K329" s="150" t="n">
        <ns0:f>IF(AND(B329="开局",G329=0,OR(D329="普通盒",D329="单颗暂存盒")),J329,0)</ns0:f>
        <ns0:v>0</ns0:v>
      </ns0:c>
      <ns0:c r="L329" s="150" t="n">
        <ns0:f>IF(AND(B329="开局",G329&gt;0,OR(D329="普通盒",D329="底部置顶盒",D329="炸弹盒")),J329,0)</ns0:f>
        <ns0:v>0</ns0:v>
      </ns0:c>
      <ns0:c r="M329" s="150" t="n">
        <ns0:f>IF(AND(B329="开局",OR(D329="固定颜色盒",D329="单向收纳盒")),J329,0)</ns0:f>
        <ns0:v>0</ns0:v>
      </ns0:c>
      <ns0:c r="N329" s="150" t="n">
        <ns0:f>IF(AND(B329="开局",OR(D329="数字盖盒",D329="普通冰冻盒",D329="数字冰冻盒",D329="数字冰冻单颗暂存盒")),J329,0)</ns0:f>
        <ns0:v>0</ns0:v>
      </ns0:c>
      <ns0:c r="O329" s="147" t="str">
        <ns0:f>IF(AND(E329&gt;0,E329=INT(E329),G329&gt;=0,G329&lt;=F329,G329=INT(G329),OR(AND(F329=1,OR(D329="单颗暂存盒",D329="数字冰冻单颗暂存盒")),AND(F329=4,NOT(OR(D329="单颗暂存盒",D329="数字冰冻单颗暂存盒")))),IF(OR(D329="数字盖盒",D329="数字冰冻盒",D329="数字冰冻单颗暂存盒"),AND(H329&gt;=1,H329=INT(H329)),H329=0),IF(B329="开局",AND(IF(OR(D329="数字盖盒",D329="普通冰冻盒",D329="数字冰冻盒",D329="炸弹盒",D329="底部置顶盒"),OR(G329=3,G329=4),TRUE),IF(OR(D329="单向收纳盒",D329="单颗暂存盒",D329="数字冰冻单颗暂存盒"),OR(G329=0,G329=1),TRUE),IF(OR(D329="固定颜色盒",D329="广告锁定周转盒"),G329=0,TRUE)),TRUE)),"通过","需调整")</ns0:f>
        <ns0:v>通过</ns0:v>
      </ns0:c>
      <ns0:c r="P329" s="147" t="str">
        <ns0:v>双广告锁位</ns0:v>
      </ns0:c>
      <ns0:c r="Q329" s="147" t="str">
        <ns0:v>固定层序见本关首行</ns0:v>
      </ns0:c>
      <ns0:c r="R329" s="150" t="n">
        <ns0:f>E329*H329</ns0:f>
        <ns0:v>0</ns0:v>
      </ns0:c>
    </ns0:row>
    <ns0:row r="330" ht="21" customHeight="1">
      <ns0:c r="A330" s="149" t="n">
        <ns0:v>56</ns0:v>
      </ns0:c>
      <ns0:c r="B330" s="145" t="str">
        <ns0:v>开局</ns0:v>
      </ns0:c>
      <ns0:c r="C330" s="145" t="str">
        <ns0:v>W6-056-01</ns0:v>
      </ns0:c>
      <ns0:c r="D330" s="145" t="str">
        <ns0:v>普通盒</ns0:v>
      </ns0:c>
      <ns0:c r="E330" s="152" t="n">
        <ns0:v>15</ns0:v>
      </ns0:c>
      <ns0:c r="F330" s="152" t="n">
        <ns0:v>4</ns0:v>
      </ns0:c>
      <ns0:c r="G330" s="152" t="n">
        <ns0:v>4</ns0:v>
      </ns0:c>
      <ns0:c r="H330" s="152" t="n">
        <ns0:v>0</ns0:v>
      </ns0:c>
      <ns0:c r="I330" s="149" t="n">
        <ns0:f>E330*G330</ns0:f>
        <ns0:v>60</ns0:v>
      </ns0:c>
      <ns0:c r="J330" s="149" t="n">
        <ns0:f>E330*(F330-G330)</ns0:f>
        <ns0:v>0</ns0:v>
      </ns0:c>
      <ns0:c r="K330" s="149" t="n">
        <ns0:f>IF(AND(B330="开局",G330=0,OR(D330="普通盒",D330="单颗暂存盒")),J330,0)</ns0:f>
        <ns0:v>0</ns0:v>
      </ns0:c>
      <ns0:c r="L330" s="149" t="n">
        <ns0:f>IF(AND(B330="开局",G330&gt;0,OR(D330="普通盒",D330="底部置顶盒",D330="炸弹盒")),J330,0)</ns0:f>
        <ns0:v>0</ns0:v>
      </ns0:c>
      <ns0:c r="M330" s="149" t="n">
        <ns0:f>IF(AND(B330="开局",OR(D330="固定颜色盒",D330="单向收纳盒")),J330,0)</ns0:f>
        <ns0:v>0</ns0:v>
      </ns0:c>
      <ns0:c r="N330" s="149" t="n">
        <ns0:f>IF(AND(B330="开局",OR(D330="数字盖盒",D330="普通冰冻盒",D330="数字冰冻盒",D330="数字冰冻单颗暂存盒")),J330,0)</ns0:f>
        <ns0:v>0</ns0:v>
      </ns0:c>
      <ns0:c r="O330" s="145" t="str">
        <ns0:f>IF(AND(E330&gt;0,E330=INT(E330),G330&gt;=0,G330&lt;=F330,G330=INT(G330),OR(AND(F330=1,OR(D330="单颗暂存盒",D330="数字冰冻单颗暂存盒")),AND(F330=4,NOT(OR(D330="单颗暂存盒",D330="数字冰冻单颗暂存盒")))),IF(OR(D330="数字盖盒",D330="数字冰冻盒",D330="数字冰冻单颗暂存盒"),AND(H330&gt;=1,H330=INT(H330)),H330=0),IF(B330="开局",AND(IF(OR(D330="数字盖盒",D330="普通冰冻盒",D330="数字冰冻盒",D330="炸弹盒",D330="底部置顶盒"),OR(G330=3,G330=4),TRUE),IF(OR(D330="单向收纳盒",D330="单颗暂存盒",D330="数字冰冻单颗暂存盒"),OR(G330=0,G330=1),TRUE),IF(OR(D330="固定颜色盒",D330="广告锁定周转盒"),G330=0,TRUE)),TRUE)),"通过","需调整")</ns0:f>
        <ns0:v>通过</ns0:v>
      </ns0:c>
      <ns0:c r="P330" s="145" t="str">
        <ns0:v>普通盒</ns0:v>
      </ns0:c>
      <ns0:c r="Q330" s="145" t="str">
        <ns0:v>层序JSON:{"reference":"2026-10-12 第51至60关续接设计；自主层序与单向收纳节奏","slots":[{"group_id":"W6-056-03","layers":[12,5,4,2]},{"group_id":"W6-056-01","layers":[12,0,12,4]},{"group_id":"W6-056-01","layers":[12,8,3,0]},{"group_id":"W6-056-01","layers":[0,6,3,5]},{"group_id":"W6-056-01","layers":[12,4,5,8]},{"group_id":"W6-056-01","layers":[3,6,0,8]},{"group_id":"W6-056-01","layers":[3,0,3,12]},{"group_id":"W6-056-01","layers":[8,2,5,3]},{"group_id":"W6-056-01","layers":[5,0,2,6]},{"group_id":"W6-056-01","layers":[2,6,0,2]},{"group_id":"W6-056-01","layers":[6,2,12,2]},{"group_id":"W6-056-01","layers":[4,3,4,12]},{"group_id":"W6-056-03","layers":[0,5,4,6]},{"group_id":"W6-056-01","layers":[6,0,8,0]},{"group_id":"W6-056-01","layers":[2,0,8,4]},{"group_id":"W6-056-01","layers":[3,0,2,3]},{"group_id":"W6-056-01","layers":[2,5,3,4]},{"group_id":"W6-056-02","layers":[]},{"group_id":"W6-056-04","layers":[]}],"stock":[{"group_id":"W6-056-06","layers":[8,2,5,3]},{"group_id":"W6-056-06","layers":[3,6,2,8]}],"demand_sequences":[[12,2,8,4,3,3,8,2,5,4],[0,0,6,2,5,12,0,6,3]]}</ns0:v>
      </ns0:c>
      <ns0:c r="R330" s="149" t="n">
        <ns0:f>E330*H330</ns0:f>
        <ns0:v>0</ns0:v>
      </ns0:c>
    </ns0:row>
    <ns0:row r="331" ht="21" customHeight="1">
      <ns0:c r="A331" s="150" t="n">
        <ns0:v>56</ns0:v>
      </ns0:c>
      <ns0:c r="B331" s="147" t="str">
        <ns0:v>开局</ns0:v>
      </ns0:c>
      <ns0:c r="C331" s="147" t="str">
        <ns0:v>W6-056-02</ns0:v>
      </ns0:c>
      <ns0:c r="D331" s="147" t="str">
        <ns0:v>普通盒</ns0:v>
      </ns0:c>
      <ns0:c r="E331" s="152" t="n">
        <ns0:v>1</ns0:v>
      </ns0:c>
      <ns0:c r="F331" s="152" t="n">
        <ns0:v>4</ns0:v>
      </ns0:c>
      <ns0:c r="G331" s="152" t="n">
        <ns0:v>0</ns0:v>
      </ns0:c>
      <ns0:c r="H331" s="152" t="n">
        <ns0:v>0</ns0:v>
      </ns0:c>
      <ns0:c r="I331" s="150" t="n">
        <ns0:f>E331*G331</ns0:f>
        <ns0:v>0</ns0:v>
      </ns0:c>
      <ns0:c r="J331" s="150" t="n">
        <ns0:f>E331*(F331-G331)</ns0:f>
        <ns0:v>4</ns0:v>
      </ns0:c>
      <ns0:c r="K331" s="150" t="n">
        <ns0:f>IF(AND(B331="开局",G331=0,OR(D331="普通盒",D331="单颗暂存盒")),J331,0)</ns0:f>
        <ns0:v>4</ns0:v>
      </ns0:c>
      <ns0:c r="L331" s="150" t="n">
        <ns0:f>IF(AND(B331="开局",G331&gt;0,OR(D331="普通盒",D331="底部置顶盒",D331="炸弹盒")),J331,0)</ns0:f>
        <ns0:v>0</ns0:v>
      </ns0:c>
      <ns0:c r="M331" s="150" t="n">
        <ns0:f>IF(AND(B331="开局",OR(D331="固定颜色盒",D331="单向收纳盒")),J331,0)</ns0:f>
        <ns0:v>0</ns0:v>
      </ns0:c>
      <ns0:c r="N331" s="150" t="n">
        <ns0:f>IF(AND(B331="开局",OR(D331="数字盖盒",D331="普通冰冻盒",D331="数字冰冻盒",D331="数字冰冻单颗暂存盒")),J331,0)</ns0:f>
        <ns0:v>0</ns0:v>
      </ns0:c>
      <ns0:c r="O331" s="147" t="str">
        <ns0:f>IF(AND(E331&gt;0,E331=INT(E331),G331&gt;=0,G331&lt;=F331,G331=INT(G331),OR(AND(F331=1,OR(D331="单颗暂存盒",D331="数字冰冻单颗暂存盒")),AND(F331=4,NOT(OR(D331="单颗暂存盒",D331="数字冰冻单颗暂存盒")))),IF(OR(D331="数字盖盒",D331="数字冰冻盒",D331="数字冰冻单颗暂存盒"),AND(H331&gt;=1,H331=INT(H331)),H331=0),IF(B331="开局",AND(IF(OR(D331="数字盖盒",D331="普通冰冻盒",D331="数字冰冻盒",D331="炸弹盒",D331="底部置顶盒"),OR(G331=3,G331=4),TRUE),IF(OR(D331="单向收纳盒",D331="单颗暂存盒",D331="数字冰冻单颗暂存盒"),OR(G331=0,G331=1),TRUE),IF(OR(D331="固定颜色盒",D331="广告锁定周转盒"),G331=0,TRUE)),TRUE)),"通过","需调整")</ns0:f>
        <ns0:v>通过</ns0:v>
      </ns0:c>
      <ns0:c r="P331" s="147" t="str">
        <ns0:v>普通盒</ns0:v>
      </ns0:c>
      <ns0:c r="Q331" s="147" t="str">
        <ns0:v>固定层序见本关首行</ns0:v>
      </ns0:c>
      <ns0:c r="R331" s="150" t="n">
        <ns0:f>E331*H331</ns0:f>
        <ns0:v>0</ns0:v>
      </ns0:c>
    </ns0:row>
    <ns0:row r="332" ht="21" customHeight="1">
      <ns0:c r="A332" s="149" t="n">
        <ns0:v>56</ns0:v>
      </ns0:c>
      <ns0:c r="B332" s="145" t="str">
        <ns0:v>开局</ns0:v>
      </ns0:c>
      <ns0:c r="C332" s="145" t="str">
        <ns0:v>W6-056-03</ns0:v>
      </ns0:c>
      <ns0:c r="D332" s="145" t="str">
        <ns0:v>普通冰冻盒</ns0:v>
      </ns0:c>
      <ns0:c r="E332" s="152" t="n">
        <ns0:v>2</ns0:v>
      </ns0:c>
      <ns0:c r="F332" s="152" t="n">
        <ns0:v>4</ns0:v>
      </ns0:c>
      <ns0:c r="G332" s="152" t="n">
        <ns0:v>4</ns0:v>
      </ns0:c>
      <ns0:c r="H332" s="152" t="n">
        <ns0:v>0</ns0:v>
      </ns0:c>
      <ns0:c r="I332" s="149" t="n">
        <ns0:f>E332*G332</ns0:f>
        <ns0:v>8</ns0:v>
      </ns0:c>
      <ns0:c r="J332" s="149" t="n">
        <ns0:f>E332*(F332-G332)</ns0:f>
        <ns0:v>0</ns0:v>
      </ns0:c>
      <ns0:c r="K332" s="149" t="n">
        <ns0:f>IF(AND(B332="开局",G332=0,OR(D332="普通盒",D332="单颗暂存盒")),J332,0)</ns0:f>
        <ns0:v>0</ns0:v>
      </ns0:c>
      <ns0:c r="L332" s="149" t="n">
        <ns0:f>IF(AND(B332="开局",G332&gt;0,OR(D332="普通盒",D332="底部置顶盒",D332="炸弹盒")),J332,0)</ns0:f>
        <ns0:v>0</ns0:v>
      </ns0:c>
      <ns0:c r="M332" s="149" t="n">
        <ns0:f>IF(AND(B332="开局",OR(D332="固定颜色盒",D332="单向收纳盒")),J332,0)</ns0:f>
        <ns0:v>0</ns0:v>
      </ns0:c>
      <ns0:c r="N332" s="149" t="n">
        <ns0:f>IF(AND(B332="开局",OR(D332="数字盖盒",D332="普通冰冻盒",D332="数字冰冻盒",D332="数字冰冻单颗暂存盒")),J332,0)</ns0:f>
        <ns0:v>0</ns0:v>
      </ns0:c>
      <ns0:c r="O332" s="145" t="str">
        <ns0:f>IF(AND(E332&gt;0,E332=INT(E332),G332&gt;=0,G332&lt;=F332,G332=INT(G332),OR(AND(F332=1,OR(D332="单颗暂存盒",D332="数字冰冻单颗暂存盒")),AND(F332=4,NOT(OR(D332="单颗暂存盒",D332="数字冰冻单颗暂存盒")))),IF(OR(D332="数字盖盒",D332="数字冰冻盒",D332="数字冰冻单颗暂存盒"),AND(H332&gt;=1,H332=INT(H332)),H332=0),IF(B332="开局",AND(IF(OR(D332="数字盖盒",D332="普通冰冻盒",D332="数字冰冻盒",D332="炸弹盒",D332="底部置顶盒"),OR(G332=3,G332=4),TRUE),IF(OR(D332="单向收纳盒",D332="单颗暂存盒",D332="数字冰冻单颗暂存盒"),OR(G332=0,G332=1),TRUE),IF(OR(D332="固定颜色盒",D332="广告锁定周转盒"),G332=0,TRUE)),TRUE)),"通过","需调整")</ns0:f>
        <ns0:v>通过</ns0:v>
      </ns0:c>
      <ns0:c r="P332" s="145" t="str">
        <ns0:v>普通冰冻盒</ns0:v>
      </ns0:c>
      <ns0:c r="Q332" s="145" t="str">
        <ns0:v>固定层序见本关首行</ns0:v>
      </ns0:c>
      <ns0:c r="R332" s="149" t="n">
        <ns0:f>E332*H332</ns0:f>
        <ns0:v>0</ns0:v>
      </ns0:c>
    </ns0:row>
    <ns0:row r="333" ht="21" customHeight="1">
      <ns0:c r="A333" s="150" t="n">
        <ns0:v>56</ns0:v>
      </ns0:c>
      <ns0:c r="B333" s="147" t="str">
        <ns0:v>开局</ns0:v>
      </ns0:c>
      <ns0:c r="C333" s="147" t="str">
        <ns0:v>W6-056-04</ns0:v>
      </ns0:c>
      <ns0:c r="D333" s="147" t="str">
        <ns0:v>单向收纳盒</ns0:v>
      </ns0:c>
      <ns0:c r="E333" s="152" t="n">
        <ns0:v>1</ns0:v>
      </ns0:c>
      <ns0:c r="F333" s="152" t="n">
        <ns0:v>4</ns0:v>
      </ns0:c>
      <ns0:c r="G333" s="152" t="n">
        <ns0:v>0</ns0:v>
      </ns0:c>
      <ns0:c r="H333" s="152" t="n">
        <ns0:v>0</ns0:v>
      </ns0:c>
      <ns0:c r="I333" s="150" t="n">
        <ns0:f>E333*G333</ns0:f>
        <ns0:v>0</ns0:v>
      </ns0:c>
      <ns0:c r="J333" s="150" t="n">
        <ns0:f>E333*(F333-G333)</ns0:f>
        <ns0:v>4</ns0:v>
      </ns0:c>
      <ns0:c r="K333" s="150" t="n">
        <ns0:f>IF(AND(B333="开局",G333=0,OR(D333="普通盒",D333="单颗暂存盒")),J333,0)</ns0:f>
        <ns0:v>0</ns0:v>
      </ns0:c>
      <ns0:c r="L333" s="150" t="n">
        <ns0:f>IF(AND(B333="开局",G333&gt;0,OR(D333="普通盒",D333="底部置顶盒",D333="炸弹盒")),J333,0)</ns0:f>
        <ns0:v>0</ns0:v>
      </ns0:c>
      <ns0:c r="M333" s="150" t="n">
        <ns0:f>IF(AND(B333="开局",OR(D333="固定颜色盒",D333="单向收纳盒")),J333,0)</ns0:f>
        <ns0:v>4</ns0:v>
      </ns0:c>
      <ns0:c r="N333" s="150" t="n">
        <ns0:f>IF(AND(B333="开局",OR(D333="数字盖盒",D333="普通冰冻盒",D333="数字冰冻盒",D333="数字冰冻单颗暂存盒")),J333,0)</ns0:f>
        <ns0:v>0</ns0:v>
      </ns0:c>
      <ns0:c r="O333" s="147" t="str">
        <ns0:f>IF(AND(E333&gt;0,E333=INT(E333),G333&gt;=0,G333&lt;=F333,G333=INT(G333),OR(AND(F333=1,OR(D333="单颗暂存盒",D333="数字冰冻单颗暂存盒")),AND(F333=4,NOT(OR(D333="单颗暂存盒",D333="数字冰冻单颗暂存盒")))),IF(OR(D333="数字盖盒",D333="数字冰冻盒",D333="数字冰冻单颗暂存盒"),AND(H333&gt;=1,H333=INT(H333)),H333=0),IF(B333="开局",AND(IF(OR(D333="数字盖盒",D333="普通冰冻盒",D333="数字冰冻盒",D333="炸弹盒",D333="底部置顶盒"),OR(G333=3,G333=4),TRUE),IF(OR(D333="单向收纳盒",D333="单颗暂存盒",D333="数字冰冻单颗暂存盒"),OR(G333=0,G333=1),TRUE),IF(OR(D333="固定颜色盒",D333="广告锁定周转盒"),G333=0,TRUE)),TRUE)),"通过","需调整")</ns0:f>
        <ns0:v>通过</ns0:v>
      </ns0:c>
      <ns0:c r="P333" s="147" t="str">
        <ns0:v>单向收纳盒</ns0:v>
      </ns0:c>
      <ns0:c r="Q333" s="147" t="str">
        <ns0:v>固定层序见本关首行</ns0:v>
      </ns0:c>
      <ns0:c r="R333" s="150" t="n">
        <ns0:f>E333*H333</ns0:f>
        <ns0:v>0</ns0:v>
      </ns0:c>
    </ns0:row>
    <ns0:row r="334" ht="21" customHeight="1">
      <ns0:c r="A334" s="149" t="n">
        <ns0:v>56</ns0:v>
      </ns0:c>
      <ns0:c r="B334" s="145" t="str">
        <ns0:v>开局</ns0:v>
      </ns0:c>
      <ns0:c r="C334" s="145" t="str">
        <ns0:v>W6-056-05</ns0:v>
      </ns0:c>
      <ns0:c r="D334" s="145" t="str">
        <ns0:v>广告锁定周转盒</ns0:v>
      </ns0:c>
      <ns0:c r="E334" s="152" t="n">
        <ns0:v>2</ns0:v>
      </ns0:c>
      <ns0:c r="F334" s="152" t="n">
        <ns0:v>4</ns0:v>
      </ns0:c>
      <ns0:c r="G334" s="152" t="n">
        <ns0:v>0</ns0:v>
      </ns0:c>
      <ns0:c r="H334" s="152" t="n">
        <ns0:v>0</ns0:v>
      </ns0:c>
      <ns0:c r="I334" s="149" t="n">
        <ns0:f>E334*G334</ns0:f>
        <ns0:v>0</ns0:v>
      </ns0:c>
      <ns0:c r="J334" s="149" t="n">
        <ns0:f>E334*(F334-G334)</ns0:f>
        <ns0:v>8</ns0:v>
      </ns0:c>
      <ns0:c r="K334" s="149" t="n">
        <ns0:f>IF(AND(B334="开局",G334=0,OR(D334="普通盒",D334="单颗暂存盒")),J334,0)</ns0:f>
        <ns0:v>0</ns0:v>
      </ns0:c>
      <ns0:c r="L334" s="149" t="n">
        <ns0:f>IF(AND(B334="开局",G334&gt;0,OR(D334="普通盒",D334="底部置顶盒",D334="炸弹盒")),J334,0)</ns0:f>
        <ns0:v>0</ns0:v>
      </ns0:c>
      <ns0:c r="M334" s="149" t="n">
        <ns0:f>IF(AND(B334="开局",OR(D334="固定颜色盒",D334="单向收纳盒")),J334,0)</ns0:f>
        <ns0:v>0</ns0:v>
      </ns0:c>
      <ns0:c r="N334" s="149" t="n">
        <ns0:f>IF(AND(B334="开局",OR(D334="数字盖盒",D334="普通冰冻盒",D334="数字冰冻盒",D334="数字冰冻单颗暂存盒")),J334,0)</ns0:f>
        <ns0:v>0</ns0:v>
      </ns0:c>
      <ns0:c r="O334" s="145" t="str">
        <ns0:f>IF(AND(E334&gt;0,E334=INT(E334),G334&gt;=0,G334&lt;=F334,G334=INT(G334),OR(AND(F334=1,OR(D334="单颗暂存盒",D334="数字冰冻单颗暂存盒")),AND(F334=4,NOT(OR(D334="单颗暂存盒",D334="数字冰冻单颗暂存盒")))),IF(OR(D334="数字盖盒",D334="数字冰冻盒",D334="数字冰冻单颗暂存盒"),AND(H334&gt;=1,H334=INT(H334)),H334=0),IF(B334="开局",AND(IF(OR(D334="数字盖盒",D334="普通冰冻盒",D334="数字冰冻盒",D334="炸弹盒",D334="底部置顶盒"),OR(G334=3,G334=4),TRUE),IF(OR(D334="单向收纳盒",D334="单颗暂存盒",D334="数字冰冻单颗暂存盒"),OR(G334=0,G334=1),TRUE),IF(OR(D334="固定颜色盒",D334="广告锁定周转盒"),G334=0,TRUE)),TRUE)),"通过","需调整")</ns0:f>
        <ns0:v>通过</ns0:v>
      </ns0:c>
      <ns0:c r="P334" s="145" t="str">
        <ns0:v>双广告锁位</ns0:v>
      </ns0:c>
      <ns0:c r="Q334" s="145" t="str">
        <ns0:v>固定层序见本关首行</ns0:v>
      </ns0:c>
      <ns0:c r="R334" s="149" t="n">
        <ns0:f>E334*H334</ns0:f>
        <ns0:v>0</ns0:v>
      </ns0:c>
    </ns0:row>
    <ns0:row r="335" ht="21" customHeight="1">
      <ns0:c r="A335" s="150" t="n">
        <ns0:v>56</ns0:v>
      </ns0:c>
      <ns0:c r="B335" s="147" t="str">
        <ns0:v>备货</ns0:v>
      </ns0:c>
      <ns0:c r="C335" s="147" t="str">
        <ns0:v>W6-056-06</ns0:v>
      </ns0:c>
      <ns0:c r="D335" s="147" t="str">
        <ns0:v>普通盒</ns0:v>
      </ns0:c>
      <ns0:c r="E335" s="152" t="n">
        <ns0:v>2</ns0:v>
      </ns0:c>
      <ns0:c r="F335" s="152" t="n">
        <ns0:v>4</ns0:v>
      </ns0:c>
      <ns0:c r="G335" s="152" t="n">
        <ns0:v>4</ns0:v>
      </ns0:c>
      <ns0:c r="H335" s="152" t="n">
        <ns0:v>0</ns0:v>
      </ns0:c>
      <ns0:c r="I335" s="150" t="n">
        <ns0:f>E335*G335</ns0:f>
        <ns0:v>8</ns0:v>
      </ns0:c>
      <ns0:c r="J335" s="150" t="n">
        <ns0:f>E335*(F335-G335)</ns0:f>
        <ns0:v>0</ns0:v>
      </ns0:c>
      <ns0:c r="K335" s="150" t="n">
        <ns0:f>IF(AND(B335="开局",G335=0,OR(D335="普通盒",D335="单颗暂存盒")),J335,0)</ns0:f>
        <ns0:v>0</ns0:v>
      </ns0:c>
      <ns0:c r="L335" s="150" t="n">
        <ns0:f>IF(AND(B335="开局",G335&gt;0,OR(D335="普通盒",D335="底部置顶盒",D335="炸弹盒")),J335,0)</ns0:f>
        <ns0:v>0</ns0:v>
      </ns0:c>
      <ns0:c r="M335" s="150" t="n">
        <ns0:f>IF(AND(B335="开局",OR(D335="固定颜色盒",D335="单向收纳盒")),J335,0)</ns0:f>
        <ns0:v>0</ns0:v>
      </ns0:c>
      <ns0:c r="N335" s="150" t="n">
        <ns0:f>IF(AND(B335="开局",OR(D335="数字盖盒",D335="普通冰冻盒",D335="数字冰冻盒",D335="数字冰冻单颗暂存盒")),J335,0)</ns0:f>
        <ns0:v>0</ns0:v>
      </ns0:c>
      <ns0:c r="O335" s="147" t="str">
        <ns0:f>IF(AND(E335&gt;0,E335=INT(E335),G335&gt;=0,G335&lt;=F335,G335=INT(G335),OR(AND(F335=1,OR(D335="单颗暂存盒",D335="数字冰冻单颗暂存盒")),AND(F335=4,NOT(OR(D335="单颗暂存盒",D335="数字冰冻单颗暂存盒")))),IF(OR(D335="数字盖盒",D335="数字冰冻盒",D335="数字冰冻单颗暂存盒"),AND(H335&gt;=1,H335=INT(H335)),H335=0),IF(B335="开局",AND(IF(OR(D335="数字盖盒",D335="普通冰冻盒",D335="数字冰冻盒",D335="炸弹盒",D335="底部置顶盒"),OR(G335=3,G335=4),TRUE),IF(OR(D335="单向收纳盒",D335="单颗暂存盒",D335="数字冰冻单颗暂存盒"),OR(G335=0,G335=1),TRUE),IF(OR(D335="固定颜色盒",D335="广告锁定周转盒"),G335=0,TRUE)),TRUE)),"通过","需调整")</ns0:f>
        <ns0:v>通过</ns0:v>
      </ns0:c>
      <ns0:c r="P335" s="147" t="str">
        <ns0:v>连续侧边补货</ns0:v>
      </ns0:c>
      <ns0:c r="Q335" s="147" t="str">
        <ns0:v>固定层序见本关首行</ns0:v>
      </ns0:c>
      <ns0:c r="R335" s="150" t="n">
        <ns0:f>E335*H335</ns0:f>
        <ns0:v>0</ns0:v>
      </ns0:c>
    </ns0:row>
    <ns0:row r="336" ht="21" customHeight="1">
      <ns0:c r="A336" s="149" t="n">
        <ns0:v>57</ns0:v>
      </ns0:c>
      <ns0:c r="B336" s="145" t="str">
        <ns0:v>开局</ns0:v>
      </ns0:c>
      <ns0:c r="C336" s="145" t="str">
        <ns0:v>W6-057-01</ns0:v>
      </ns0:c>
      <ns0:c r="D336" s="145" t="str">
        <ns0:v>普通盒</ns0:v>
      </ns0:c>
      <ns0:c r="E336" s="152" t="n">
        <ns0:v>12</ns0:v>
      </ns0:c>
      <ns0:c r="F336" s="152" t="n">
        <ns0:v>4</ns0:v>
      </ns0:c>
      <ns0:c r="G336" s="152" t="n">
        <ns0:v>4</ns0:v>
      </ns0:c>
      <ns0:c r="H336" s="152" t="n">
        <ns0:v>0</ns0:v>
      </ns0:c>
      <ns0:c r="I336" s="149" t="n">
        <ns0:f>E336*G336</ns0:f>
        <ns0:v>48</ns0:v>
      </ns0:c>
      <ns0:c r="J336" s="149" t="n">
        <ns0:f>E336*(F336-G336)</ns0:f>
        <ns0:v>0</ns0:v>
      </ns0:c>
      <ns0:c r="K336" s="149" t="n">
        <ns0:f>IF(AND(B336="开局",G336=0,OR(D336="普通盒",D336="单颗暂存盒")),J336,0)</ns0:f>
        <ns0:v>0</ns0:v>
      </ns0:c>
      <ns0:c r="L336" s="149" t="n">
        <ns0:f>IF(AND(B336="开局",G336&gt;0,OR(D336="普通盒",D336="底部置顶盒",D336="炸弹盒")),J336,0)</ns0:f>
        <ns0:v>0</ns0:v>
      </ns0:c>
      <ns0:c r="M336" s="149" t="n">
        <ns0:f>IF(AND(B336="开局",OR(D336="固定颜色盒",D336="单向收纳盒")),J336,0)</ns0:f>
        <ns0:v>0</ns0:v>
      </ns0:c>
      <ns0:c r="N336" s="149" t="n">
        <ns0:f>IF(AND(B336="开局",OR(D336="数字盖盒",D336="普通冰冻盒",D336="数字冰冻盒",D336="数字冰冻单颗暂存盒")),J336,0)</ns0:f>
        <ns0:v>0</ns0:v>
      </ns0:c>
      <ns0:c r="O336" s="145" t="str">
        <ns0:f>IF(AND(E336&gt;0,E336=INT(E336),G336&gt;=0,G336&lt;=F336,G336=INT(G336),OR(AND(F336=1,OR(D336="单颗暂存盒",D336="数字冰冻单颗暂存盒")),AND(F336=4,NOT(OR(D336="单颗暂存盒",D336="数字冰冻单颗暂存盒")))),IF(OR(D336="数字盖盒",D336="数字冰冻盒",D336="数字冰冻单颗暂存盒"),AND(H336&gt;=1,H336=INT(H336)),H336=0),IF(B336="开局",AND(IF(OR(D336="数字盖盒",D336="普通冰冻盒",D336="数字冰冻盒",D336="炸弹盒",D336="底部置顶盒"),OR(G336=3,G336=4),TRUE),IF(OR(D336="单向收纳盒",D336="单颗暂存盒",D336="数字冰冻单颗暂存盒"),OR(G336=0,G336=1),TRUE),IF(OR(D336="固定颜色盒",D336="广告锁定周转盒"),G336=0,TRUE)),TRUE)),"通过","需调整")</ns0:f>
        <ns0:v>通过</ns0:v>
      </ns0:c>
      <ns0:c r="P336" s="145" t="str">
        <ns0:v>普通盒</ns0:v>
      </ns0:c>
      <ns0:c r="Q336" s="145" t="str">
        <ns0:v>层序JSON:{"reference":"2026-10-12 第51至60关续接设计；自主层序与单向收纳节奏","slots":[{"group_id":"W6-057-02","layers":[3,4,0]},{"group_id":"W6-057-01","layers":[6,3,4,8]},{"group_id":"W6-057-02","layers":[12,12,4]},{"group_id":"W6-057-01","layers":[2,6,2,2]},{"group_id":"W6-057-01","layers":[0,5,6,6]},{"group_id":"W6-057-01","layers":[5,6,2,3]},{"group_id":"W6-057-05","layers":[4,0,5,5]},{"group_id":"W6-057-01","layers":[2,8,6,4]},{"group_id":"W6-057-01","layers":[5,0,3,6]},{"group_id":"W6-057-01","layers":[0,8,0,8]},{"group_id":"W6-057-01","layers":[8,5,3,2]},{"group_id":"W6-057-03","layers":[5,3]},{"group_id":"W6-057-01","layers":[3,2,2,6]},{"group_id":"W6-057-01","layers":[8,12,8,4]},{"group_id":"W6-057-01","layers":[8,5,12,4]},{"group_id":"W6-057-01","layers":[0,3,0,4]},{"group_id":"W6-057-04","layers":[]},{"group_id":"W6-057-06","layers":[]}],"stock":[],"demand_sequences":[[2,0,8,3,6,3,12,4],[6,5,4,2,8,5,0]]}</ns0:v>
      </ns0:c>
      <ns0:c r="R336" s="149" t="n">
        <ns0:f>E336*H336</ns0:f>
        <ns0:v>0</ns0:v>
      </ns0:c>
    </ns0:row>
    <ns0:row r="337" ht="21" customHeight="1">
      <ns0:c r="A337" s="150" t="n">
        <ns0:v>57</ns0:v>
      </ns0:c>
      <ns0:c r="B337" s="147" t="str">
        <ns0:v>开局</ns0:v>
      </ns0:c>
      <ns0:c r="C337" s="147" t="str">
        <ns0:v>W6-057-02</ns0:v>
      </ns0:c>
      <ns0:c r="D337" s="147" t="str">
        <ns0:v>普通盒</ns0:v>
      </ns0:c>
      <ns0:c r="E337" s="152" t="n">
        <ns0:v>2</ns0:v>
      </ns0:c>
      <ns0:c r="F337" s="152" t="n">
        <ns0:v>4</ns0:v>
      </ns0:c>
      <ns0:c r="G337" s="152" t="n">
        <ns0:v>3</ns0:v>
      </ns0:c>
      <ns0:c r="H337" s="152" t="n">
        <ns0:v>0</ns0:v>
      </ns0:c>
      <ns0:c r="I337" s="150" t="n">
        <ns0:f>E337*G337</ns0:f>
        <ns0:v>6</ns0:v>
      </ns0:c>
      <ns0:c r="J337" s="150" t="n">
        <ns0:f>E337*(F337-G337)</ns0:f>
        <ns0:v>2</ns0:v>
      </ns0:c>
      <ns0:c r="K337" s="150" t="n">
        <ns0:f>IF(AND(B337="开局",G337=0,OR(D337="普通盒",D337="单颗暂存盒")),J337,0)</ns0:f>
        <ns0:v>0</ns0:v>
      </ns0:c>
      <ns0:c r="L337" s="150" t="n">
        <ns0:f>IF(AND(B337="开局",G337&gt;0,OR(D337="普通盒",D337="底部置顶盒",D337="炸弹盒")),J337,0)</ns0:f>
        <ns0:v>2</ns0:v>
      </ns0:c>
      <ns0:c r="M337" s="150" t="n">
        <ns0:f>IF(AND(B337="开局",OR(D337="固定颜色盒",D337="单向收纳盒")),J337,0)</ns0:f>
        <ns0:v>0</ns0:v>
      </ns0:c>
      <ns0:c r="N337" s="150" t="n">
        <ns0:f>IF(AND(B337="开局",OR(D337="数字盖盒",D337="普通冰冻盒",D337="数字冰冻盒",D337="数字冰冻单颗暂存盒")),J337,0)</ns0:f>
        <ns0:v>0</ns0:v>
      </ns0:c>
      <ns0:c r="O337" s="147" t="str">
        <ns0:f>IF(AND(E337&gt;0,E337=INT(E337),G337&gt;=0,G337&lt;=F337,G337=INT(G337),OR(AND(F337=1,OR(D337="单颗暂存盒",D337="数字冰冻单颗暂存盒")),AND(F337=4,NOT(OR(D337="单颗暂存盒",D337="数字冰冻单颗暂存盒")))),IF(OR(D337="数字盖盒",D337="数字冰冻盒",D337="数字冰冻单颗暂存盒"),AND(H337&gt;=1,H337=INT(H337)),H337=0),IF(B337="开局",AND(IF(OR(D337="数字盖盒",D337="普通冰冻盒",D337="数字冰冻盒",D337="炸弹盒",D337="底部置顶盒"),OR(G337=3,G337=4),TRUE),IF(OR(D337="单向收纳盒",D337="单颗暂存盒",D337="数字冰冻单颗暂存盒"),OR(G337=0,G337=1),TRUE),IF(OR(D337="固定颜色盒",D337="广告锁定周转盒"),G337=0,TRUE)),TRUE)),"通过","需调整")</ns0:f>
        <ns0:v>通过</ns0:v>
      </ns0:c>
      <ns0:c r="P337" s="147" t="str">
        <ns0:v>普通盒</ns0:v>
      </ns0:c>
      <ns0:c r="Q337" s="147" t="str">
        <ns0:v>固定层序见本关首行</ns0:v>
      </ns0:c>
      <ns0:c r="R337" s="150" t="n">
        <ns0:f>E337*H337</ns0:f>
        <ns0:v>0</ns0:v>
      </ns0:c>
    </ns0:row>
    <ns0:row r="338" ht="21" customHeight="1">
      <ns0:c r="A338" s="149" t="n">
        <ns0:v>57</ns0:v>
      </ns0:c>
      <ns0:c r="B338" s="145" t="str">
        <ns0:v>开局</ns0:v>
      </ns0:c>
      <ns0:c r="C338" s="145" t="str">
        <ns0:v>W6-057-03</ns0:v>
      </ns0:c>
      <ns0:c r="D338" s="145" t="str">
        <ns0:v>普通盒</ns0:v>
      </ns0:c>
      <ns0:c r="E338" s="152" t="n">
        <ns0:v>1</ns0:v>
      </ns0:c>
      <ns0:c r="F338" s="152" t="n">
        <ns0:v>4</ns0:v>
      </ns0:c>
      <ns0:c r="G338" s="152" t="n">
        <ns0:v>2</ns0:v>
      </ns0:c>
      <ns0:c r="H338" s="152" t="n">
        <ns0:v>0</ns0:v>
      </ns0:c>
      <ns0:c r="I338" s="149" t="n">
        <ns0:f>E338*G338</ns0:f>
        <ns0:v>2</ns0:v>
      </ns0:c>
      <ns0:c r="J338" s="149" t="n">
        <ns0:f>E338*(F338-G338)</ns0:f>
        <ns0:v>2</ns0:v>
      </ns0:c>
      <ns0:c r="K338" s="149" t="n">
        <ns0:f>IF(AND(B338="开局",G338=0,OR(D338="普通盒",D338="单颗暂存盒")),J338,0)</ns0:f>
        <ns0:v>0</ns0:v>
      </ns0:c>
      <ns0:c r="L338" s="149" t="n">
        <ns0:f>IF(AND(B338="开局",G338&gt;0,OR(D338="普通盒",D338="底部置顶盒",D338="炸弹盒")),J338,0)</ns0:f>
        <ns0:v>2</ns0:v>
      </ns0:c>
      <ns0:c r="M338" s="149" t="n">
        <ns0:f>IF(AND(B338="开局",OR(D338="固定颜色盒",D338="单向收纳盒")),J338,0)</ns0:f>
        <ns0:v>0</ns0:v>
      </ns0:c>
      <ns0:c r="N338" s="149" t="n">
        <ns0:f>IF(AND(B338="开局",OR(D338="数字盖盒",D338="普通冰冻盒",D338="数字冰冻盒",D338="数字冰冻单颗暂存盒")),J338,0)</ns0:f>
        <ns0:v>0</ns0:v>
      </ns0:c>
      <ns0:c r="O338" s="145" t="str">
        <ns0:f>IF(AND(E338&gt;0,E338=INT(E338),G338&gt;=0,G338&lt;=F338,G338=INT(G338),OR(AND(F338=1,OR(D338="单颗暂存盒",D338="数字冰冻单颗暂存盒")),AND(F338=4,NOT(OR(D338="单颗暂存盒",D338="数字冰冻单颗暂存盒")))),IF(OR(D338="数字盖盒",D338="数字冰冻盒",D338="数字冰冻单颗暂存盒"),AND(H338&gt;=1,H338=INT(H338)),H338=0),IF(B338="开局",AND(IF(OR(D338="数字盖盒",D338="普通冰冻盒",D338="数字冰冻盒",D338="炸弹盒",D338="底部置顶盒"),OR(G338=3,G338=4),TRUE),IF(OR(D338="单向收纳盒",D338="单颗暂存盒",D338="数字冰冻单颗暂存盒"),OR(G338=0,G338=1),TRUE),IF(OR(D338="固定颜色盒",D338="广告锁定周转盒"),G338=0,TRUE)),TRUE)),"通过","需调整")</ns0:f>
        <ns0:v>通过</ns0:v>
      </ns0:c>
      <ns0:c r="P338" s="145" t="str">
        <ns0:v>普通盒</ns0:v>
      </ns0:c>
      <ns0:c r="Q338" s="145" t="str">
        <ns0:v>固定层序见本关首行</ns0:v>
      </ns0:c>
      <ns0:c r="R338" s="149" t="n">
        <ns0:f>E338*H338</ns0:f>
        <ns0:v>0</ns0:v>
      </ns0:c>
    </ns0:row>
    <ns0:row r="339" ht="21" customHeight="1">
      <ns0:c r="A339" s="150" t="n">
        <ns0:v>57</ns0:v>
      </ns0:c>
      <ns0:c r="B339" s="147" t="str">
        <ns0:v>开局</ns0:v>
      </ns0:c>
      <ns0:c r="C339" s="147" t="str">
        <ns0:v>W6-057-04</ns0:v>
      </ns0:c>
      <ns0:c r="D339" s="147" t="str">
        <ns0:v>普通盒</ns0:v>
      </ns0:c>
      <ns0:c r="E339" s="152" t="n">
        <ns0:v>1</ns0:v>
      </ns0:c>
      <ns0:c r="F339" s="152" t="n">
        <ns0:v>4</ns0:v>
      </ns0:c>
      <ns0:c r="G339" s="152" t="n">
        <ns0:v>0</ns0:v>
      </ns0:c>
      <ns0:c r="H339" s="152" t="n">
        <ns0:v>0</ns0:v>
      </ns0:c>
      <ns0:c r="I339" s="150" t="n">
        <ns0:f>E339*G339</ns0:f>
        <ns0:v>0</ns0:v>
      </ns0:c>
      <ns0:c r="J339" s="150" t="n">
        <ns0:f>E339*(F339-G339)</ns0:f>
        <ns0:v>4</ns0:v>
      </ns0:c>
      <ns0:c r="K339" s="150" t="n">
        <ns0:f>IF(AND(B339="开局",G339=0,OR(D339="普通盒",D339="单颗暂存盒")),J339,0)</ns0:f>
        <ns0:v>4</ns0:v>
      </ns0:c>
      <ns0:c r="L339" s="150" t="n">
        <ns0:f>IF(AND(B339="开局",G339&gt;0,OR(D339="普通盒",D339="底部置顶盒",D339="炸弹盒")),J339,0)</ns0:f>
        <ns0:v>0</ns0:v>
      </ns0:c>
      <ns0:c r="M339" s="150" t="n">
        <ns0:f>IF(AND(B339="开局",OR(D339="固定颜色盒",D339="单向收纳盒")),J339,0)</ns0:f>
        <ns0:v>0</ns0:v>
      </ns0:c>
      <ns0:c r="N339" s="150" t="n">
        <ns0:f>IF(AND(B339="开局",OR(D339="数字盖盒",D339="普通冰冻盒",D339="数字冰冻盒",D339="数字冰冻单颗暂存盒")),J339,0)</ns0:f>
        <ns0:v>0</ns0:v>
      </ns0:c>
      <ns0:c r="O339" s="147" t="str">
        <ns0:f>IF(AND(E339&gt;0,E339=INT(E339),G339&gt;=0,G339&lt;=F339,G339=INT(G339),OR(AND(F339=1,OR(D339="单颗暂存盒",D339="数字冰冻单颗暂存盒")),AND(F339=4,NOT(OR(D339="单颗暂存盒",D339="数字冰冻单颗暂存盒")))),IF(OR(D339="数字盖盒",D339="数字冰冻盒",D339="数字冰冻单颗暂存盒"),AND(H339&gt;=1,H339=INT(H339)),H339=0),IF(B339="开局",AND(IF(OR(D339="数字盖盒",D339="普通冰冻盒",D339="数字冰冻盒",D339="炸弹盒",D339="底部置顶盒"),OR(G339=3,G339=4),TRUE),IF(OR(D339="单向收纳盒",D339="单颗暂存盒",D339="数字冰冻单颗暂存盒"),OR(G339=0,G339=1),TRUE),IF(OR(D339="固定颜色盒",D339="广告锁定周转盒"),G339=0,TRUE)),TRUE)),"通过","需调整")</ns0:f>
        <ns0:v>通过</ns0:v>
      </ns0:c>
      <ns0:c r="P339" s="147" t="str">
        <ns0:v>普通盒</ns0:v>
      </ns0:c>
      <ns0:c r="Q339" s="147" t="str">
        <ns0:v>固定层序见本关首行</ns0:v>
      </ns0:c>
      <ns0:c r="R339" s="150" t="n">
        <ns0:f>E339*H339</ns0:f>
        <ns0:v>0</ns0:v>
      </ns0:c>
    </ns0:row>
    <ns0:row r="340" ht="21" customHeight="1">
      <ns0:c r="A340" s="149" t="n">
        <ns0:v>57</ns0:v>
      </ns0:c>
      <ns0:c r="B340" s="145" t="str">
        <ns0:v>开局</ns0:v>
      </ns0:c>
      <ns0:c r="C340" s="145" t="str">
        <ns0:v>W6-057-05</ns0:v>
      </ns0:c>
      <ns0:c r="D340" s="145" t="str">
        <ns0:v>普通冰冻盒</ns0:v>
      </ns0:c>
      <ns0:c r="E340" s="152" t="n">
        <ns0:v>1</ns0:v>
      </ns0:c>
      <ns0:c r="F340" s="152" t="n">
        <ns0:v>4</ns0:v>
      </ns0:c>
      <ns0:c r="G340" s="152" t="n">
        <ns0:v>4</ns0:v>
      </ns0:c>
      <ns0:c r="H340" s="152" t="n">
        <ns0:v>0</ns0:v>
      </ns0:c>
      <ns0:c r="I340" s="149" t="n">
        <ns0:f>E340*G340</ns0:f>
        <ns0:v>4</ns0:v>
      </ns0:c>
      <ns0:c r="J340" s="149" t="n">
        <ns0:f>E340*(F340-G340)</ns0:f>
        <ns0:v>0</ns0:v>
      </ns0:c>
      <ns0:c r="K340" s="149" t="n">
        <ns0:f>IF(AND(B340="开局",G340=0,OR(D340="普通盒",D340="单颗暂存盒")),J340,0)</ns0:f>
        <ns0:v>0</ns0:v>
      </ns0:c>
      <ns0:c r="L340" s="149" t="n">
        <ns0:f>IF(AND(B340="开局",G340&gt;0,OR(D340="普通盒",D340="底部置顶盒",D340="炸弹盒")),J340,0)</ns0:f>
        <ns0:v>0</ns0:v>
      </ns0:c>
      <ns0:c r="M340" s="149" t="n">
        <ns0:f>IF(AND(B340="开局",OR(D340="固定颜色盒",D340="单向收纳盒")),J340,0)</ns0:f>
        <ns0:v>0</ns0:v>
      </ns0:c>
      <ns0:c r="N340" s="149" t="n">
        <ns0:f>IF(AND(B340="开局",OR(D340="数字盖盒",D340="普通冰冻盒",D340="数字冰冻盒",D340="数字冰冻单颗暂存盒")),J340,0)</ns0:f>
        <ns0:v>0</ns0:v>
      </ns0:c>
      <ns0:c r="O340" s="145" t="str">
        <ns0:f>IF(AND(E340&gt;0,E340=INT(E340),G340&gt;=0,G340&lt;=F340,G340=INT(G340),OR(AND(F340=1,OR(D340="单颗暂存盒",D340="数字冰冻单颗暂存盒")),AND(F340=4,NOT(OR(D340="单颗暂存盒",D340="数字冰冻单颗暂存盒")))),IF(OR(D340="数字盖盒",D340="数字冰冻盒",D340="数字冰冻单颗暂存盒"),AND(H340&gt;=1,H340=INT(H340)),H340=0),IF(B340="开局",AND(IF(OR(D340="数字盖盒",D340="普通冰冻盒",D340="数字冰冻盒",D340="炸弹盒",D340="底部置顶盒"),OR(G340=3,G340=4),TRUE),IF(OR(D340="单向收纳盒",D340="单颗暂存盒",D340="数字冰冻单颗暂存盒"),OR(G340=0,G340=1),TRUE),IF(OR(D340="固定颜色盒",D340="广告锁定周转盒"),G340=0,TRUE)),TRUE)),"通过","需调整")</ns0:f>
        <ns0:v>通过</ns0:v>
      </ns0:c>
      <ns0:c r="P340" s="145" t="str">
        <ns0:v>普通冰冻盒</ns0:v>
      </ns0:c>
      <ns0:c r="Q340" s="145" t="str">
        <ns0:v>固定层序见本关首行</ns0:v>
      </ns0:c>
      <ns0:c r="R340" s="149" t="n">
        <ns0:f>E340*H340</ns0:f>
        <ns0:v>0</ns0:v>
      </ns0:c>
    </ns0:row>
    <ns0:row r="341" ht="21" customHeight="1">
      <ns0:c r="A341" s="150" t="n">
        <ns0:v>57</ns0:v>
      </ns0:c>
      <ns0:c r="B341" s="147" t="str">
        <ns0:v>开局</ns0:v>
      </ns0:c>
      <ns0:c r="C341" s="147" t="str">
        <ns0:v>W6-057-06</ns0:v>
      </ns0:c>
      <ns0:c r="D341" s="147" t="str">
        <ns0:v>单颗暂存盒</ns0:v>
      </ns0:c>
      <ns0:c r="E341" s="152" t="n">
        <ns0:v>1</ns0:v>
      </ns0:c>
      <ns0:c r="F341" s="152" t="n">
        <ns0:v>1</ns0:v>
      </ns0:c>
      <ns0:c r="G341" s="152" t="n">
        <ns0:v>0</ns0:v>
      </ns0:c>
      <ns0:c r="H341" s="152" t="n">
        <ns0:v>0</ns0:v>
      </ns0:c>
      <ns0:c r="I341" s="150" t="n">
        <ns0:f>E341*G341</ns0:f>
        <ns0:v>0</ns0:v>
      </ns0:c>
      <ns0:c r="J341" s="150" t="n">
        <ns0:f>E341*(F341-G341)</ns0:f>
        <ns0:v>1</ns0:v>
      </ns0:c>
      <ns0:c r="K341" s="150" t="n">
        <ns0:f>IF(AND(B341="开局",G341=0,OR(D341="普通盒",D341="单颗暂存盒")),J341,0)</ns0:f>
        <ns0:v>1</ns0:v>
      </ns0:c>
      <ns0:c r="L341" s="150" t="n">
        <ns0:f>IF(AND(B341="开局",G341&gt;0,OR(D341="普通盒",D341="底部置顶盒",D341="炸弹盒")),J341,0)</ns0:f>
        <ns0:v>0</ns0:v>
      </ns0:c>
      <ns0:c r="M341" s="150" t="n">
        <ns0:f>IF(AND(B341="开局",OR(D341="固定颜色盒",D341="单向收纳盒")),J341,0)</ns0:f>
        <ns0:v>0</ns0:v>
      </ns0:c>
      <ns0:c r="N341" s="150" t="n">
        <ns0:f>IF(AND(B341="开局",OR(D341="数字盖盒",D341="普通冰冻盒",D341="数字冰冻盒",D341="数字冰冻单颗暂存盒")),J341,0)</ns0:f>
        <ns0:v>0</ns0:v>
      </ns0:c>
      <ns0:c r="O341" s="147" t="str">
        <ns0:f>IF(AND(E341&gt;0,E341=INT(E341),G341&gt;=0,G341&lt;=F341,G341=INT(G341),OR(AND(F341=1,OR(D341="单颗暂存盒",D341="数字冰冻单颗暂存盒")),AND(F341=4,NOT(OR(D341="单颗暂存盒",D341="数字冰冻单颗暂存盒")))),IF(OR(D341="数字盖盒",D341="数字冰冻盒",D341="数字冰冻单颗暂存盒"),AND(H341&gt;=1,H341=INT(H341)),H341=0),IF(B341="开局",AND(IF(OR(D341="数字盖盒",D341="普通冰冻盒",D341="数字冰冻盒",D341="炸弹盒",D341="底部置顶盒"),OR(G341=3,G341=4),TRUE),IF(OR(D341="单向收纳盒",D341="单颗暂存盒",D341="数字冰冻单颗暂存盒"),OR(G341=0,G341=1),TRUE),IF(OR(D341="固定颜色盒",D341="广告锁定周转盒"),G341=0,TRUE)),TRUE)),"通过","需调整")</ns0:f>
        <ns0:v>通过</ns0:v>
      </ns0:c>
      <ns0:c r="P341" s="147" t="str">
        <ns0:v>单颗暂存盒</ns0:v>
      </ns0:c>
      <ns0:c r="Q341" s="147" t="str">
        <ns0:v>固定层序见本关首行</ns0:v>
      </ns0:c>
      <ns0:c r="R341" s="150" t="n">
        <ns0:f>E341*H341</ns0:f>
        <ns0:v>0</ns0:v>
      </ns0:c>
    </ns0:row>
    <ns0:row r="342" ht="21" customHeight="1">
      <ns0:c r="A342" s="149" t="n">
        <ns0:v>57</ns0:v>
      </ns0:c>
      <ns0:c r="B342" s="145" t="str">
        <ns0:v>开局</ns0:v>
      </ns0:c>
      <ns0:c r="C342" s="145" t="str">
        <ns0:v>W6-057-07</ns0:v>
      </ns0:c>
      <ns0:c r="D342" s="145" t="str">
        <ns0:v>广告锁定周转盒</ns0:v>
      </ns0:c>
      <ns0:c r="E342" s="152" t="n">
        <ns0:v>2</ns0:v>
      </ns0:c>
      <ns0:c r="F342" s="152" t="n">
        <ns0:v>4</ns0:v>
      </ns0:c>
      <ns0:c r="G342" s="152" t="n">
        <ns0:v>0</ns0:v>
      </ns0:c>
      <ns0:c r="H342" s="152" t="n">
        <ns0:v>0</ns0:v>
      </ns0:c>
      <ns0:c r="I342" s="149" t="n">
        <ns0:f>E342*G342</ns0:f>
        <ns0:v>0</ns0:v>
      </ns0:c>
      <ns0:c r="J342" s="149" t="n">
        <ns0:f>E342*(F342-G342)</ns0:f>
        <ns0:v>8</ns0:v>
      </ns0:c>
      <ns0:c r="K342" s="149" t="n">
        <ns0:f>IF(AND(B342="开局",G342=0,OR(D342="普通盒",D342="单颗暂存盒")),J342,0)</ns0:f>
        <ns0:v>0</ns0:v>
      </ns0:c>
      <ns0:c r="L342" s="149" t="n">
        <ns0:f>IF(AND(B342="开局",G342&gt;0,OR(D342="普通盒",D342="底部置顶盒",D342="炸弹盒")),J342,0)</ns0:f>
        <ns0:v>0</ns0:v>
      </ns0:c>
      <ns0:c r="M342" s="149" t="n">
        <ns0:f>IF(AND(B342="开局",OR(D342="固定颜色盒",D342="单向收纳盒")),J342,0)</ns0:f>
        <ns0:v>0</ns0:v>
      </ns0:c>
      <ns0:c r="N342" s="149" t="n">
        <ns0:f>IF(AND(B342="开局",OR(D342="数字盖盒",D342="普通冰冻盒",D342="数字冰冻盒",D342="数字冰冻单颗暂存盒")),J342,0)</ns0:f>
        <ns0:v>0</ns0:v>
      </ns0:c>
      <ns0:c r="O342" s="145" t="str">
        <ns0:f>IF(AND(E342&gt;0,E342=INT(E342),G342&gt;=0,G342&lt;=F342,G342=INT(G342),OR(AND(F342=1,OR(D342="单颗暂存盒",D342="数字冰冻单颗暂存盒")),AND(F342=4,NOT(OR(D342="单颗暂存盒",D342="数字冰冻单颗暂存盒")))),IF(OR(D342="数字盖盒",D342="数字冰冻盒",D342="数字冰冻单颗暂存盒"),AND(H342&gt;=1,H342=INT(H342)),H342=0),IF(B342="开局",AND(IF(OR(D342="数字盖盒",D342="普通冰冻盒",D342="数字冰冻盒",D342="炸弹盒",D342="底部置顶盒"),OR(G342=3,G342=4),TRUE),IF(OR(D342="单向收纳盒",D342="单颗暂存盒",D342="数字冰冻单颗暂存盒"),OR(G342=0,G342=1),TRUE),IF(OR(D342="固定颜色盒",D342="广告锁定周转盒"),G342=0,TRUE)),TRUE)),"通过","需调整")</ns0:f>
        <ns0:v>通过</ns0:v>
      </ns0:c>
      <ns0:c r="P342" s="145" t="str">
        <ns0:v>双广告锁位</ns0:v>
      </ns0:c>
      <ns0:c r="Q342" s="145" t="str">
        <ns0:v>固定层序见本关首行</ns0:v>
      </ns0:c>
      <ns0:c r="R342" s="149" t="n">
        <ns0:f>E342*H342</ns0:f>
        <ns0:v>0</ns0:v>
      </ns0:c>
    </ns0:row>
    <ns0:row r="343" ht="21" customHeight="1">
      <ns0:c r="A343" s="150" t="n">
        <ns0:v>58</ns0:v>
      </ns0:c>
      <ns0:c r="B343" s="147" t="str">
        <ns0:v>开局</ns0:v>
      </ns0:c>
      <ns0:c r="C343" s="147" t="str">
        <ns0:v>W6-058-01</ns0:v>
      </ns0:c>
      <ns0:c r="D343" s="147" t="str">
        <ns0:v>普通盒</ns0:v>
      </ns0:c>
      <ns0:c r="E343" s="152" t="n">
        <ns0:v>14</ns0:v>
      </ns0:c>
      <ns0:c r="F343" s="152" t="n">
        <ns0:v>4</ns0:v>
      </ns0:c>
      <ns0:c r="G343" s="152" t="n">
        <ns0:v>4</ns0:v>
      </ns0:c>
      <ns0:c r="H343" s="152" t="n">
        <ns0:v>0</ns0:v>
      </ns0:c>
      <ns0:c r="I343" s="150" t="n">
        <ns0:f>E343*G343</ns0:f>
        <ns0:v>56</ns0:v>
      </ns0:c>
      <ns0:c r="J343" s="150" t="n">
        <ns0:f>E343*(F343-G343)</ns0:f>
        <ns0:v>0</ns0:v>
      </ns0:c>
      <ns0:c r="K343" s="150" t="n">
        <ns0:f>IF(AND(B343="开局",G343=0,OR(D343="普通盒",D343="单颗暂存盒")),J343,0)</ns0:f>
        <ns0:v>0</ns0:v>
      </ns0:c>
      <ns0:c r="L343" s="150" t="n">
        <ns0:f>IF(AND(B343="开局",G343&gt;0,OR(D343="普通盒",D343="底部置顶盒",D343="炸弹盒")),J343,0)</ns0:f>
        <ns0:v>0</ns0:v>
      </ns0:c>
      <ns0:c r="M343" s="150" t="n">
        <ns0:f>IF(AND(B343="开局",OR(D343="固定颜色盒",D343="单向收纳盒")),J343,0)</ns0:f>
        <ns0:v>0</ns0:v>
      </ns0:c>
      <ns0:c r="N343" s="150" t="n">
        <ns0:f>IF(AND(B343="开局",OR(D343="数字盖盒",D343="普通冰冻盒",D343="数字冰冻盒",D343="数字冰冻单颗暂存盒")),J343,0)</ns0:f>
        <ns0:v>0</ns0:v>
      </ns0:c>
      <ns0:c r="O343" s="147" t="str">
        <ns0:f>IF(AND(E343&gt;0,E343=INT(E343),G343&gt;=0,G343&lt;=F343,G343=INT(G343),OR(AND(F343=1,OR(D343="单颗暂存盒",D343="数字冰冻单颗暂存盒")),AND(F343=4,NOT(OR(D343="单颗暂存盒",D343="数字冰冻单颗暂存盒")))),IF(OR(D343="数字盖盒",D343="数字冰冻盒",D343="数字冰冻单颗暂存盒"),AND(H343&gt;=1,H343=INT(H343)),H343=0),IF(B343="开局",AND(IF(OR(D343="数字盖盒",D343="普通冰冻盒",D343="数字冰冻盒",D343="炸弹盒",D343="底部置顶盒"),OR(G343=3,G343=4),TRUE),IF(OR(D343="单向收纳盒",D343="单颗暂存盒",D343="数字冰冻单颗暂存盒"),OR(G343=0,G343=1),TRUE),IF(OR(D343="固定颜色盒",D343="广告锁定周转盒"),G343=0,TRUE)),TRUE)),"通过","需调整")</ns0:f>
        <ns0:v>通过</ns0:v>
      </ns0:c>
      <ns0:c r="P343" s="147" t="str">
        <ns0:v>普通盒</ns0:v>
      </ns0:c>
      <ns0:c r="Q343" s="147" t="str">
        <ns0:v>层序JSON:{"reference":"2026-10-12 第51至60关续接设计；自主层序与单向收纳节奏","slots":[{"group_id":"W6-058-01","layers":[5,8,12,6]},{"group_id":"W6-058-01","layers":[0,6,0,6]},{"group_id":"W6-058-02","layers":[5,12,5]},{"group_id":"W6-058-01","layers":[8,12,6,5]},{"group_id":"W6-058-01","layers":[4,3,8,12]},{"group_id":"W6-058-01","layers":[0,4,8,8]},{"group_id":"W6-058-01","layers":[2,0,3,8]},{"group_id":"W6-058-01","layers":[6,4,12,8]},{"group_id":"W6-058-02","layers":[6,12,2]},{"group_id":"W6-058-01","layers":[4,0,2,5]},{"group_id":"W6-058-01","layers":[3,0,6,4]},{"group_id":"W6-058-04","layers":[0,0,5,2]},{"group_id":"W6-058-01","layers":[3,5,8,3]},{"group_id":"W6-058-01","layers":[0,12,0,4]},{"group_id":"W6-058-01","layers":[5,2,4,4]},{"group_id":"W6-058-01","layers":[2,3,2,0]},{"group_id":"W6-058-03","layers":[12,2]},{"group_id":"W6-058-01","layers":[3,6,3,0]},{"group_id":"W6-058-06","layers":[]},{"group_id":"W6-058-05","layers":[]}],"stock":[],"demand_sequences":[[4,6,2,0,3,6,12,12,0],[8,5,0,5,3,4,8,2]]}</ns0:v>
      </ns0:c>
      <ns0:c r="R343" s="150" t="n">
        <ns0:f>E343*H343</ns0:f>
        <ns0:v>0</ns0:v>
      </ns0:c>
    </ns0:row>
    <ns0:row r="344" ht="21" customHeight="1">
      <ns0:c r="A344" s="149" t="n">
        <ns0:v>58</ns0:v>
      </ns0:c>
      <ns0:c r="B344" s="145" t="str">
        <ns0:v>开局</ns0:v>
      </ns0:c>
      <ns0:c r="C344" s="145" t="str">
        <ns0:v>W6-058-02</ns0:v>
      </ns0:c>
      <ns0:c r="D344" s="145" t="str">
        <ns0:v>普通盒</ns0:v>
      </ns0:c>
      <ns0:c r="E344" s="152" t="n">
        <ns0:v>2</ns0:v>
      </ns0:c>
      <ns0:c r="F344" s="152" t="n">
        <ns0:v>4</ns0:v>
      </ns0:c>
      <ns0:c r="G344" s="152" t="n">
        <ns0:v>3</ns0:v>
      </ns0:c>
      <ns0:c r="H344" s="152" t="n">
        <ns0:v>0</ns0:v>
      </ns0:c>
      <ns0:c r="I344" s="149" t="n">
        <ns0:f>E344*G344</ns0:f>
        <ns0:v>6</ns0:v>
      </ns0:c>
      <ns0:c r="J344" s="149" t="n">
        <ns0:f>E344*(F344-G344)</ns0:f>
        <ns0:v>2</ns0:v>
      </ns0:c>
      <ns0:c r="K344" s="149" t="n">
        <ns0:f>IF(AND(B344="开局",G344=0,OR(D344="普通盒",D344="单颗暂存盒")),J344,0)</ns0:f>
        <ns0:v>0</ns0:v>
      </ns0:c>
      <ns0:c r="L344" s="149" t="n">
        <ns0:f>IF(AND(B344="开局",G344&gt;0,OR(D344="普通盒",D344="底部置顶盒",D344="炸弹盒")),J344,0)</ns0:f>
        <ns0:v>2</ns0:v>
      </ns0:c>
      <ns0:c r="M344" s="149" t="n">
        <ns0:f>IF(AND(B344="开局",OR(D344="固定颜色盒",D344="单向收纳盒")),J344,0)</ns0:f>
        <ns0:v>0</ns0:v>
      </ns0:c>
      <ns0:c r="N344" s="149" t="n">
        <ns0:f>IF(AND(B344="开局",OR(D344="数字盖盒",D344="普通冰冻盒",D344="数字冰冻盒",D344="数字冰冻单颗暂存盒")),J344,0)</ns0:f>
        <ns0:v>0</ns0:v>
      </ns0:c>
      <ns0:c r="O344" s="145" t="str">
        <ns0:f>IF(AND(E344&gt;0,E344=INT(E344),G344&gt;=0,G344&lt;=F344,G344=INT(G344),OR(AND(F344=1,OR(D344="单颗暂存盒",D344="数字冰冻单颗暂存盒")),AND(F344=4,NOT(OR(D344="单颗暂存盒",D344="数字冰冻单颗暂存盒")))),IF(OR(D344="数字盖盒",D344="数字冰冻盒",D344="数字冰冻单颗暂存盒"),AND(H344&gt;=1,H344=INT(H344)),H344=0),IF(B344="开局",AND(IF(OR(D344="数字盖盒",D344="普通冰冻盒",D344="数字冰冻盒",D344="炸弹盒",D344="底部置顶盒"),OR(G344=3,G344=4),TRUE),IF(OR(D344="单向收纳盒",D344="单颗暂存盒",D344="数字冰冻单颗暂存盒"),OR(G344=0,G344=1),TRUE),IF(OR(D344="固定颜色盒",D344="广告锁定周转盒"),G344=0,TRUE)),TRUE)),"通过","需调整")</ns0:f>
        <ns0:v>通过</ns0:v>
      </ns0:c>
      <ns0:c r="P344" s="145" t="str">
        <ns0:v>普通盒</ns0:v>
      </ns0:c>
      <ns0:c r="Q344" s="145" t="str">
        <ns0:v>固定层序见本关首行</ns0:v>
      </ns0:c>
      <ns0:c r="R344" s="149" t="n">
        <ns0:f>E344*H344</ns0:f>
        <ns0:v>0</ns0:v>
      </ns0:c>
    </ns0:row>
    <ns0:row r="345" ht="21" customHeight="1">
      <ns0:c r="A345" s="150" t="n">
        <ns0:v>58</ns0:v>
      </ns0:c>
      <ns0:c r="B345" s="147" t="str">
        <ns0:v>开局</ns0:v>
      </ns0:c>
      <ns0:c r="C345" s="147" t="str">
        <ns0:v>W6-058-03</ns0:v>
      </ns0:c>
      <ns0:c r="D345" s="147" t="str">
        <ns0:v>普通盒</ns0:v>
      </ns0:c>
      <ns0:c r="E345" s="152" t="n">
        <ns0:v>1</ns0:v>
      </ns0:c>
      <ns0:c r="F345" s="152" t="n">
        <ns0:v>4</ns0:v>
      </ns0:c>
      <ns0:c r="G345" s="152" t="n">
        <ns0:v>2</ns0:v>
      </ns0:c>
      <ns0:c r="H345" s="152" t="n">
        <ns0:v>0</ns0:v>
      </ns0:c>
      <ns0:c r="I345" s="150" t="n">
        <ns0:f>E345*G345</ns0:f>
        <ns0:v>2</ns0:v>
      </ns0:c>
      <ns0:c r="J345" s="150" t="n">
        <ns0:f>E345*(F345-G345)</ns0:f>
        <ns0:v>2</ns0:v>
      </ns0:c>
      <ns0:c r="K345" s="150" t="n">
        <ns0:f>IF(AND(B345="开局",G345=0,OR(D345="普通盒",D345="单颗暂存盒")),J345,0)</ns0:f>
        <ns0:v>0</ns0:v>
      </ns0:c>
      <ns0:c r="L345" s="150" t="n">
        <ns0:f>IF(AND(B345="开局",G345&gt;0,OR(D345="普通盒",D345="底部置顶盒",D345="炸弹盒")),J345,0)</ns0:f>
        <ns0:v>2</ns0:v>
      </ns0:c>
      <ns0:c r="M345" s="150" t="n">
        <ns0:f>IF(AND(B345="开局",OR(D345="固定颜色盒",D345="单向收纳盒")),J345,0)</ns0:f>
        <ns0:v>0</ns0:v>
      </ns0:c>
      <ns0:c r="N345" s="150" t="n">
        <ns0:f>IF(AND(B345="开局",OR(D345="数字盖盒",D345="普通冰冻盒",D345="数字冰冻盒",D345="数字冰冻单颗暂存盒")),J345,0)</ns0:f>
        <ns0:v>0</ns0:v>
      </ns0:c>
      <ns0:c r="O345" s="147" t="str">
        <ns0:f>IF(AND(E345&gt;0,E345=INT(E345),G345&gt;=0,G345&lt;=F345,G345=INT(G345),OR(AND(F345=1,OR(D345="单颗暂存盒",D345="数字冰冻单颗暂存盒")),AND(F345=4,NOT(OR(D345="单颗暂存盒",D345="数字冰冻单颗暂存盒")))),IF(OR(D345="数字盖盒",D345="数字冰冻盒",D345="数字冰冻单颗暂存盒"),AND(H345&gt;=1,H345=INT(H345)),H345=0),IF(B345="开局",AND(IF(OR(D345="数字盖盒",D345="普通冰冻盒",D345="数字冰冻盒",D345="炸弹盒",D345="底部置顶盒"),OR(G345=3,G345=4),TRUE),IF(OR(D345="单向收纳盒",D345="单颗暂存盒",D345="数字冰冻单颗暂存盒"),OR(G345=0,G345=1),TRUE),IF(OR(D345="固定颜色盒",D345="广告锁定周转盒"),G345=0,TRUE)),TRUE)),"通过","需调整")</ns0:f>
        <ns0:v>通过</ns0:v>
      </ns0:c>
      <ns0:c r="P345" s="147" t="str">
        <ns0:v>普通盒</ns0:v>
      </ns0:c>
      <ns0:c r="Q345" s="147" t="str">
        <ns0:v>固定层序见本关首行</ns0:v>
      </ns0:c>
      <ns0:c r="R345" s="150" t="n">
        <ns0:f>E345*H345</ns0:f>
        <ns0:v>0</ns0:v>
      </ns0:c>
    </ns0:row>
    <ns0:row r="346" ht="21" customHeight="1">
      <ns0:c r="A346" s="149" t="n">
        <ns0:v>58</ns0:v>
      </ns0:c>
      <ns0:c r="B346" s="145" t="str">
        <ns0:v>开局</ns0:v>
      </ns0:c>
      <ns0:c r="C346" s="145" t="str">
        <ns0:v>W6-058-04</ns0:v>
      </ns0:c>
      <ns0:c r="D346" s="145" t="str">
        <ns0:v>数字冰冻盒</ns0:v>
      </ns0:c>
      <ns0:c r="E346" s="152" t="n">
        <ns0:v>1</ns0:v>
      </ns0:c>
      <ns0:c r="F346" s="152" t="n">
        <ns0:v>4</ns0:v>
      </ns0:c>
      <ns0:c r="G346" s="152" t="n">
        <ns0:v>4</ns0:v>
      </ns0:c>
      <ns0:c r="H346" s="152" t="n">
        <ns0:v>1</ns0:v>
      </ns0:c>
      <ns0:c r="I346" s="149" t="n">
        <ns0:f>E346*G346</ns0:f>
        <ns0:v>4</ns0:v>
      </ns0:c>
      <ns0:c r="J346" s="149" t="n">
        <ns0:f>E346*(F346-G346)</ns0:f>
        <ns0:v>0</ns0:v>
      </ns0:c>
      <ns0:c r="K346" s="149" t="n">
        <ns0:f>IF(AND(B346="开局",G346=0,OR(D346="普通盒",D346="单颗暂存盒")),J346,0)</ns0:f>
        <ns0:v>0</ns0:v>
      </ns0:c>
      <ns0:c r="L346" s="149" t="n">
        <ns0:f>IF(AND(B346="开局",G346&gt;0,OR(D346="普通盒",D346="底部置顶盒",D346="炸弹盒")),J346,0)</ns0:f>
        <ns0:v>0</ns0:v>
      </ns0:c>
      <ns0:c r="M346" s="149" t="n">
        <ns0:f>IF(AND(B346="开局",OR(D346="固定颜色盒",D346="单向收纳盒")),J346,0)</ns0:f>
        <ns0:v>0</ns0:v>
      </ns0:c>
      <ns0:c r="N346" s="149" t="n">
        <ns0:f>IF(AND(B346="开局",OR(D346="数字盖盒",D346="普通冰冻盒",D346="数字冰冻盒",D346="数字冰冻单颗暂存盒")),J346,0)</ns0:f>
        <ns0:v>0</ns0:v>
      </ns0:c>
      <ns0:c r="O346" s="145" t="str">
        <ns0:f>IF(AND(E346&gt;0,E346=INT(E346),G346&gt;=0,G346&lt;=F346,G346=INT(G346),OR(AND(F346=1,OR(D346="单颗暂存盒",D346="数字冰冻单颗暂存盒")),AND(F346=4,NOT(OR(D346="单颗暂存盒",D346="数字冰冻单颗暂存盒")))),IF(OR(D346="数字盖盒",D346="数字冰冻盒",D346="数字冰冻单颗暂存盒"),AND(H346&gt;=1,H346=INT(H346)),H346=0),IF(B346="开局",AND(IF(OR(D346="数字盖盒",D346="普通冰冻盒",D346="数字冰冻盒",D346="炸弹盒",D346="底部置顶盒"),OR(G346=3,G346=4),TRUE),IF(OR(D346="单向收纳盒",D346="单颗暂存盒",D346="数字冰冻单颗暂存盒"),OR(G346=0,G346=1),TRUE),IF(OR(D346="固定颜色盒",D346="广告锁定周转盒"),G346=0,TRUE)),TRUE)),"通过","需调整")</ns0:f>
        <ns0:v>通过</ns0:v>
      </ns0:c>
      <ns0:c r="P346" s="145" t="str">
        <ns0:v>数字冰冻盒</ns0:v>
      </ns0:c>
      <ns0:c r="Q346" s="145" t="str">
        <ns0:v>固定层序见本关首行</ns0:v>
      </ns0:c>
      <ns0:c r="R346" s="149" t="n">
        <ns0:f>E346*H346</ns0:f>
        <ns0:v>1</ns0:v>
      </ns0:c>
    </ns0:row>
    <ns0:row r="347" ht="21" customHeight="1">
      <ns0:c r="A347" s="150" t="n">
        <ns0:v>58</ns0:v>
      </ns0:c>
      <ns0:c r="B347" s="147" t="str">
        <ns0:v>开局</ns0:v>
      </ns0:c>
      <ns0:c r="C347" s="147" t="str">
        <ns0:v>W6-058-05</ns0:v>
      </ns0:c>
      <ns0:c r="D347" s="147" t="str">
        <ns0:v>单向收纳盒</ns0:v>
      </ns0:c>
      <ns0:c r="E347" s="152" t="n">
        <ns0:v>1</ns0:v>
      </ns0:c>
      <ns0:c r="F347" s="152" t="n">
        <ns0:v>4</ns0:v>
      </ns0:c>
      <ns0:c r="G347" s="152" t="n">
        <ns0:v>0</ns0:v>
      </ns0:c>
      <ns0:c r="H347" s="152" t="n">
        <ns0:v>0</ns0:v>
      </ns0:c>
      <ns0:c r="I347" s="150" t="n">
        <ns0:f>E347*G347</ns0:f>
        <ns0:v>0</ns0:v>
      </ns0:c>
      <ns0:c r="J347" s="150" t="n">
        <ns0:f>E347*(F347-G347)</ns0:f>
        <ns0:v>4</ns0:v>
      </ns0:c>
      <ns0:c r="K347" s="150" t="n">
        <ns0:f>IF(AND(B347="开局",G347=0,OR(D347="普通盒",D347="单颗暂存盒")),J347,0)</ns0:f>
        <ns0:v>0</ns0:v>
      </ns0:c>
      <ns0:c r="L347" s="150" t="n">
        <ns0:f>IF(AND(B347="开局",G347&gt;0,OR(D347="普通盒",D347="底部置顶盒",D347="炸弹盒")),J347,0)</ns0:f>
        <ns0:v>0</ns0:v>
      </ns0:c>
      <ns0:c r="M347" s="150" t="n">
        <ns0:f>IF(AND(B347="开局",OR(D347="固定颜色盒",D347="单向收纳盒")),J347,0)</ns0:f>
        <ns0:v>4</ns0:v>
      </ns0:c>
      <ns0:c r="N347" s="150" t="n">
        <ns0:f>IF(AND(B347="开局",OR(D347="数字盖盒",D347="普通冰冻盒",D347="数字冰冻盒",D347="数字冰冻单颗暂存盒")),J347,0)</ns0:f>
        <ns0:v>0</ns0:v>
      </ns0:c>
      <ns0:c r="O347" s="147" t="str">
        <ns0:f>IF(AND(E347&gt;0,E347=INT(E347),G347&gt;=0,G347&lt;=F347,G347=INT(G347),OR(AND(F347=1,OR(D347="单颗暂存盒",D347="数字冰冻单颗暂存盒")),AND(F347=4,NOT(OR(D347="单颗暂存盒",D347="数字冰冻单颗暂存盒")))),IF(OR(D347="数字盖盒",D347="数字冰冻盒",D347="数字冰冻单颗暂存盒"),AND(H347&gt;=1,H347=INT(H347)),H347=0),IF(B347="开局",AND(IF(OR(D347="数字盖盒",D347="普通冰冻盒",D347="数字冰冻盒",D347="炸弹盒",D347="底部置顶盒"),OR(G347=3,G347=4),TRUE),IF(OR(D347="单向收纳盒",D347="单颗暂存盒",D347="数字冰冻单颗暂存盒"),OR(G347=0,G347=1),TRUE),IF(OR(D347="固定颜色盒",D347="广告锁定周转盒"),G347=0,TRUE)),TRUE)),"通过","需调整")</ns0:f>
        <ns0:v>通过</ns0:v>
      </ns0:c>
      <ns0:c r="P347" s="147" t="str">
        <ns0:v>单向收纳盒</ns0:v>
      </ns0:c>
      <ns0:c r="Q347" s="147" t="str">
        <ns0:v>固定层序见本关首行</ns0:v>
      </ns0:c>
      <ns0:c r="R347" s="150" t="n">
        <ns0:f>E347*H347</ns0:f>
        <ns0:v>0</ns0:v>
      </ns0:c>
    </ns0:row>
    <ns0:row r="348" ht="21" customHeight="1">
      <ns0:c r="A348" s="149" t="n">
        <ns0:v>58</ns0:v>
      </ns0:c>
      <ns0:c r="B348" s="145" t="str">
        <ns0:v>开局</ns0:v>
      </ns0:c>
      <ns0:c r="C348" s="145" t="str">
        <ns0:v>W6-058-06</ns0:v>
      </ns0:c>
      <ns0:c r="D348" s="145" t="str">
        <ns0:v>单颗暂存盒</ns0:v>
      </ns0:c>
      <ns0:c r="E348" s="152" t="n">
        <ns0:v>1</ns0:v>
      </ns0:c>
      <ns0:c r="F348" s="152" t="n">
        <ns0:v>1</ns0:v>
      </ns0:c>
      <ns0:c r="G348" s="152" t="n">
        <ns0:v>0</ns0:v>
      </ns0:c>
      <ns0:c r="H348" s="152" t="n">
        <ns0:v>0</ns0:v>
      </ns0:c>
      <ns0:c r="I348" s="149" t="n">
        <ns0:f>E348*G348</ns0:f>
        <ns0:v>0</ns0:v>
      </ns0:c>
      <ns0:c r="J348" s="149" t="n">
        <ns0:f>E348*(F348-G348)</ns0:f>
        <ns0:v>1</ns0:v>
      </ns0:c>
      <ns0:c r="K348" s="149" t="n">
        <ns0:f>IF(AND(B348="开局",G348=0,OR(D348="普通盒",D348="单颗暂存盒")),J348,0)</ns0:f>
        <ns0:v>1</ns0:v>
      </ns0:c>
      <ns0:c r="L348" s="149" t="n">
        <ns0:f>IF(AND(B348="开局",G348&gt;0,OR(D348="普通盒",D348="底部置顶盒",D348="炸弹盒")),J348,0)</ns0:f>
        <ns0:v>0</ns0:v>
      </ns0:c>
      <ns0:c r="M348" s="149" t="n">
        <ns0:f>IF(AND(B348="开局",OR(D348="固定颜色盒",D348="单向收纳盒")),J348,0)</ns0:f>
        <ns0:v>0</ns0:v>
      </ns0:c>
      <ns0:c r="N348" s="149" t="n">
        <ns0:f>IF(AND(B348="开局",OR(D348="数字盖盒",D348="普通冰冻盒",D348="数字冰冻盒",D348="数字冰冻单颗暂存盒")),J348,0)</ns0:f>
        <ns0:v>0</ns0:v>
      </ns0:c>
      <ns0:c r="O348" s="145" t="str">
        <ns0:f>IF(AND(E348&gt;0,E348=INT(E348),G348&gt;=0,G348&lt;=F348,G348=INT(G348),OR(AND(F348=1,OR(D348="单颗暂存盒",D348="数字冰冻单颗暂存盒")),AND(F348=4,NOT(OR(D348="单颗暂存盒",D348="数字冰冻单颗暂存盒")))),IF(OR(D348="数字盖盒",D348="数字冰冻盒",D348="数字冰冻单颗暂存盒"),AND(H348&gt;=1,H348=INT(H348)),H348=0),IF(B348="开局",AND(IF(OR(D348="数字盖盒",D348="普通冰冻盒",D348="数字冰冻盒",D348="炸弹盒",D348="底部置顶盒"),OR(G348=3,G348=4),TRUE),IF(OR(D348="单向收纳盒",D348="单颗暂存盒",D348="数字冰冻单颗暂存盒"),OR(G348=0,G348=1),TRUE),IF(OR(D348="固定颜色盒",D348="广告锁定周转盒"),G348=0,TRUE)),TRUE)),"通过","需调整")</ns0:f>
        <ns0:v>通过</ns0:v>
      </ns0:c>
      <ns0:c r="P348" s="145" t="str">
        <ns0:v>单颗暂存盒</ns0:v>
      </ns0:c>
      <ns0:c r="Q348" s="145" t="str">
        <ns0:v>固定层序见本关首行</ns0:v>
      </ns0:c>
      <ns0:c r="R348" s="149" t="n">
        <ns0:f>E348*H348</ns0:f>
        <ns0:v>0</ns0:v>
      </ns0:c>
    </ns0:row>
    <ns0:row r="349" ht="21" customHeight="1">
      <ns0:c r="A349" s="150" t="n">
        <ns0:v>58</ns0:v>
      </ns0:c>
      <ns0:c r="B349" s="147" t="str">
        <ns0:v>开局</ns0:v>
      </ns0:c>
      <ns0:c r="C349" s="147" t="str">
        <ns0:v>W6-058-07</ns0:v>
      </ns0:c>
      <ns0:c r="D349" s="147" t="str">
        <ns0:v>广告锁定周转盒</ns0:v>
      </ns0:c>
      <ns0:c r="E349" s="152" t="n">
        <ns0:v>2</ns0:v>
      </ns0:c>
      <ns0:c r="F349" s="152" t="n">
        <ns0:v>4</ns0:v>
      </ns0:c>
      <ns0:c r="G349" s="152" t="n">
        <ns0:v>0</ns0:v>
      </ns0:c>
      <ns0:c r="H349" s="152" t="n">
        <ns0:v>0</ns0:v>
      </ns0:c>
      <ns0:c r="I349" s="150" t="n">
        <ns0:f>E349*G349</ns0:f>
        <ns0:v>0</ns0:v>
      </ns0:c>
      <ns0:c r="J349" s="150" t="n">
        <ns0:f>E349*(F349-G349)</ns0:f>
        <ns0:v>8</ns0:v>
      </ns0:c>
      <ns0:c r="K349" s="150" t="n">
        <ns0:f>IF(AND(B349="开局",G349=0,OR(D349="普通盒",D349="单颗暂存盒")),J349,0)</ns0:f>
        <ns0:v>0</ns0:v>
      </ns0:c>
      <ns0:c r="L349" s="150" t="n">
        <ns0:f>IF(AND(B349="开局",G349&gt;0,OR(D349="普通盒",D349="底部置顶盒",D349="炸弹盒")),J349,0)</ns0:f>
        <ns0:v>0</ns0:v>
      </ns0:c>
      <ns0:c r="M349" s="150" t="n">
        <ns0:f>IF(AND(B349="开局",OR(D349="固定颜色盒",D349="单向收纳盒")),J349,0)</ns0:f>
        <ns0:v>0</ns0:v>
      </ns0:c>
      <ns0:c r="N349" s="150" t="n">
        <ns0:f>IF(AND(B349="开局",OR(D349="数字盖盒",D349="普通冰冻盒",D349="数字冰冻盒",D349="数字冰冻单颗暂存盒")),J349,0)</ns0:f>
        <ns0:v>0</ns0:v>
      </ns0:c>
      <ns0:c r="O349" s="147" t="str">
        <ns0:f>IF(AND(E349&gt;0,E349=INT(E349),G349&gt;=0,G349&lt;=F349,G349=INT(G349),OR(AND(F349=1,OR(D349="单颗暂存盒",D349="数字冰冻单颗暂存盒")),AND(F349=4,NOT(OR(D349="单颗暂存盒",D349="数字冰冻单颗暂存盒")))),IF(OR(D349="数字盖盒",D349="数字冰冻盒",D349="数字冰冻单颗暂存盒"),AND(H349&gt;=1,H349=INT(H349)),H349=0),IF(B349="开局",AND(IF(OR(D349="数字盖盒",D349="普通冰冻盒",D349="数字冰冻盒",D349="炸弹盒",D349="底部置顶盒"),OR(G349=3,G349=4),TRUE),IF(OR(D349="单向收纳盒",D349="单颗暂存盒",D349="数字冰冻单颗暂存盒"),OR(G349=0,G349=1),TRUE),IF(OR(D349="固定颜色盒",D349="广告锁定周转盒"),G349=0,TRUE)),TRUE)),"通过","需调整")</ns0:f>
        <ns0:v>通过</ns0:v>
      </ns0:c>
      <ns0:c r="P349" s="147" t="str">
        <ns0:v>双广告锁位</ns0:v>
      </ns0:c>
      <ns0:c r="Q349" s="147" t="str">
        <ns0:v>固定层序见本关首行</ns0:v>
      </ns0:c>
      <ns0:c r="R349" s="150" t="n">
        <ns0:f>E349*H349</ns0:f>
        <ns0:v>0</ns0:v>
      </ns0:c>
    </ns0:row>
    <ns0:row r="350" ht="21" customHeight="1">
      <ns0:c r="A350" s="149" t="n">
        <ns0:v>59</ns0:v>
      </ns0:c>
      <ns0:c r="B350" s="145" t="str">
        <ns0:v>开局</ns0:v>
      </ns0:c>
      <ns0:c r="C350" s="145" t="str">
        <ns0:v>W6-059-01</ns0:v>
      </ns0:c>
      <ns0:c r="D350" s="145" t="str">
        <ns0:v>普通盒</ns0:v>
      </ns0:c>
      <ns0:c r="E350" s="152" t="n">
        <ns0:v>13</ns0:v>
      </ns0:c>
      <ns0:c r="F350" s="152" t="n">
        <ns0:v>4</ns0:v>
      </ns0:c>
      <ns0:c r="G350" s="152" t="n">
        <ns0:v>4</ns0:v>
      </ns0:c>
      <ns0:c r="H350" s="152" t="n">
        <ns0:v>0</ns0:v>
      </ns0:c>
      <ns0:c r="I350" s="149" t="n">
        <ns0:f>E350*G350</ns0:f>
        <ns0:v>52</ns0:v>
      </ns0:c>
      <ns0:c r="J350" s="149" t="n">
        <ns0:f>E350*(F350-G350)</ns0:f>
        <ns0:v>0</ns0:v>
      </ns0:c>
      <ns0:c r="K350" s="149" t="n">
        <ns0:f>IF(AND(B350="开局",G350=0,OR(D350="普通盒",D350="单颗暂存盒")),J350,0)</ns0:f>
        <ns0:v>0</ns0:v>
      </ns0:c>
      <ns0:c r="L350" s="149" t="n">
        <ns0:f>IF(AND(B350="开局",G350&gt;0,OR(D350="普通盒",D350="底部置顶盒",D350="炸弹盒")),J350,0)</ns0:f>
        <ns0:v>0</ns0:v>
      </ns0:c>
      <ns0:c r="M350" s="149" t="n">
        <ns0:f>IF(AND(B350="开局",OR(D350="固定颜色盒",D350="单向收纳盒")),J350,0)</ns0:f>
        <ns0:v>0</ns0:v>
      </ns0:c>
      <ns0:c r="N350" s="149" t="n">
        <ns0:f>IF(AND(B350="开局",OR(D350="数字盖盒",D350="普通冰冻盒",D350="数字冰冻盒",D350="数字冰冻单颗暂存盒")),J350,0)</ns0:f>
        <ns0:v>0</ns0:v>
      </ns0:c>
      <ns0:c r="O350" s="145" t="str">
        <ns0:f>IF(AND(E350&gt;0,E350=INT(E350),G350&gt;=0,G350&lt;=F350,G350=INT(G350),OR(AND(F350=1,OR(D350="单颗暂存盒",D350="数字冰冻单颗暂存盒")),AND(F350=4,NOT(OR(D350="单颗暂存盒",D350="数字冰冻单颗暂存盒")))),IF(OR(D350="数字盖盒",D350="数字冰冻盒",D350="数字冰冻单颗暂存盒"),AND(H350&gt;=1,H350=INT(H350)),H350=0),IF(B350="开局",AND(IF(OR(D350="数字盖盒",D350="普通冰冻盒",D350="数字冰冻盒",D350="炸弹盒",D350="底部置顶盒"),OR(G350=3,G350=4),TRUE),IF(OR(D350="单向收纳盒",D350="单颗暂存盒",D350="数字冰冻单颗暂存盒"),OR(G350=0,G350=1),TRUE),IF(OR(D350="固定颜色盒",D350="广告锁定周转盒"),G350=0,TRUE)),TRUE)),"通过","需调整")</ns0:f>
        <ns0:v>通过</ns0:v>
      </ns0:c>
      <ns0:c r="P350" s="145" t="str">
        <ns0:v>普通盒</ns0:v>
      </ns0:c>
      <ns0:c r="Q350" s="145" t="str">
        <ns0:v>层序JSON:{"reference":"2026-10-12 第51至60关续接设计；自主层序与单向收纳节奏","slots":[{"group_id":"W6-059-01","layers":[12,3,2,8]},{"group_id":"W6-059-02","layers":[6,12,3]},{"group_id":"W6-059-01","layers":[4,3,0,5]},{"group_id":"W6-059-01","layers":[8,2,3,4]},{"group_id":"W6-059-06","layers":[8]},{"group_id":"W6-059-02","layers":[4,2,12]},{"group_id":"W6-059-01","layers":[5,8,5,6]},{"group_id":"W6-059-02","layers":[0,6,12]},{"group_id":"W6-059-01","layers":[6,3,5,12],"hidden":[1,2,3]},{"group_id":"W6-059-01","layers":[12,2,3,0]},{"group_id":"W6-059-01","layers":[0,3,5,5]},{"group_id":"W6-059-03","layers":[12,2]},{"group_id":"W6-059-01","layers":[4,0,0,3]},{"group_id":"W6-059-01","layers":[4,5,2,8]},{"group_id":"W6-059-01","layers":[0,3,2,2]},{"group_id":"W6-059-04","layers":[8,12,2,3]},{"group_id":"W6-059-01","layers":[6,8,2,5]},{"group_id":"W6-059-01","layers":[2,0,0,6]},{"group_id":"W6-059-01","layers":[0,6,6,2]},{"group_id":"W6-059-05","layers":[]}],"stock":[{"group_id":"W6-059-08","layers":[4,0,4,3]},{"group_id":"W6-059-08","layers":[3,8,0,4]}],"demand_sequences":[[6,3,12,2,8,3,0,12,0,3],[2,4,8,5,5,0,6,2,4]]}</ns0:v>
      </ns0:c>
      <ns0:c r="R350" s="149" t="n">
        <ns0:f>E350*H350</ns0:f>
        <ns0:v>0</ns0:v>
      </ns0:c>
    </ns0:row>
    <ns0:row r="351" ht="21" customHeight="1">
      <ns0:c r="A351" s="150" t="n">
        <ns0:v>59</ns0:v>
      </ns0:c>
      <ns0:c r="B351" s="147" t="str">
        <ns0:v>开局</ns0:v>
      </ns0:c>
      <ns0:c r="C351" s="147" t="str">
        <ns0:v>W6-059-02</ns0:v>
      </ns0:c>
      <ns0:c r="D351" s="147" t="str">
        <ns0:v>普通盒</ns0:v>
      </ns0:c>
      <ns0:c r="E351" s="152" t="n">
        <ns0:v>3</ns0:v>
      </ns0:c>
      <ns0:c r="F351" s="152" t="n">
        <ns0:v>4</ns0:v>
      </ns0:c>
      <ns0:c r="G351" s="152" t="n">
        <ns0:v>3</ns0:v>
      </ns0:c>
      <ns0:c r="H351" s="152" t="n">
        <ns0:v>0</ns0:v>
      </ns0:c>
      <ns0:c r="I351" s="150" t="n">
        <ns0:f>E351*G351</ns0:f>
        <ns0:v>9</ns0:v>
      </ns0:c>
      <ns0:c r="J351" s="150" t="n">
        <ns0:f>E351*(F351-G351)</ns0:f>
        <ns0:v>3</ns0:v>
      </ns0:c>
      <ns0:c r="K351" s="150" t="n">
        <ns0:f>IF(AND(B351="开局",G351=0,OR(D351="普通盒",D351="单颗暂存盒")),J351,0)</ns0:f>
        <ns0:v>0</ns0:v>
      </ns0:c>
      <ns0:c r="L351" s="150" t="n">
        <ns0:f>IF(AND(B351="开局",G351&gt;0,OR(D351="普通盒",D351="底部置顶盒",D351="炸弹盒")),J351,0)</ns0:f>
        <ns0:v>3</ns0:v>
      </ns0:c>
      <ns0:c r="M351" s="150" t="n">
        <ns0:f>IF(AND(B351="开局",OR(D351="固定颜色盒",D351="单向收纳盒")),J351,0)</ns0:f>
        <ns0:v>0</ns0:v>
      </ns0:c>
      <ns0:c r="N351" s="150" t="n">
        <ns0:f>IF(AND(B351="开局",OR(D351="数字盖盒",D351="普通冰冻盒",D351="数字冰冻盒",D351="数字冰冻单颗暂存盒")),J351,0)</ns0:f>
        <ns0:v>0</ns0:v>
      </ns0:c>
      <ns0:c r="O351" s="147" t="str">
        <ns0:f>IF(AND(E351&gt;0,E351=INT(E351),G351&gt;=0,G351&lt;=F351,G351=INT(G351),OR(AND(F351=1,OR(D351="单颗暂存盒",D351="数字冰冻单颗暂存盒")),AND(F351=4,NOT(OR(D351="单颗暂存盒",D351="数字冰冻单颗暂存盒")))),IF(OR(D351="数字盖盒",D351="数字冰冻盒",D351="数字冰冻单颗暂存盒"),AND(H351&gt;=1,H351=INT(H351)),H351=0),IF(B351="开局",AND(IF(OR(D351="数字盖盒",D351="普通冰冻盒",D351="数字冰冻盒",D351="炸弹盒",D351="底部置顶盒"),OR(G351=3,G351=4),TRUE),IF(OR(D351="单向收纳盒",D351="单颗暂存盒",D351="数字冰冻单颗暂存盒"),OR(G351=0,G351=1),TRUE),IF(OR(D351="固定颜色盒",D351="广告锁定周转盒"),G351=0,TRUE)),TRUE)),"通过","需调整")</ns0:f>
        <ns0:v>通过</ns0:v>
      </ns0:c>
      <ns0:c r="P351" s="147" t="str">
        <ns0:v>普通盒</ns0:v>
      </ns0:c>
      <ns0:c r="Q351" s="147" t="str">
        <ns0:v>固定层序见本关首行</ns0:v>
      </ns0:c>
      <ns0:c r="R351" s="150" t="n">
        <ns0:f>E351*H351</ns0:f>
        <ns0:v>0</ns0:v>
      </ns0:c>
    </ns0:row>
    <ns0:row r="352" ht="21" customHeight="1">
      <ns0:c r="A352" s="149" t="n">
        <ns0:v>59</ns0:v>
      </ns0:c>
      <ns0:c r="B352" s="145" t="str">
        <ns0:v>开局</ns0:v>
      </ns0:c>
      <ns0:c r="C352" s="145" t="str">
        <ns0:v>W6-059-03</ns0:v>
      </ns0:c>
      <ns0:c r="D352" s="145" t="str">
        <ns0:v>普通盒</ns0:v>
      </ns0:c>
      <ns0:c r="E352" s="152" t="n">
        <ns0:v>1</ns0:v>
      </ns0:c>
      <ns0:c r="F352" s="152" t="n">
        <ns0:v>4</ns0:v>
      </ns0:c>
      <ns0:c r="G352" s="152" t="n">
        <ns0:v>2</ns0:v>
      </ns0:c>
      <ns0:c r="H352" s="152" t="n">
        <ns0:v>0</ns0:v>
      </ns0:c>
      <ns0:c r="I352" s="149" t="n">
        <ns0:f>E352*G352</ns0:f>
        <ns0:v>2</ns0:v>
      </ns0:c>
      <ns0:c r="J352" s="149" t="n">
        <ns0:f>E352*(F352-G352)</ns0:f>
        <ns0:v>2</ns0:v>
      </ns0:c>
      <ns0:c r="K352" s="149" t="n">
        <ns0:f>IF(AND(B352="开局",G352=0,OR(D352="普通盒",D352="单颗暂存盒")),J352,0)</ns0:f>
        <ns0:v>0</ns0:v>
      </ns0:c>
      <ns0:c r="L352" s="149" t="n">
        <ns0:f>IF(AND(B352="开局",G352&gt;0,OR(D352="普通盒",D352="底部置顶盒",D352="炸弹盒")),J352,0)</ns0:f>
        <ns0:v>2</ns0:v>
      </ns0:c>
      <ns0:c r="M352" s="149" t="n">
        <ns0:f>IF(AND(B352="开局",OR(D352="固定颜色盒",D352="单向收纳盒")),J352,0)</ns0:f>
        <ns0:v>0</ns0:v>
      </ns0:c>
      <ns0:c r="N352" s="149" t="n">
        <ns0:f>IF(AND(B352="开局",OR(D352="数字盖盒",D352="普通冰冻盒",D352="数字冰冻盒",D352="数字冰冻单颗暂存盒")),J352,0)</ns0:f>
        <ns0:v>0</ns0:v>
      </ns0:c>
      <ns0:c r="O352" s="145" t="str">
        <ns0:f>IF(AND(E352&gt;0,E352=INT(E352),G352&gt;=0,G352&lt;=F352,G352=INT(G352),OR(AND(F352=1,OR(D352="单颗暂存盒",D352="数字冰冻单颗暂存盒")),AND(F352=4,NOT(OR(D352="单颗暂存盒",D352="数字冰冻单颗暂存盒")))),IF(OR(D352="数字盖盒",D352="数字冰冻盒",D352="数字冰冻单颗暂存盒"),AND(H352&gt;=1,H352=INT(H352)),H352=0),IF(B352="开局",AND(IF(OR(D352="数字盖盒",D352="普通冰冻盒",D352="数字冰冻盒",D352="炸弹盒",D352="底部置顶盒"),OR(G352=3,G352=4),TRUE),IF(OR(D352="单向收纳盒",D352="单颗暂存盒",D352="数字冰冻单颗暂存盒"),OR(G352=0,G352=1),TRUE),IF(OR(D352="固定颜色盒",D352="广告锁定周转盒"),G352=0,TRUE)),TRUE)),"通过","需调整")</ns0:f>
        <ns0:v>通过</ns0:v>
      </ns0:c>
      <ns0:c r="P352" s="145" t="str">
        <ns0:v>普通盒</ns0:v>
      </ns0:c>
      <ns0:c r="Q352" s="145" t="str">
        <ns0:v>固定层序见本关首行</ns0:v>
      </ns0:c>
      <ns0:c r="R352" s="149" t="n">
        <ns0:f>E352*H352</ns0:f>
        <ns0:v>0</ns0:v>
      </ns0:c>
    </ns0:row>
    <ns0:row r="353" ht="21" customHeight="1">
      <ns0:c r="A353" s="150" t="n">
        <ns0:v>59</ns0:v>
      </ns0:c>
      <ns0:c r="B353" s="147" t="str">
        <ns0:v>开局</ns0:v>
      </ns0:c>
      <ns0:c r="C353" s="147" t="str">
        <ns0:v>W6-059-04</ns0:v>
      </ns0:c>
      <ns0:c r="D353" s="147" t="str">
        <ns0:v>数字冰冻盒</ns0:v>
      </ns0:c>
      <ns0:c r="E353" s="152" t="n">
        <ns0:v>1</ns0:v>
      </ns0:c>
      <ns0:c r="F353" s="152" t="n">
        <ns0:v>4</ns0:v>
      </ns0:c>
      <ns0:c r="G353" s="152" t="n">
        <ns0:v>4</ns0:v>
      </ns0:c>
      <ns0:c r="H353" s="152" t="n">
        <ns0:v>2</ns0:v>
      </ns0:c>
      <ns0:c r="I353" s="150" t="n">
        <ns0:f>E353*G353</ns0:f>
        <ns0:v>4</ns0:v>
      </ns0:c>
      <ns0:c r="J353" s="150" t="n">
        <ns0:f>E353*(F353-G353)</ns0:f>
        <ns0:v>0</ns0:v>
      </ns0:c>
      <ns0:c r="K353" s="150" t="n">
        <ns0:f>IF(AND(B353="开局",G353=0,OR(D353="普通盒",D353="单颗暂存盒")),J353,0)</ns0:f>
        <ns0:v>0</ns0:v>
      </ns0:c>
      <ns0:c r="L353" s="150" t="n">
        <ns0:f>IF(AND(B353="开局",G353&gt;0,OR(D353="普通盒",D353="底部置顶盒",D353="炸弹盒")),J353,0)</ns0:f>
        <ns0:v>0</ns0:v>
      </ns0:c>
      <ns0:c r="M353" s="150" t="n">
        <ns0:f>IF(AND(B353="开局",OR(D353="固定颜色盒",D353="单向收纳盒")),J353,0)</ns0:f>
        <ns0:v>0</ns0:v>
      </ns0:c>
      <ns0:c r="N353" s="150" t="n">
        <ns0:f>IF(AND(B353="开局",OR(D353="数字盖盒",D353="普通冰冻盒",D353="数字冰冻盒",D353="数字冰冻单颗暂存盒")),J353,0)</ns0:f>
        <ns0:v>0</ns0:v>
      </ns0:c>
      <ns0:c r="O353" s="147" t="str">
        <ns0:f>IF(AND(E353&gt;0,E353=INT(E353),G353&gt;=0,G353&lt;=F353,G353=INT(G353),OR(AND(F353=1,OR(D353="单颗暂存盒",D353="数字冰冻单颗暂存盒")),AND(F353=4,NOT(OR(D353="单颗暂存盒",D353="数字冰冻单颗暂存盒")))),IF(OR(D353="数字盖盒",D353="数字冰冻盒",D353="数字冰冻单颗暂存盒"),AND(H353&gt;=1,H353=INT(H353)),H353=0),IF(B353="开局",AND(IF(OR(D353="数字盖盒",D353="普通冰冻盒",D353="数字冰冻盒",D353="炸弹盒",D353="底部置顶盒"),OR(G353=3,G353=4),TRUE),IF(OR(D353="单向收纳盒",D353="单颗暂存盒",D353="数字冰冻单颗暂存盒"),OR(G353=0,G353=1),TRUE),IF(OR(D353="固定颜色盒",D353="广告锁定周转盒"),G353=0,TRUE)),TRUE)),"通过","需调整")</ns0:f>
        <ns0:v>通过</ns0:v>
      </ns0:c>
      <ns0:c r="P353" s="147" t="str">
        <ns0:v>数字冰冻盒</ns0:v>
      </ns0:c>
      <ns0:c r="Q353" s="147" t="str">
        <ns0:v>固定层序见本关首行</ns0:v>
      </ns0:c>
      <ns0:c r="R353" s="150" t="n">
        <ns0:f>E353*H353</ns0:f>
        <ns0:v>2</ns0:v>
      </ns0:c>
    </ns0:row>
    <ns0:row r="354" ht="21" customHeight="1">
      <ns0:c r="A354" s="149" t="n">
        <ns0:v>59</ns0:v>
      </ns0:c>
      <ns0:c r="B354" s="145" t="str">
        <ns0:v>开局</ns0:v>
      </ns0:c>
      <ns0:c r="C354" s="145" t="str">
        <ns0:v>W6-059-05</ns0:v>
      </ns0:c>
      <ns0:c r="D354" s="145" t="str">
        <ns0:v>单向收纳盒</ns0:v>
      </ns0:c>
      <ns0:c r="E354" s="152" t="n">
        <ns0:v>1</ns0:v>
      </ns0:c>
      <ns0:c r="F354" s="152" t="n">
        <ns0:v>4</ns0:v>
      </ns0:c>
      <ns0:c r="G354" s="152" t="n">
        <ns0:v>0</ns0:v>
      </ns0:c>
      <ns0:c r="H354" s="152" t="n">
        <ns0:v>0</ns0:v>
      </ns0:c>
      <ns0:c r="I354" s="149" t="n">
        <ns0:f>E354*G354</ns0:f>
        <ns0:v>0</ns0:v>
      </ns0:c>
      <ns0:c r="J354" s="149" t="n">
        <ns0:f>E354*(F354-G354)</ns0:f>
        <ns0:v>4</ns0:v>
      </ns0:c>
      <ns0:c r="K354" s="149" t="n">
        <ns0:f>IF(AND(B354="开局",G354=0,OR(D354="普通盒",D354="单颗暂存盒")),J354,0)</ns0:f>
        <ns0:v>0</ns0:v>
      </ns0:c>
      <ns0:c r="L354" s="149" t="n">
        <ns0:f>IF(AND(B354="开局",G354&gt;0,OR(D354="普通盒",D354="底部置顶盒",D354="炸弹盒")),J354,0)</ns0:f>
        <ns0:v>0</ns0:v>
      </ns0:c>
      <ns0:c r="M354" s="149" t="n">
        <ns0:f>IF(AND(B354="开局",OR(D354="固定颜色盒",D354="单向收纳盒")),J354,0)</ns0:f>
        <ns0:v>4</ns0:v>
      </ns0:c>
      <ns0:c r="N354" s="149" t="n">
        <ns0:f>IF(AND(B354="开局",OR(D354="数字盖盒",D354="普通冰冻盒",D354="数字冰冻盒",D354="数字冰冻单颗暂存盒")),J354,0)</ns0:f>
        <ns0:v>0</ns0:v>
      </ns0:c>
      <ns0:c r="O354" s="145" t="str">
        <ns0:f>IF(AND(E354&gt;0,E354=INT(E354),G354&gt;=0,G354&lt;=F354,G354=INT(G354),OR(AND(F354=1,OR(D354="单颗暂存盒",D354="数字冰冻单颗暂存盒")),AND(F354=4,NOT(OR(D354="单颗暂存盒",D354="数字冰冻单颗暂存盒")))),IF(OR(D354="数字盖盒",D354="数字冰冻盒",D354="数字冰冻单颗暂存盒"),AND(H354&gt;=1,H354=INT(H354)),H354=0),IF(B354="开局",AND(IF(OR(D354="数字盖盒",D354="普通冰冻盒",D354="数字冰冻盒",D354="炸弹盒",D354="底部置顶盒"),OR(G354=3,G354=4),TRUE),IF(OR(D354="单向收纳盒",D354="单颗暂存盒",D354="数字冰冻单颗暂存盒"),OR(G354=0,G354=1),TRUE),IF(OR(D354="固定颜色盒",D354="广告锁定周转盒"),G354=0,TRUE)),TRUE)),"通过","需调整")</ns0:f>
        <ns0:v>通过</ns0:v>
      </ns0:c>
      <ns0:c r="P354" s="145" t="str">
        <ns0:v>单向收纳盒</ns0:v>
      </ns0:c>
      <ns0:c r="Q354" s="145" t="str">
        <ns0:v>固定层序见本关首行</ns0:v>
      </ns0:c>
      <ns0:c r="R354" s="149" t="n">
        <ns0:f>E354*H354</ns0:f>
        <ns0:v>0</ns0:v>
      </ns0:c>
    </ns0:row>
    <ns0:row r="355" ht="21" customHeight="1">
      <ns0:c r="A355" s="150" t="n">
        <ns0:v>59</ns0:v>
      </ns0:c>
      <ns0:c r="B355" s="147" t="str">
        <ns0:v>开局</ns0:v>
      </ns0:c>
      <ns0:c r="C355" s="147" t="str">
        <ns0:v>W6-059-06</ns0:v>
      </ns0:c>
      <ns0:c r="D355" s="147" t="str">
        <ns0:v>单颗暂存盒</ns0:v>
      </ns0:c>
      <ns0:c r="E355" s="152" t="n">
        <ns0:v>1</ns0:v>
      </ns0:c>
      <ns0:c r="F355" s="152" t="n">
        <ns0:v>1</ns0:v>
      </ns0:c>
      <ns0:c r="G355" s="152" t="n">
        <ns0:v>1</ns0:v>
      </ns0:c>
      <ns0:c r="H355" s="152" t="n">
        <ns0:v>0</ns0:v>
      </ns0:c>
      <ns0:c r="I355" s="150" t="n">
        <ns0:f>E355*G355</ns0:f>
        <ns0:v>1</ns0:v>
      </ns0:c>
      <ns0:c r="J355" s="150" t="n">
        <ns0:f>E355*(F355-G355)</ns0:f>
        <ns0:v>0</ns0:v>
      </ns0:c>
      <ns0:c r="K355" s="150" t="n">
        <ns0:f>IF(AND(B355="开局",G355=0,OR(D355="普通盒",D355="单颗暂存盒")),J355,0)</ns0:f>
        <ns0:v>0</ns0:v>
      </ns0:c>
      <ns0:c r="L355" s="150" t="n">
        <ns0:f>IF(AND(B355="开局",G355&gt;0,OR(D355="普通盒",D355="底部置顶盒",D355="炸弹盒")),J355,0)</ns0:f>
        <ns0:v>0</ns0:v>
      </ns0:c>
      <ns0:c r="M355" s="150" t="n">
        <ns0:f>IF(AND(B355="开局",OR(D355="固定颜色盒",D355="单向收纳盒")),J355,0)</ns0:f>
        <ns0:v>0</ns0:v>
      </ns0:c>
      <ns0:c r="N355" s="150" t="n">
        <ns0:f>IF(AND(B355="开局",OR(D355="数字盖盒",D355="普通冰冻盒",D355="数字冰冻盒",D355="数字冰冻单颗暂存盒")),J355,0)</ns0:f>
        <ns0:v>0</ns0:v>
      </ns0:c>
      <ns0:c r="O355" s="147" t="str">
        <ns0:f>IF(AND(E355&gt;0,E355=INT(E355),G355&gt;=0,G355&lt;=F355,G355=INT(G355),OR(AND(F355=1,OR(D355="单颗暂存盒",D355="数字冰冻单颗暂存盒")),AND(F355=4,NOT(OR(D355="单颗暂存盒",D355="数字冰冻单颗暂存盒")))),IF(OR(D355="数字盖盒",D355="数字冰冻盒",D355="数字冰冻单颗暂存盒"),AND(H355&gt;=1,H355=INT(H355)),H355=0),IF(B355="开局",AND(IF(OR(D355="数字盖盒",D355="普通冰冻盒",D355="数字冰冻盒",D355="炸弹盒",D355="底部置顶盒"),OR(G355=3,G355=4),TRUE),IF(OR(D355="单向收纳盒",D355="单颗暂存盒",D355="数字冰冻单颗暂存盒"),OR(G355=0,G355=1),TRUE),IF(OR(D355="固定颜色盒",D355="广告锁定周转盒"),G355=0,TRUE)),TRUE)),"通过","需调整")</ns0:f>
        <ns0:v>通过</ns0:v>
      </ns0:c>
      <ns0:c r="P355" s="147" t="str">
        <ns0:v>单颗暂存盒</ns0:v>
      </ns0:c>
      <ns0:c r="Q355" s="147" t="str">
        <ns0:v>固定层序见本关首行</ns0:v>
      </ns0:c>
      <ns0:c r="R355" s="150" t="n">
        <ns0:f>E355*H355</ns0:f>
        <ns0:v>0</ns0:v>
      </ns0:c>
    </ns0:row>
    <ns0:row r="356" ht="21" customHeight="1">
      <ns0:c r="A356" s="149" t="n">
        <ns0:v>59</ns0:v>
      </ns0:c>
      <ns0:c r="B356" s="145" t="str">
        <ns0:v>开局</ns0:v>
      </ns0:c>
      <ns0:c r="C356" s="145" t="str">
        <ns0:v>W6-059-07</ns0:v>
      </ns0:c>
      <ns0:c r="D356" s="145" t="str">
        <ns0:v>广告锁定周转盒</ns0:v>
      </ns0:c>
      <ns0:c r="E356" s="152" t="n">
        <ns0:v>2</ns0:v>
      </ns0:c>
      <ns0:c r="F356" s="152" t="n">
        <ns0:v>4</ns0:v>
      </ns0:c>
      <ns0:c r="G356" s="152" t="n">
        <ns0:v>0</ns0:v>
      </ns0:c>
      <ns0:c r="H356" s="152" t="n">
        <ns0:v>0</ns0:v>
      </ns0:c>
      <ns0:c r="I356" s="149" t="n">
        <ns0:f>E356*G356</ns0:f>
        <ns0:v>0</ns0:v>
      </ns0:c>
      <ns0:c r="J356" s="149" t="n">
        <ns0:f>E356*(F356-G356)</ns0:f>
        <ns0:v>8</ns0:v>
      </ns0:c>
      <ns0:c r="K356" s="149" t="n">
        <ns0:f>IF(AND(B356="开局",G356=0,OR(D356="普通盒",D356="单颗暂存盒")),J356,0)</ns0:f>
        <ns0:v>0</ns0:v>
      </ns0:c>
      <ns0:c r="L356" s="149" t="n">
        <ns0:f>IF(AND(B356="开局",G356&gt;0,OR(D356="普通盒",D356="底部置顶盒",D356="炸弹盒")),J356,0)</ns0:f>
        <ns0:v>0</ns0:v>
      </ns0:c>
      <ns0:c r="M356" s="149" t="n">
        <ns0:f>IF(AND(B356="开局",OR(D356="固定颜色盒",D356="单向收纳盒")),J356,0)</ns0:f>
        <ns0:v>0</ns0:v>
      </ns0:c>
      <ns0:c r="N356" s="149" t="n">
        <ns0:f>IF(AND(B356="开局",OR(D356="数字盖盒",D356="普通冰冻盒",D356="数字冰冻盒",D356="数字冰冻单颗暂存盒")),J356,0)</ns0:f>
        <ns0:v>0</ns0:v>
      </ns0:c>
      <ns0:c r="O356" s="145" t="str">
        <ns0:f>IF(AND(E356&gt;0,E356=INT(E356),G356&gt;=0,G356&lt;=F356,G356=INT(G356),OR(AND(F356=1,OR(D356="单颗暂存盒",D356="数字冰冻单颗暂存盒")),AND(F356=4,NOT(OR(D356="单颗暂存盒",D356="数字冰冻单颗暂存盒")))),IF(OR(D356="数字盖盒",D356="数字冰冻盒",D356="数字冰冻单颗暂存盒"),AND(H356&gt;=1,H356=INT(H356)),H356=0),IF(B356="开局",AND(IF(OR(D356="数字盖盒",D356="普通冰冻盒",D356="数字冰冻盒",D356="炸弹盒",D356="底部置顶盒"),OR(G356=3,G356=4),TRUE),IF(OR(D356="单向收纳盒",D356="单颗暂存盒",D356="数字冰冻单颗暂存盒"),OR(G356=0,G356=1),TRUE),IF(OR(D356="固定颜色盒",D356="广告锁定周转盒"),G356=0,TRUE)),TRUE)),"通过","需调整")</ns0:f>
        <ns0:v>通过</ns0:v>
      </ns0:c>
      <ns0:c r="P356" s="145" t="str">
        <ns0:v>双广告锁位</ns0:v>
      </ns0:c>
      <ns0:c r="Q356" s="145" t="str">
        <ns0:v>固定层序见本关首行</ns0:v>
      </ns0:c>
      <ns0:c r="R356" s="149" t="n">
        <ns0:f>E356*H356</ns0:f>
        <ns0:v>0</ns0:v>
      </ns0:c>
    </ns0:row>
    <ns0:row r="357" ht="21" customHeight="1">
      <ns0:c r="A357" s="150" t="n">
        <ns0:v>59</ns0:v>
      </ns0:c>
      <ns0:c r="B357" s="147" t="str">
        <ns0:v>备货</ns0:v>
      </ns0:c>
      <ns0:c r="C357" s="147" t="str">
        <ns0:v>W6-059-08</ns0:v>
      </ns0:c>
      <ns0:c r="D357" s="147" t="str">
        <ns0:v>普通盒</ns0:v>
      </ns0:c>
      <ns0:c r="E357" s="152" t="n">
        <ns0:v>2</ns0:v>
      </ns0:c>
      <ns0:c r="F357" s="152" t="n">
        <ns0:v>4</ns0:v>
      </ns0:c>
      <ns0:c r="G357" s="152" t="n">
        <ns0:v>4</ns0:v>
      </ns0:c>
      <ns0:c r="H357" s="152" t="n">
        <ns0:v>0</ns0:v>
      </ns0:c>
      <ns0:c r="I357" s="150" t="n">
        <ns0:f>E357*G357</ns0:f>
        <ns0:v>8</ns0:v>
      </ns0:c>
      <ns0:c r="J357" s="150" t="n">
        <ns0:f>E357*(F357-G357)</ns0:f>
        <ns0:v>0</ns0:v>
      </ns0:c>
      <ns0:c r="K357" s="150" t="n">
        <ns0:f>IF(AND(B357="开局",G357=0,OR(D357="普通盒",D357="单颗暂存盒")),J357,0)</ns0:f>
        <ns0:v>0</ns0:v>
      </ns0:c>
      <ns0:c r="L357" s="150" t="n">
        <ns0:f>IF(AND(B357="开局",G357&gt;0,OR(D357="普通盒",D357="底部置顶盒",D357="炸弹盒")),J357,0)</ns0:f>
        <ns0:v>0</ns0:v>
      </ns0:c>
      <ns0:c r="M357" s="150" t="n">
        <ns0:f>IF(AND(B357="开局",OR(D357="固定颜色盒",D357="单向收纳盒")),J357,0)</ns0:f>
        <ns0:v>0</ns0:v>
      </ns0:c>
      <ns0:c r="N357" s="150" t="n">
        <ns0:f>IF(AND(B357="开局",OR(D357="数字盖盒",D357="普通冰冻盒",D357="数字冰冻盒",D357="数字冰冻单颗暂存盒")),J357,0)</ns0:f>
        <ns0:v>0</ns0:v>
      </ns0:c>
      <ns0:c r="O357" s="147" t="str">
        <ns0:f>IF(AND(E357&gt;0,E357=INT(E357),G357&gt;=0,G357&lt;=F357,G357=INT(G357),OR(AND(F357=1,OR(D357="单颗暂存盒",D357="数字冰冻单颗暂存盒")),AND(F357=4,NOT(OR(D357="单颗暂存盒",D357="数字冰冻单颗暂存盒")))),IF(OR(D357="数字盖盒",D357="数字冰冻盒",D357="数字冰冻单颗暂存盒"),AND(H357&gt;=1,H357=INT(H357)),H357=0),IF(B357="开局",AND(IF(OR(D357="数字盖盒",D357="普通冰冻盒",D357="数字冰冻盒",D357="炸弹盒",D357="底部置顶盒"),OR(G357=3,G357=4),TRUE),IF(OR(D357="单向收纳盒",D357="单颗暂存盒",D357="数字冰冻单颗暂存盒"),OR(G357=0,G357=1),TRUE),IF(OR(D357="固定颜色盒",D357="广告锁定周转盒"),G357=0,TRUE)),TRUE)),"通过","需调整")</ns0:f>
        <ns0:v>通过</ns0:v>
      </ns0:c>
      <ns0:c r="P357" s="147" t="str">
        <ns0:v>连续侧边补货</ns0:v>
      </ns0:c>
      <ns0:c r="Q357" s="147" t="str">
        <ns0:v>固定层序见本关首行</ns0:v>
      </ns0:c>
      <ns0:c r="R357" s="150" t="n">
        <ns0:f>E357*H357</ns0:f>
        <ns0:v>0</ns0:v>
      </ns0:c>
    </ns0:row>
    <ns0:row r="358" ht="21" customHeight="1">
      <ns0:c r="A358" s="149" t="n">
        <ns0:v>60</ns0:v>
      </ns0:c>
      <ns0:c r="B358" s="145" t="str">
        <ns0:v>开局</ns0:v>
      </ns0:c>
      <ns0:c r="C358" s="145" t="str">
        <ns0:v>W6-060-01</ns0:v>
      </ns0:c>
      <ns0:c r="D358" s="145" t="str">
        <ns0:v>普通盒</ns0:v>
      </ns0:c>
      <ns0:c r="E358" s="152" t="n">
        <ns0:v>13</ns0:v>
      </ns0:c>
      <ns0:c r="F358" s="152" t="n">
        <ns0:v>4</ns0:v>
      </ns0:c>
      <ns0:c r="G358" s="152" t="n">
        <ns0:v>4</ns0:v>
      </ns0:c>
      <ns0:c r="H358" s="152" t="n">
        <ns0:v>0</ns0:v>
      </ns0:c>
      <ns0:c r="I358" s="149" t="n">
        <ns0:f>E358*G358</ns0:f>
        <ns0:v>52</ns0:v>
      </ns0:c>
      <ns0:c r="J358" s="149" t="n">
        <ns0:f>E358*(F358-G358)</ns0:f>
        <ns0:v>0</ns0:v>
      </ns0:c>
      <ns0:c r="K358" s="149" t="n">
        <ns0:f>IF(AND(B358="开局",G358=0,OR(D358="普通盒",D358="单颗暂存盒")),J358,0)</ns0:f>
        <ns0:v>0</ns0:v>
      </ns0:c>
      <ns0:c r="L358" s="149" t="n">
        <ns0:f>IF(AND(B358="开局",G358&gt;0,OR(D358="普通盒",D358="底部置顶盒",D358="炸弹盒")),J358,0)</ns0:f>
        <ns0:v>0</ns0:v>
      </ns0:c>
      <ns0:c r="M358" s="149" t="n">
        <ns0:f>IF(AND(B358="开局",OR(D358="固定颜色盒",D358="单向收纳盒")),J358,0)</ns0:f>
        <ns0:v>0</ns0:v>
      </ns0:c>
      <ns0:c r="N358" s="149" t="n">
        <ns0:f>IF(AND(B358="开局",OR(D358="数字盖盒",D358="普通冰冻盒",D358="数字冰冻盒",D358="数字冰冻单颗暂存盒")),J358,0)</ns0:f>
        <ns0:v>0</ns0:v>
      </ns0:c>
      <ns0:c r="O358" s="145" t="str">
        <ns0:f>IF(AND(E358&gt;0,E358=INT(E358),G358&gt;=0,G358&lt;=F358,G358=INT(G358),OR(AND(F358=1,OR(D358="单颗暂存盒",D358="数字冰冻单颗暂存盒")),AND(F358=4,NOT(OR(D358="单颗暂存盒",D358="数字冰冻单颗暂存盒")))),IF(OR(D358="数字盖盒",D358="数字冰冻盒",D358="数字冰冻单颗暂存盒"),AND(H358&gt;=1,H358=INT(H358)),H358=0),IF(B358="开局",AND(IF(OR(D358="数字盖盒",D358="普通冰冻盒",D358="数字冰冻盒",D358="炸弹盒",D358="底部置顶盒"),OR(G358=3,G358=4),TRUE),IF(OR(D358="单向收纳盒",D358="单颗暂存盒",D358="数字冰冻单颗暂存盒"),OR(G358=0,G358=1),TRUE),IF(OR(D358="固定颜色盒",D358="广告锁定周转盒"),G358=0,TRUE)),TRUE)),"通过","需调整")</ns0:f>
        <ns0:v>通过</ns0:v>
      </ns0:c>
      <ns0:c r="P358" s="145" t="str">
        <ns0:v>普通盒</ns0:v>
      </ns0:c>
      <ns0:c r="Q358" s="145" t="str">
        <ns0:v>层序JSON:{"reference":"2026-10-12 第51至60关续接设计；自主层序与单向收纳节奏","slots":[{"group_id":"W6-060-01","layers":[4,6,8,4]},{"group_id":"W6-060-01","layers":[5,8,8,6]},{"group_id":"W6-060-01","layers":[4,4,0,8]},{"group_id":"W6-060-01","layers":[3,6,6,2]},{"group_id":"W6-060-01","layers":[0,8,12,8]},{"group_id":"W6-060-01","layers":[5,2,5,4]},{"group_id":"W6-060-03","layers":[3,6]},{"group_id":"W6-060-01","layers":[12,0,4,0]},{"group_id":"W6-060-01","layers":[0,5,8,2]},{"group_id":"W6-060-02","layers":[3,5,0]},{"group_id":"W6-060-01","layers":[6,0,2,3]},{"group_id":"W6-060-01","layers":[0,6,12,5]},{"group_id":"W6-060-01","layers":[2,4,3,5]},{"group_id":"W6-060-02","layers":[12,5,12]},{"group_id":"W6-060-01","layers":[12,6,3,2]},{"group_id":"W6-060-05","layers":[12,2,2,12]},{"group_id":"W6-060-01","layers":[8,3,3,4]},{"group_id":"W6-060-04","layers":[]},{"group_id":"W6-060-06","layers":[]}],"stock":[],"demand_sequences":[[4,3,6,0,5,0,5,2],[6,8,2,12,4,8,3,12]]}</ns0:v>
      </ns0:c>
      <ns0:c r="R358" s="149" t="n">
        <ns0:f>E358*H358</ns0:f>
        <ns0:v>0</ns0:v>
      </ns0:c>
    </ns0:row>
    <ns0:row r="359" ht="21" customHeight="1">
      <ns0:c r="A359" s="150" t="n">
        <ns0:v>60</ns0:v>
      </ns0:c>
      <ns0:c r="B359" s="147" t="str">
        <ns0:v>开局</ns0:v>
      </ns0:c>
      <ns0:c r="C359" s="147" t="str">
        <ns0:v>W6-060-02</ns0:v>
      </ns0:c>
      <ns0:c r="D359" s="147" t="str">
        <ns0:v>普通盒</ns0:v>
      </ns0:c>
      <ns0:c r="E359" s="152" t="n">
        <ns0:v>2</ns0:v>
      </ns0:c>
      <ns0:c r="F359" s="152" t="n">
        <ns0:v>4</ns0:v>
      </ns0:c>
      <ns0:c r="G359" s="152" t="n">
        <ns0:v>3</ns0:v>
      </ns0:c>
      <ns0:c r="H359" s="152" t="n">
        <ns0:v>0</ns0:v>
      </ns0:c>
      <ns0:c r="I359" s="150" t="n">
        <ns0:f>E359*G359</ns0:f>
        <ns0:v>6</ns0:v>
      </ns0:c>
      <ns0:c r="J359" s="150" t="n">
        <ns0:f>E359*(F359-G359)</ns0:f>
        <ns0:v>2</ns0:v>
      </ns0:c>
      <ns0:c r="K359" s="150" t="n">
        <ns0:f>IF(AND(B359="开局",G359=0,OR(D359="普通盒",D359="单颗暂存盒")),J359,0)</ns0:f>
        <ns0:v>0</ns0:v>
      </ns0:c>
      <ns0:c r="L359" s="150" t="n">
        <ns0:f>IF(AND(B359="开局",G359&gt;0,OR(D359="普通盒",D359="底部置顶盒",D359="炸弹盒")),J359,0)</ns0:f>
        <ns0:v>2</ns0:v>
      </ns0:c>
      <ns0:c r="M359" s="150" t="n">
        <ns0:f>IF(AND(B359="开局",OR(D359="固定颜色盒",D359="单向收纳盒")),J359,0)</ns0:f>
        <ns0:v>0</ns0:v>
      </ns0:c>
      <ns0:c r="N359" s="150" t="n">
        <ns0:f>IF(AND(B359="开局",OR(D359="数字盖盒",D359="普通冰冻盒",D359="数字冰冻盒",D359="数字冰冻单颗暂存盒")),J359,0)</ns0:f>
        <ns0:v>0</ns0:v>
      </ns0:c>
      <ns0:c r="O359" s="147" t="str">
        <ns0:f>IF(AND(E359&gt;0,E359=INT(E359),G359&gt;=0,G359&lt;=F359,G359=INT(G359),OR(AND(F359=1,OR(D359="单颗暂存盒",D359="数字冰冻单颗暂存盒")),AND(F359=4,NOT(OR(D359="单颗暂存盒",D359="数字冰冻单颗暂存盒")))),IF(OR(D359="数字盖盒",D359="数字冰冻盒",D359="数字冰冻单颗暂存盒"),AND(H359&gt;=1,H359=INT(H359)),H359=0),IF(B359="开局",AND(IF(OR(D359="数字盖盒",D359="普通冰冻盒",D359="数字冰冻盒",D359="炸弹盒",D359="底部置顶盒"),OR(G359=3,G359=4),TRUE),IF(OR(D359="单向收纳盒",D359="单颗暂存盒",D359="数字冰冻单颗暂存盒"),OR(G359=0,G359=1),TRUE),IF(OR(D359="固定颜色盒",D359="广告锁定周转盒"),G359=0,TRUE)),TRUE)),"通过","需调整")</ns0:f>
        <ns0:v>通过</ns0:v>
      </ns0:c>
      <ns0:c r="P359" s="147" t="str">
        <ns0:v>普通盒</ns0:v>
      </ns0:c>
      <ns0:c r="Q359" s="147" t="str">
        <ns0:v>固定层序见本关首行</ns0:v>
      </ns0:c>
      <ns0:c r="R359" s="150" t="n">
        <ns0:f>E359*H359</ns0:f>
        <ns0:v>0</ns0:v>
      </ns0:c>
    </ns0:row>
    <ns0:row r="360" ht="21" customHeight="1">
      <ns0:c r="A360" s="149" t="n">
        <ns0:v>60</ns0:v>
      </ns0:c>
      <ns0:c r="B360" s="145" t="str">
        <ns0:v>开局</ns0:v>
      </ns0:c>
      <ns0:c r="C360" s="145" t="str">
        <ns0:v>W6-060-03</ns0:v>
      </ns0:c>
      <ns0:c r="D360" s="145" t="str">
        <ns0:v>普通盒</ns0:v>
      </ns0:c>
      <ns0:c r="E360" s="152" t="n">
        <ns0:v>1</ns0:v>
      </ns0:c>
      <ns0:c r="F360" s="152" t="n">
        <ns0:v>4</ns0:v>
      </ns0:c>
      <ns0:c r="G360" s="152" t="n">
        <ns0:v>2</ns0:v>
      </ns0:c>
      <ns0:c r="H360" s="152" t="n">
        <ns0:v>0</ns0:v>
      </ns0:c>
      <ns0:c r="I360" s="149" t="n">
        <ns0:f>E360*G360</ns0:f>
        <ns0:v>2</ns0:v>
      </ns0:c>
      <ns0:c r="J360" s="149" t="n">
        <ns0:f>E360*(F360-G360)</ns0:f>
        <ns0:v>2</ns0:v>
      </ns0:c>
      <ns0:c r="K360" s="149" t="n">
        <ns0:f>IF(AND(B360="开局",G360=0,OR(D360="普通盒",D360="单颗暂存盒")),J360,0)</ns0:f>
        <ns0:v>0</ns0:v>
      </ns0:c>
      <ns0:c r="L360" s="149" t="n">
        <ns0:f>IF(AND(B360="开局",G360&gt;0,OR(D360="普通盒",D360="底部置顶盒",D360="炸弹盒")),J360,0)</ns0:f>
        <ns0:v>2</ns0:v>
      </ns0:c>
      <ns0:c r="M360" s="149" t="n">
        <ns0:f>IF(AND(B360="开局",OR(D360="固定颜色盒",D360="单向收纳盒")),J360,0)</ns0:f>
        <ns0:v>0</ns0:v>
      </ns0:c>
      <ns0:c r="N360" s="149" t="n">
        <ns0:f>IF(AND(B360="开局",OR(D360="数字盖盒",D360="普通冰冻盒",D360="数字冰冻盒",D360="数字冰冻单颗暂存盒")),J360,0)</ns0:f>
        <ns0:v>0</ns0:v>
      </ns0:c>
      <ns0:c r="O360" s="145" t="str">
        <ns0:f>IF(AND(E360&gt;0,E360=INT(E360),G360&gt;=0,G360&lt;=F360,G360=INT(G360),OR(AND(F360=1,OR(D360="单颗暂存盒",D360="数字冰冻单颗暂存盒")),AND(F360=4,NOT(OR(D360="单颗暂存盒",D360="数字冰冻单颗暂存盒")))),IF(OR(D360="数字盖盒",D360="数字冰冻盒",D360="数字冰冻单颗暂存盒"),AND(H360&gt;=1,H360=INT(H360)),H360=0),IF(B360="开局",AND(IF(OR(D360="数字盖盒",D360="普通冰冻盒",D360="数字冰冻盒",D360="炸弹盒",D360="底部置顶盒"),OR(G360=3,G360=4),TRUE),IF(OR(D360="单向收纳盒",D360="单颗暂存盒",D360="数字冰冻单颗暂存盒"),OR(G360=0,G360=1),TRUE),IF(OR(D360="固定颜色盒",D360="广告锁定周转盒"),G360=0,TRUE)),TRUE)),"通过","需调整")</ns0:f>
        <ns0:v>通过</ns0:v>
      </ns0:c>
      <ns0:c r="P360" s="145" t="str">
        <ns0:v>普通盒</ns0:v>
      </ns0:c>
      <ns0:c r="Q360" s="145" t="str">
        <ns0:v>固定层序见本关首行</ns0:v>
      </ns0:c>
      <ns0:c r="R360" s="149" t="n">
        <ns0:f>E360*H360</ns0:f>
        <ns0:v>0</ns0:v>
      </ns0:c>
    </ns0:row>
    <ns0:row r="361" ht="21" customHeight="1">
      <ns0:c r="A361" s="150" t="n">
        <ns0:v>60</ns0:v>
      </ns0:c>
      <ns0:c r="B361" s="147" t="str">
        <ns0:v>开局</ns0:v>
      </ns0:c>
      <ns0:c r="C361" s="147" t="str">
        <ns0:v>W6-060-04</ns0:v>
      </ns0:c>
      <ns0:c r="D361" s="147" t="str">
        <ns0:v>普通盒</ns0:v>
      </ns0:c>
      <ns0:c r="E361" s="152" t="n">
        <ns0:v>1</ns0:v>
      </ns0:c>
      <ns0:c r="F361" s="152" t="n">
        <ns0:v>4</ns0:v>
      </ns0:c>
      <ns0:c r="G361" s="152" t="n">
        <ns0:v>0</ns0:v>
      </ns0:c>
      <ns0:c r="H361" s="152" t="n">
        <ns0:v>0</ns0:v>
      </ns0:c>
      <ns0:c r="I361" s="150" t="n">
        <ns0:f>E361*G361</ns0:f>
        <ns0:v>0</ns0:v>
      </ns0:c>
      <ns0:c r="J361" s="150" t="n">
        <ns0:f>E361*(F361-G361)</ns0:f>
        <ns0:v>4</ns0:v>
      </ns0:c>
      <ns0:c r="K361" s="150" t="n">
        <ns0:f>IF(AND(B361="开局",G361=0,OR(D361="普通盒",D361="单颗暂存盒")),J361,0)</ns0:f>
        <ns0:v>4</ns0:v>
      </ns0:c>
      <ns0:c r="L361" s="150" t="n">
        <ns0:f>IF(AND(B361="开局",G361&gt;0,OR(D361="普通盒",D361="底部置顶盒",D361="炸弹盒")),J361,0)</ns0:f>
        <ns0:v>0</ns0:v>
      </ns0:c>
      <ns0:c r="M361" s="150" t="n">
        <ns0:f>IF(AND(B361="开局",OR(D361="固定颜色盒",D361="单向收纳盒")),J361,0)</ns0:f>
        <ns0:v>0</ns0:v>
      </ns0:c>
      <ns0:c r="N361" s="150" t="n">
        <ns0:f>IF(AND(B361="开局",OR(D361="数字盖盒",D361="普通冰冻盒",D361="数字冰冻盒",D361="数字冰冻单颗暂存盒")),J361,0)</ns0:f>
        <ns0:v>0</ns0:v>
      </ns0:c>
      <ns0:c r="O361" s="147" t="str">
        <ns0:f>IF(AND(E361&gt;0,E361=INT(E361),G361&gt;=0,G361&lt;=F361,G361=INT(G361),OR(AND(F361=1,OR(D361="单颗暂存盒",D361="数字冰冻单颗暂存盒")),AND(F361=4,NOT(OR(D361="单颗暂存盒",D361="数字冰冻单颗暂存盒")))),IF(OR(D361="数字盖盒",D361="数字冰冻盒",D361="数字冰冻单颗暂存盒"),AND(H361&gt;=1,H361=INT(H361)),H361=0),IF(B361="开局",AND(IF(OR(D361="数字盖盒",D361="普通冰冻盒",D361="数字冰冻盒",D361="炸弹盒",D361="底部置顶盒"),OR(G361=3,G361=4),TRUE),IF(OR(D361="单向收纳盒",D361="单颗暂存盒",D361="数字冰冻单颗暂存盒"),OR(G361=0,G361=1),TRUE),IF(OR(D361="固定颜色盒",D361="广告锁定周转盒"),G361=0,TRUE)),TRUE)),"通过","需调整")</ns0:f>
        <ns0:v>通过</ns0:v>
      </ns0:c>
      <ns0:c r="P361" s="147" t="str">
        <ns0:v>普通盒</ns0:v>
      </ns0:c>
      <ns0:c r="Q361" s="147" t="str">
        <ns0:v>固定层序见本关首行</ns0:v>
      </ns0:c>
      <ns0:c r="R361" s="150" t="n">
        <ns0:f>E361*H361</ns0:f>
        <ns0:v>0</ns0:v>
      </ns0:c>
    </ns0:row>
    <ns0:row r="362" ht="21" customHeight="1">
      <ns0:c r="A362" s="149" t="n">
        <ns0:v>60</ns0:v>
      </ns0:c>
      <ns0:c r="B362" s="145" t="str">
        <ns0:v>开局</ns0:v>
      </ns0:c>
      <ns0:c r="C362" s="145" t="str">
        <ns0:v>W6-060-05</ns0:v>
      </ns0:c>
      <ns0:c r="D362" s="145" t="str">
        <ns0:v>普通冰冻盒</ns0:v>
      </ns0:c>
      <ns0:c r="E362" s="152" t="n">
        <ns0:v>1</ns0:v>
      </ns0:c>
      <ns0:c r="F362" s="152" t="n">
        <ns0:v>4</ns0:v>
      </ns0:c>
      <ns0:c r="G362" s="152" t="n">
        <ns0:v>4</ns0:v>
      </ns0:c>
      <ns0:c r="H362" s="152" t="n">
        <ns0:v>0</ns0:v>
      </ns0:c>
      <ns0:c r="I362" s="149" t="n">
        <ns0:f>E362*G362</ns0:f>
        <ns0:v>4</ns0:v>
      </ns0:c>
      <ns0:c r="J362" s="149" t="n">
        <ns0:f>E362*(F362-G362)</ns0:f>
        <ns0:v>0</ns0:v>
      </ns0:c>
      <ns0:c r="K362" s="149" t="n">
        <ns0:f>IF(AND(B362="开局",G362=0,OR(D362="普通盒",D362="单颗暂存盒")),J362,0)</ns0:f>
        <ns0:v>0</ns0:v>
      </ns0:c>
      <ns0:c r="L362" s="149" t="n">
        <ns0:f>IF(AND(B362="开局",G362&gt;0,OR(D362="普通盒",D362="底部置顶盒",D362="炸弹盒")),J362,0)</ns0:f>
        <ns0:v>0</ns0:v>
      </ns0:c>
      <ns0:c r="M362" s="149" t="n">
        <ns0:f>IF(AND(B362="开局",OR(D362="固定颜色盒",D362="单向收纳盒")),J362,0)</ns0:f>
        <ns0:v>0</ns0:v>
      </ns0:c>
      <ns0:c r="N362" s="149" t="n">
        <ns0:f>IF(AND(B362="开局",OR(D362="数字盖盒",D362="普通冰冻盒",D362="数字冰冻盒",D362="数字冰冻单颗暂存盒")),J362,0)</ns0:f>
        <ns0:v>0</ns0:v>
      </ns0:c>
      <ns0:c r="O362" s="145" t="str">
        <ns0:f>IF(AND(E362&gt;0,E362=INT(E362),G362&gt;=0,G362&lt;=F362,G362=INT(G362),OR(AND(F362=1,OR(D362="单颗暂存盒",D362="数字冰冻单颗暂存盒")),AND(F362=4,NOT(OR(D362="单颗暂存盒",D362="数字冰冻单颗暂存盒")))),IF(OR(D362="数字盖盒",D362="数字冰冻盒",D362="数字冰冻单颗暂存盒"),AND(H362&gt;=1,H362=INT(H362)),H362=0),IF(B362="开局",AND(IF(OR(D362="数字盖盒",D362="普通冰冻盒",D362="数字冰冻盒",D362="炸弹盒",D362="底部置顶盒"),OR(G362=3,G362=4),TRUE),IF(OR(D362="单向收纳盒",D362="单颗暂存盒",D362="数字冰冻单颗暂存盒"),OR(G362=0,G362=1),TRUE),IF(OR(D362="固定颜色盒",D362="广告锁定周转盒"),G362=0,TRUE)),TRUE)),"通过","需调整")</ns0:f>
        <ns0:v>通过</ns0:v>
      </ns0:c>
      <ns0:c r="P362" s="145" t="str">
        <ns0:v>普通冰冻盒</ns0:v>
      </ns0:c>
      <ns0:c r="Q362" s="145" t="str">
        <ns0:v>固定层序见本关首行</ns0:v>
      </ns0:c>
      <ns0:c r="R362" s="149" t="n">
        <ns0:f>E362*H362</ns0:f>
        <ns0:v>0</ns0:v>
      </ns0:c>
    </ns0:row>
    <ns0:row r="363" ht="21" customHeight="1">
      <ns0:c r="A363" s="150" t="n">
        <ns0:v>60</ns0:v>
      </ns0:c>
      <ns0:c r="B363" s="147" t="str">
        <ns0:v>开局</ns0:v>
      </ns0:c>
      <ns0:c r="C363" s="147" t="str">
        <ns0:v>W6-060-06</ns0:v>
      </ns0:c>
      <ns0:c r="D363" s="147" t="str">
        <ns0:v>单向收纳盒</ns0:v>
      </ns0:c>
      <ns0:c r="E363" s="152" t="n">
        <ns0:v>1</ns0:v>
      </ns0:c>
      <ns0:c r="F363" s="152" t="n">
        <ns0:v>4</ns0:v>
      </ns0:c>
      <ns0:c r="G363" s="152" t="n">
        <ns0:v>0</ns0:v>
      </ns0:c>
      <ns0:c r="H363" s="152" t="n">
        <ns0:v>0</ns0:v>
      </ns0:c>
      <ns0:c r="I363" s="150" t="n">
        <ns0:f>E363*G363</ns0:f>
        <ns0:v>0</ns0:v>
      </ns0:c>
      <ns0:c r="J363" s="150" t="n">
        <ns0:f>E363*(F363-G363)</ns0:f>
        <ns0:v>4</ns0:v>
      </ns0:c>
      <ns0:c r="K363" s="150" t="n">
        <ns0:f>IF(AND(B363="开局",G363=0,OR(D363="普通盒",D363="单颗暂存盒")),J363,0)</ns0:f>
        <ns0:v>0</ns0:v>
      </ns0:c>
      <ns0:c r="L363" s="150" t="n">
        <ns0:f>IF(AND(B363="开局",G363&gt;0,OR(D363="普通盒",D363="底部置顶盒",D363="炸弹盒")),J363,0)</ns0:f>
        <ns0:v>0</ns0:v>
      </ns0:c>
      <ns0:c r="M363" s="150" t="n">
        <ns0:f>IF(AND(B363="开局",OR(D363="固定颜色盒",D363="单向收纳盒")),J363,0)</ns0:f>
        <ns0:v>4</ns0:v>
      </ns0:c>
      <ns0:c r="N363" s="150" t="n">
        <ns0:f>IF(AND(B363="开局",OR(D363="数字盖盒",D363="普通冰冻盒",D363="数字冰冻盒",D363="数字冰冻单颗暂存盒")),J363,0)</ns0:f>
        <ns0:v>0</ns0:v>
      </ns0:c>
      <ns0:c r="O363" s="147" t="str">
        <ns0:f>IF(AND(E363&gt;0,E363=INT(E363),G363&gt;=0,G363&lt;=F363,G363=INT(G363),OR(AND(F363=1,OR(D363="单颗暂存盒",D363="数字冰冻单颗暂存盒")),AND(F363=4,NOT(OR(D363="单颗暂存盒",D363="数字冰冻单颗暂存盒")))),IF(OR(D363="数字盖盒",D363="数字冰冻盒",D363="数字冰冻单颗暂存盒"),AND(H363&gt;=1,H363=INT(H363)),H363=0),IF(B363="开局",AND(IF(OR(D363="数字盖盒",D363="普通冰冻盒",D363="数字冰冻盒",D363="炸弹盒",D363="底部置顶盒"),OR(G363=3,G363=4),TRUE),IF(OR(D363="单向收纳盒",D363="单颗暂存盒",D363="数字冰冻单颗暂存盒"),OR(G363=0,G363=1),TRUE),IF(OR(D363="固定颜色盒",D363="广告锁定周转盒"),G363=0,TRUE)),TRUE)),"通过","需调整")</ns0:f>
        <ns0:v>通过</ns0:v>
      </ns0:c>
      <ns0:c r="P363" s="147" t="str">
        <ns0:v>单向收纳盒</ns0:v>
      </ns0:c>
      <ns0:c r="Q363" s="147" t="str">
        <ns0:v>固定层序见本关首行</ns0:v>
      </ns0:c>
      <ns0:c r="R363" s="150" t="n">
        <ns0:f>E363*H363</ns0:f>
        <ns0:v>0</ns0:v>
      </ns0:c>
    </ns0:row>
    <ns0:row r="364" ht="21" customHeight="1">
      <ns0:c r="A364" s="149" t="n">
        <ns0:v>60</ns0:v>
      </ns0:c>
      <ns0:c r="B364" s="145" t="str">
        <ns0:v>开局</ns0:v>
      </ns0:c>
      <ns0:c r="C364" s="145" t="str">
        <ns0:v>W6-060-07</ns0:v>
      </ns0:c>
      <ns0:c r="D364" s="145" t="str">
        <ns0:v>广告锁定周转盒</ns0:v>
      </ns0:c>
      <ns0:c r="E364" s="152" t="n">
        <ns0:v>2</ns0:v>
      </ns0:c>
      <ns0:c r="F364" s="152" t="n">
        <ns0:v>4</ns0:v>
      </ns0:c>
      <ns0:c r="G364" s="152" t="n">
        <ns0:v>0</ns0:v>
      </ns0:c>
      <ns0:c r="H364" s="152" t="n">
        <ns0:v>0</ns0:v>
      </ns0:c>
      <ns0:c r="I364" s="149" t="n">
        <ns0:f>E364*G364</ns0:f>
        <ns0:v>0</ns0:v>
      </ns0:c>
      <ns0:c r="J364" s="149" t="n">
        <ns0:f>E364*(F364-G364)</ns0:f>
        <ns0:v>8</ns0:v>
      </ns0:c>
      <ns0:c r="K364" s="149" t="n">
        <ns0:f>IF(AND(B364="开局",G364=0,OR(D364="普通盒",D364="单颗暂存盒")),J364,0)</ns0:f>
        <ns0:v>0</ns0:v>
      </ns0:c>
      <ns0:c r="L364" s="149" t="n">
        <ns0:f>IF(AND(B364="开局",G364&gt;0,OR(D364="普通盒",D364="底部置顶盒",D364="炸弹盒")),J364,0)</ns0:f>
        <ns0:v>0</ns0:v>
      </ns0:c>
      <ns0:c r="M364" s="149" t="n">
        <ns0:f>IF(AND(B364="开局",OR(D364="固定颜色盒",D364="单向收纳盒")),J364,0)</ns0:f>
        <ns0:v>0</ns0:v>
      </ns0:c>
      <ns0:c r="N364" s="149" t="n">
        <ns0:f>IF(AND(B364="开局",OR(D364="数字盖盒",D364="普通冰冻盒",D364="数字冰冻盒",D364="数字冰冻单颗暂存盒")),J364,0)</ns0:f>
        <ns0:v>0</ns0:v>
      </ns0:c>
      <ns0:c r="O364" s="145" t="str">
        <ns0:f>IF(AND(E364&gt;0,E364=INT(E364),G364&gt;=0,G364&lt;=F364,G364=INT(G364),OR(AND(F364=1,OR(D364="单颗暂存盒",D364="数字冰冻单颗暂存盒")),AND(F364=4,NOT(OR(D364="单颗暂存盒",D364="数字冰冻单颗暂存盒")))),IF(OR(D364="数字盖盒",D364="数字冰冻盒",D364="数字冰冻单颗暂存盒"),AND(H364&gt;=1,H364=INT(H364)),H364=0),IF(B364="开局",AND(IF(OR(D364="数字盖盒",D364="普通冰冻盒",D364="数字冰冻盒",D364="炸弹盒",D364="底部置顶盒"),OR(G364=3,G364=4),TRUE),IF(OR(D364="单向收纳盒",D364="单颗暂存盒",D364="数字冰冻单颗暂存盒"),OR(G364=0,G364=1),TRUE),IF(OR(D364="固定颜色盒",D364="广告锁定周转盒"),G364=0,TRUE)),TRUE)),"通过","需调整")</ns0:f>
        <ns0:v>通过</ns0:v>
      </ns0:c>
      <ns0:c r="P364" s="145" t="str">
        <ns0:v>双广告锁位</ns0:v>
      </ns0:c>
      <ns0:c r="Q364" s="145" t="str">
        <ns0:v>固定层序见本关首行</ns0:v>
      </ns0:c>
      <ns0:c r="R364" s="149" t="n">
        <ns0:f>E364*H364</ns0:f>
        <ns0:v>0</ns0:v>
      </ns0:c>
    </ns0:row>
    <ns0:row r="365" ht="21" customHeight="1">
      <ns0:c r="A365" s="150"/>
      <ns0:c r="B365" s="147"/>
      <ns0:c r="C365" s="147"/>
      <ns0:c r="D365" s="147"/>
      <ns0:c r="E365" s="152"/>
      <ns0:c r="F365" s="152"/>
      <ns0:c r="G365" s="152"/>
      <ns0:c r="H365" s="152"/>
      <ns0:c r="I365" s="150"/>
      <ns0:c r="J365" s="150"/>
      <ns0:c r="K365" s="150"/>
      <ns0:c r="L365" s="150"/>
      <ns0:c r="M365" s="150"/>
      <ns0:c r="N365" s="150"/>
      <ns0:c r="O365" s="147"/>
      <ns0:c r="P365" s="147"/>
      <ns0:c r="Q365" s="147"/>
      <ns0:c r="R365" s="150"/>
    </ns0:row>
    <ns0:row r="366" ht="21" customHeight="1">
      <ns0:c r="A366" s="149"/>
      <ns0:c r="B366" s="145"/>
      <ns0:c r="C366" s="145"/>
      <ns0:c r="D366" s="145"/>
      <ns0:c r="E366" s="152"/>
      <ns0:c r="F366" s="152"/>
      <ns0:c r="G366" s="152"/>
      <ns0:c r="H366" s="152"/>
      <ns0:c r="I366" s="149"/>
      <ns0:c r="J366" s="149"/>
      <ns0:c r="K366" s="149"/>
      <ns0:c r="L366" s="149"/>
      <ns0:c r="M366" s="149"/>
      <ns0:c r="N366" s="149"/>
      <ns0:c r="O366" s="145"/>
      <ns0:c r="P366" s="145"/>
      <ns0:c r="Q366" s="145"/>
      <ns0:c r="R366" s="149"/>
    </ns0:row>
    <ns0:row r="367" ht="21" customHeight="1">
      <ns0:c r="A367" s="150"/>
      <ns0:c r="B367" s="147"/>
      <ns0:c r="C367" s="147"/>
      <ns0:c r="D367" s="147"/>
      <ns0:c r="E367" s="152"/>
      <ns0:c r="F367" s="152"/>
      <ns0:c r="G367" s="152"/>
      <ns0:c r="H367" s="152"/>
      <ns0:c r="I367" s="150"/>
      <ns0:c r="J367" s="150"/>
      <ns0:c r="K367" s="150"/>
      <ns0:c r="L367" s="150"/>
      <ns0:c r="M367" s="150"/>
      <ns0:c r="N367" s="150"/>
      <ns0:c r="O367" s="147"/>
      <ns0:c r="P367" s="147"/>
      <ns0:c r="Q367" s="147"/>
      <ns0:c r="R367" s="150"/>
    </ns0:row>
    <ns0:row r="368" ht="21" customHeight="1">
      <ns0:c r="A368" s="149"/>
      <ns0:c r="B368" s="145"/>
      <ns0:c r="C368" s="145"/>
      <ns0:c r="D368" s="145"/>
      <ns0:c r="E368" s="152"/>
      <ns0:c r="F368" s="152"/>
      <ns0:c r="G368" s="152"/>
      <ns0:c r="H368" s="152"/>
      <ns0:c r="I368" s="149"/>
      <ns0:c r="J368" s="149"/>
      <ns0:c r="K368" s="149"/>
      <ns0:c r="L368" s="149"/>
      <ns0:c r="M368" s="149"/>
      <ns0:c r="N368" s="149"/>
      <ns0:c r="O368" s="145"/>
      <ns0:c r="P368" s="145"/>
      <ns0:c r="Q368" s="145"/>
      <ns0:c r="R368" s="149"/>
    </ns0:row>
    <ns0:row r="369" ht="21" customHeight="1">
      <ns0:c r="A369" s="150"/>
      <ns0:c r="B369" s="147"/>
      <ns0:c r="C369" s="147"/>
      <ns0:c r="D369" s="147"/>
      <ns0:c r="E369" s="152"/>
      <ns0:c r="F369" s="152"/>
      <ns0:c r="G369" s="152"/>
      <ns0:c r="H369" s="152"/>
      <ns0:c r="I369" s="150"/>
      <ns0:c r="J369" s="150"/>
      <ns0:c r="K369" s="150"/>
      <ns0:c r="L369" s="150"/>
      <ns0:c r="M369" s="150"/>
      <ns0:c r="N369" s="150"/>
      <ns0:c r="O369" s="147"/>
      <ns0:c r="P369" s="147"/>
      <ns0:c r="Q369" s="147"/>
      <ns0:c r="R369" s="150"/>
    </ns0:row>
    <ns0:row r="370" ht="21" customHeight="1">
      <ns0:c r="A370" s="149"/>
      <ns0:c r="B370" s="145"/>
      <ns0:c r="C370" s="145"/>
      <ns0:c r="D370" s="145"/>
      <ns0:c r="E370" s="152"/>
      <ns0:c r="F370" s="152"/>
      <ns0:c r="G370" s="152"/>
      <ns0:c r="H370" s="152"/>
      <ns0:c r="I370" s="149"/>
      <ns0:c r="J370" s="149"/>
      <ns0:c r="K370" s="149"/>
      <ns0:c r="L370" s="149"/>
      <ns0:c r="M370" s="149"/>
      <ns0:c r="N370" s="149"/>
      <ns0:c r="O370" s="145"/>
      <ns0:c r="P370" s="145"/>
      <ns0:c r="Q370" s="145"/>
      <ns0:c r="R370" s="149"/>
    </ns0:row>
    <ns0:row r="371" ht="21" customHeight="1">
      <ns0:c r="A371" s="150"/>
      <ns0:c r="B371" s="147"/>
      <ns0:c r="C371" s="147"/>
      <ns0:c r="D371" s="147"/>
      <ns0:c r="E371" s="152"/>
      <ns0:c r="F371" s="152"/>
      <ns0:c r="G371" s="152"/>
      <ns0:c r="H371" s="152"/>
      <ns0:c r="I371" s="150"/>
      <ns0:c r="J371" s="150"/>
      <ns0:c r="K371" s="150"/>
      <ns0:c r="L371" s="150"/>
      <ns0:c r="M371" s="150"/>
      <ns0:c r="N371" s="150"/>
      <ns0:c r="O371" s="147"/>
      <ns0:c r="P371" s="147"/>
      <ns0:c r="Q371" s="147"/>
      <ns0:c r="R371" s="150"/>
    </ns0:row>
    <ns0:row r="372" ht="21" customHeight="1">
      <ns0:c r="A372" s="149"/>
      <ns0:c r="B372" s="145"/>
      <ns0:c r="C372" s="145"/>
      <ns0:c r="D372" s="145"/>
      <ns0:c r="E372" s="152"/>
      <ns0:c r="F372" s="152"/>
      <ns0:c r="G372" s="152"/>
      <ns0:c r="H372" s="152"/>
      <ns0:c r="I372" s="149"/>
      <ns0:c r="J372" s="149"/>
      <ns0:c r="K372" s="149"/>
      <ns0:c r="L372" s="149"/>
      <ns0:c r="M372" s="149"/>
      <ns0:c r="N372" s="149"/>
      <ns0:c r="O372" s="145"/>
      <ns0:c r="P372" s="145"/>
      <ns0:c r="Q372" s="145"/>
      <ns0:c r="R372" s="149"/>
    </ns0:row>
    <ns0:row r="373" ht="21" customHeight="1">
      <ns0:c r="A373" s="150"/>
      <ns0:c r="B373" s="147"/>
      <ns0:c r="C373" s="147"/>
      <ns0:c r="D373" s="147"/>
      <ns0:c r="E373" s="152"/>
      <ns0:c r="F373" s="152"/>
      <ns0:c r="G373" s="152"/>
      <ns0:c r="H373" s="152"/>
      <ns0:c r="I373" s="150"/>
      <ns0:c r="J373" s="150"/>
      <ns0:c r="K373" s="150"/>
      <ns0:c r="L373" s="150"/>
      <ns0:c r="M373" s="150"/>
      <ns0:c r="N373" s="150"/>
      <ns0:c r="O373" s="147"/>
      <ns0:c r="P373" s="147"/>
      <ns0:c r="Q373" s="147"/>
      <ns0:c r="R373" s="150"/>
    </ns0:row>
    <ns0:row r="374" ht="21" customHeight="1">
      <ns0:c r="A374" s="149"/>
      <ns0:c r="B374" s="145"/>
      <ns0:c r="C374" s="145"/>
      <ns0:c r="D374" s="145"/>
      <ns0:c r="E374" s="152"/>
      <ns0:c r="F374" s="152"/>
      <ns0:c r="G374" s="152"/>
      <ns0:c r="H374" s="152"/>
      <ns0:c r="I374" s="149"/>
      <ns0:c r="J374" s="149"/>
      <ns0:c r="K374" s="149"/>
      <ns0:c r="L374" s="149"/>
      <ns0:c r="M374" s="149"/>
      <ns0:c r="N374" s="149"/>
      <ns0:c r="O374" s="145"/>
      <ns0:c r="P374" s="145"/>
      <ns0:c r="Q374" s="145"/>
      <ns0:c r="R374" s="149"/>
    </ns0:row>
    <ns0:row r="375" ht="21" customHeight="1">
      <ns0:c r="A375" s="150"/>
      <ns0:c r="B375" s="147"/>
      <ns0:c r="C375" s="147"/>
      <ns0:c r="D375" s="147"/>
      <ns0:c r="E375" s="152"/>
      <ns0:c r="F375" s="152"/>
      <ns0:c r="G375" s="152"/>
      <ns0:c r="H375" s="152"/>
      <ns0:c r="I375" s="150"/>
      <ns0:c r="J375" s="150"/>
      <ns0:c r="K375" s="150"/>
      <ns0:c r="L375" s="150"/>
      <ns0:c r="M375" s="150"/>
      <ns0:c r="N375" s="150"/>
      <ns0:c r="O375" s="147"/>
      <ns0:c r="P375" s="147"/>
      <ns0:c r="Q375" s="147"/>
      <ns0:c r="R375" s="150"/>
    </ns0:row>
    <ns0:row r="376" ht="21" customHeight="1">
      <ns0:c r="A376" s="149"/>
      <ns0:c r="B376" s="145"/>
      <ns0:c r="C376" s="145"/>
      <ns0:c r="D376" s="145"/>
      <ns0:c r="E376" s="152"/>
      <ns0:c r="F376" s="152"/>
      <ns0:c r="G376" s="152"/>
      <ns0:c r="H376" s="152"/>
      <ns0:c r="I376" s="149"/>
      <ns0:c r="J376" s="149"/>
      <ns0:c r="K376" s="149"/>
      <ns0:c r="L376" s="149"/>
      <ns0:c r="M376" s="149"/>
      <ns0:c r="N376" s="149"/>
      <ns0:c r="O376" s="145"/>
      <ns0:c r="P376" s="145"/>
      <ns0:c r="Q376" s="145"/>
      <ns0:c r="R376" s="149"/>
    </ns0:row>
    <ns0:row r="377" ht="21" customHeight="1">
      <ns0:c r="A377" s="150"/>
      <ns0:c r="B377" s="147"/>
      <ns0:c r="C377" s="147"/>
      <ns0:c r="D377" s="147"/>
      <ns0:c r="E377" s="152"/>
      <ns0:c r="F377" s="152"/>
      <ns0:c r="G377" s="152"/>
      <ns0:c r="H377" s="152"/>
      <ns0:c r="I377" s="150"/>
      <ns0:c r="J377" s="150"/>
      <ns0:c r="K377" s="150"/>
      <ns0:c r="L377" s="150"/>
      <ns0:c r="M377" s="150"/>
      <ns0:c r="N377" s="150"/>
      <ns0:c r="O377" s="147"/>
      <ns0:c r="P377" s="147"/>
      <ns0:c r="Q377" s="147"/>
      <ns0:c r="R377" s="150"/>
    </ns0:row>
    <ns0:row r="378" ht="21" customHeight="1">
      <ns0:c r="A378" s="149" t="n">
        <ns0:v>61</ns0:v>
      </ns0:c>
      <ns0:c r="B378" s="145" t="str">
        <ns0:v>开局</ns0:v>
      </ns0:c>
      <ns0:c r="C378" s="145" t="str">
        <ns0:v>W7-061-01</ns0:v>
      </ns0:c>
      <ns0:c r="D378" s="145" t="str">
        <ns0:v>普通盒</ns0:v>
      </ns0:c>
      <ns0:c r="E378" s="152" t="n">
        <ns0:v>12</ns0:v>
      </ns0:c>
      <ns0:c r="F378" s="152" t="n">
        <ns0:v>4</ns0:v>
      </ns0:c>
      <ns0:c r="G378" s="152" t="n">
        <ns0:v>4</ns0:v>
      </ns0:c>
      <ns0:c r="H378" s="152" t="n">
        <ns0:v>0</ns0:v>
      </ns0:c>
      <ns0:c r="I378" s="149" t="n">
        <ns0:f>E378*G378</ns0:f>
        <ns0:v>48</ns0:v>
      </ns0:c>
      <ns0:c r="J378" s="149" t="n">
        <ns0:f>E378*(F378-G378)</ns0:f>
        <ns0:v>0</ns0:v>
      </ns0:c>
      <ns0:c r="K378" s="149" t="n">
        <ns0:f>IF(AND(B378="开局",G378=0,OR(D378="普通盒",D378="单颗暂存盒")),J378,0)</ns0:f>
        <ns0:v>0</ns0:v>
      </ns0:c>
      <ns0:c r="L378" s="149" t="n">
        <ns0:f>IF(AND(B378="开局",G378&gt;0,OR(D378="普通盒",D378="底部置顶盒",D378="炸弹盒")),J378,0)</ns0:f>
        <ns0:v>0</ns0:v>
      </ns0:c>
      <ns0:c r="M378" s="149" t="n">
        <ns0:f>IF(AND(B378="开局",OR(D378="固定颜色盒",D378="单向收纳盒")),J378,0)</ns0:f>
        <ns0:v>0</ns0:v>
      </ns0:c>
      <ns0:c r="N378" s="149" t="n">
        <ns0:f>IF(AND(B378="开局",OR(D378="数字盖盒",D378="普通冰冻盒",D378="数字冰冻盒",D378="数字冰冻单颗暂存盒")),J378,0)</ns0:f>
        <ns0:v>0</ns0:v>
      </ns0:c>
      <ns0:c r="O378" s="145" t="str">
        <ns0:f>IF(AND(E378&gt;0,E378=INT(E378),G378&gt;=0,G378&lt;=F378,G378=INT(G378),OR(AND(F378=1,OR(D378="单颗暂存盒",D378="数字冰冻单颗暂存盒")),AND(F378=4,NOT(OR(D378="单颗暂存盒",D378="数字冰冻单颗暂存盒")))),IF(OR(D378="数字盖盒",D378="数字冰冻盒",D378="数字冰冻单颗暂存盒"),AND(H378&gt;=1,H378=INT(H378)),H378=0),IF(B378="开局",AND(IF(OR(D378="数字盖盒",D378="普通冰冻盒",D378="数字冰冻盒",D378="炸弹盒",D378="底部置顶盒"),OR(G378=3,G378=4),TRUE),IF(OR(D378="单向收纳盒",D378="单颗暂存盒",D378="数字冰冻单颗暂存盒"),OR(G378=0,G378=1),TRUE),IF(OR(D378="固定颜色盒",D378="广告锁定周转盒"),G378=0,TRUE)),TRUE)),"通过","需调整")</ns0:f>
        <ns0:v>通过</ns0:v>
      </ns0:c>
      <ns0:c r="P378" s="145" t="str">
        <ns0:v>普通盒</ns0:v>
      </ns0:c>
      <ns0:c r="Q378" s="145" t="str">
        <ns0:v>层序JSON:{"reference":"2026-10-12 第61至70关续接设计；自主层序与循环取料节奏","slots":[{"group_id":"W7-061-03","layers":[5,4]},{"group_id":"W7-061-01","layers":[5,3,3,4]},{"group_id":"W7-061-01","layers":[6,0,8,0]},{"group_id":"W7-061-02","layers":[6,0,2]},{"group_id":"W7-061-01","layers":[8,0,2,6]},{"group_id":"W7-061-01","layers":[5,8,0,0]},{"group_id":"W7-061-01","layers":[8,6,4,2]},{"group_id":"W7-061-02","layers":[2,5,8]},{"group_id":"W7-061-01","layers":[5,3,8,5]},{"group_id":"W7-061-01","layers":[3,0,6,2]},{"group_id":"W7-061-01","layers":[5,6,8,3]},{"group_id":"W7-061-01","layers":[4,2,3,3]},{"group_id":"W7-061-05","layers":[4,2,4,6]},{"group_id":"W7-061-01","layers":[3,0,0,4]},{"group_id":"W7-061-01","layers":[5,2,0,8]},{"group_id":"W7-061-01","layers":[4,0,6,0]},{"group_id":"W7-061-04","layers":[]}],"stock":[],"demand_sequences":[[4,0,3,8,2,3,0,2],[6,5,5,0,8,4,6]]}</ns0:v>
      </ns0:c>
      <ns0:c r="R378" s="149" t="n">
        <ns0:f>E378*H378</ns0:f>
        <ns0:v>0</ns0:v>
      </ns0:c>
    </ns0:row>
    <ns0:row r="379" ht="21" customHeight="1">
      <ns0:c r="A379" s="150" t="n">
        <ns0:v>61</ns0:v>
      </ns0:c>
      <ns0:c r="B379" s="147" t="str">
        <ns0:v>开局</ns0:v>
      </ns0:c>
      <ns0:c r="C379" s="147" t="str">
        <ns0:v>W7-061-02</ns0:v>
      </ns0:c>
      <ns0:c r="D379" s="147" t="str">
        <ns0:v>普通盒</ns0:v>
      </ns0:c>
      <ns0:c r="E379" s="152" t="n">
        <ns0:v>2</ns0:v>
      </ns0:c>
      <ns0:c r="F379" s="152" t="n">
        <ns0:v>4</ns0:v>
      </ns0:c>
      <ns0:c r="G379" s="152" t="n">
        <ns0:v>3</ns0:v>
      </ns0:c>
      <ns0:c r="H379" s="152" t="n">
        <ns0:v>0</ns0:v>
      </ns0:c>
      <ns0:c r="I379" s="150" t="n">
        <ns0:f>E379*G379</ns0:f>
        <ns0:v>6</ns0:v>
      </ns0:c>
      <ns0:c r="J379" s="150" t="n">
        <ns0:f>E379*(F379-G379)</ns0:f>
        <ns0:v>2</ns0:v>
      </ns0:c>
      <ns0:c r="K379" s="150" t="n">
        <ns0:f>IF(AND(B379="开局",G379=0,OR(D379="普通盒",D379="单颗暂存盒")),J379,0)</ns0:f>
        <ns0:v>0</ns0:v>
      </ns0:c>
      <ns0:c r="L379" s="150" t="n">
        <ns0:f>IF(AND(B379="开局",G379&gt;0,OR(D379="普通盒",D379="底部置顶盒",D379="炸弹盒")),J379,0)</ns0:f>
        <ns0:v>2</ns0:v>
      </ns0:c>
      <ns0:c r="M379" s="150" t="n">
        <ns0:f>IF(AND(B379="开局",OR(D379="固定颜色盒",D379="单向收纳盒")),J379,0)</ns0:f>
        <ns0:v>0</ns0:v>
      </ns0:c>
      <ns0:c r="N379" s="150" t="n">
        <ns0:f>IF(AND(B379="开局",OR(D379="数字盖盒",D379="普通冰冻盒",D379="数字冰冻盒",D379="数字冰冻单颗暂存盒")),J379,0)</ns0:f>
        <ns0:v>0</ns0:v>
      </ns0:c>
      <ns0:c r="O379" s="147" t="str">
        <ns0:f>IF(AND(E379&gt;0,E379=INT(E379),G379&gt;=0,G379&lt;=F379,G379=INT(G379),OR(AND(F379=1,OR(D379="单颗暂存盒",D379="数字冰冻单颗暂存盒")),AND(F379=4,NOT(OR(D379="单颗暂存盒",D379="数字冰冻单颗暂存盒")))),IF(OR(D379="数字盖盒",D379="数字冰冻盒",D379="数字冰冻单颗暂存盒"),AND(H379&gt;=1,H379=INT(H379)),H379=0),IF(B379="开局",AND(IF(OR(D379="数字盖盒",D379="普通冰冻盒",D379="数字冰冻盒",D379="炸弹盒",D379="底部置顶盒"),OR(G379=3,G379=4),TRUE),IF(OR(D379="单向收纳盒",D379="单颗暂存盒",D379="数字冰冻单颗暂存盒"),OR(G379=0,G379=1),TRUE),IF(OR(D379="固定颜色盒",D379="广告锁定周转盒"),G379=0,TRUE)),TRUE)),"通过","需调整")</ns0:f>
        <ns0:v>通过</ns0:v>
      </ns0:c>
      <ns0:c r="P379" s="147" t="str">
        <ns0:v>普通盒</ns0:v>
      </ns0:c>
      <ns0:c r="Q379" s="147" t="str">
        <ns0:v>固定层序见本关首行</ns0:v>
      </ns0:c>
      <ns0:c r="R379" s="150" t="n">
        <ns0:f>E379*H379</ns0:f>
        <ns0:v>0</ns0:v>
      </ns0:c>
    </ns0:row>
    <ns0:row r="380" ht="21" customHeight="1">
      <ns0:c r="A380" s="149" t="n">
        <ns0:v>61</ns0:v>
      </ns0:c>
      <ns0:c r="B380" s="145" t="str">
        <ns0:v>开局</ns0:v>
      </ns0:c>
      <ns0:c r="C380" s="145" t="str">
        <ns0:v>W7-061-03</ns0:v>
      </ns0:c>
      <ns0:c r="D380" s="145" t="str">
        <ns0:v>普通盒</ns0:v>
      </ns0:c>
      <ns0:c r="E380" s="152" t="n">
        <ns0:v>1</ns0:v>
      </ns0:c>
      <ns0:c r="F380" s="152" t="n">
        <ns0:v>4</ns0:v>
      </ns0:c>
      <ns0:c r="G380" s="152" t="n">
        <ns0:v>2</ns0:v>
      </ns0:c>
      <ns0:c r="H380" s="152" t="n">
        <ns0:v>0</ns0:v>
      </ns0:c>
      <ns0:c r="I380" s="149" t="n">
        <ns0:f>E380*G380</ns0:f>
        <ns0:v>2</ns0:v>
      </ns0:c>
      <ns0:c r="J380" s="149" t="n">
        <ns0:f>E380*(F380-G380)</ns0:f>
        <ns0:v>2</ns0:v>
      </ns0:c>
      <ns0:c r="K380" s="149" t="n">
        <ns0:f>IF(AND(B380="开局",G380=0,OR(D380="普通盒",D380="单颗暂存盒")),J380,0)</ns0:f>
        <ns0:v>0</ns0:v>
      </ns0:c>
      <ns0:c r="L380" s="149" t="n">
        <ns0:f>IF(AND(B380="开局",G380&gt;0,OR(D380="普通盒",D380="底部置顶盒",D380="炸弹盒")),J380,0)</ns0:f>
        <ns0:v>2</ns0:v>
      </ns0:c>
      <ns0:c r="M380" s="149" t="n">
        <ns0:f>IF(AND(B380="开局",OR(D380="固定颜色盒",D380="单向收纳盒")),J380,0)</ns0:f>
        <ns0:v>0</ns0:v>
      </ns0:c>
      <ns0:c r="N380" s="149" t="n">
        <ns0:f>IF(AND(B380="开局",OR(D380="数字盖盒",D380="普通冰冻盒",D380="数字冰冻盒",D380="数字冰冻单颗暂存盒")),J380,0)</ns0:f>
        <ns0:v>0</ns0:v>
      </ns0:c>
      <ns0:c r="O380" s="145" t="str">
        <ns0:f>IF(AND(E380&gt;0,E380=INT(E380),G380&gt;=0,G380&lt;=F380,G380=INT(G380),OR(AND(F380=1,OR(D380="单颗暂存盒",D380="数字冰冻单颗暂存盒")),AND(F380=4,NOT(OR(D380="单颗暂存盒",D380="数字冰冻单颗暂存盒")))),IF(OR(D380="数字盖盒",D380="数字冰冻盒",D380="数字冰冻单颗暂存盒"),AND(H380&gt;=1,H380=INT(H380)),H380=0),IF(B380="开局",AND(IF(OR(D380="数字盖盒",D380="普通冰冻盒",D380="数字冰冻盒",D380="炸弹盒",D380="底部置顶盒"),OR(G380=3,G380=4),TRUE),IF(OR(D380="单向收纳盒",D380="单颗暂存盒",D380="数字冰冻单颗暂存盒"),OR(G380=0,G380=1),TRUE),IF(OR(D380="固定颜色盒",D380="广告锁定周转盒"),G380=0,TRUE)),TRUE)),"通过","需调整")</ns0:f>
        <ns0:v>通过</ns0:v>
      </ns0:c>
      <ns0:c r="P380" s="145" t="str">
        <ns0:v>普通盒</ns0:v>
      </ns0:c>
      <ns0:c r="Q380" s="145" t="str">
        <ns0:v>固定层序见本关首行</ns0:v>
      </ns0:c>
      <ns0:c r="R380" s="149" t="n">
        <ns0:f>E380*H380</ns0:f>
        <ns0:v>0</ns0:v>
      </ns0:c>
    </ns0:row>
    <ns0:row r="381" ht="21" customHeight="1">
      <ns0:c r="A381" s="150" t="n">
        <ns0:v>61</ns0:v>
      </ns0:c>
      <ns0:c r="B381" s="147" t="str">
        <ns0:v>开局</ns0:v>
      </ns0:c>
      <ns0:c r="C381" s="147" t="str">
        <ns0:v>W7-061-04</ns0:v>
      </ns0:c>
      <ns0:c r="D381" s="147" t="str">
        <ns0:v>普通盒</ns0:v>
      </ns0:c>
      <ns0:c r="E381" s="152" t="n">
        <ns0:v>1</ns0:v>
      </ns0:c>
      <ns0:c r="F381" s="152" t="n">
        <ns0:v>4</ns0:v>
      </ns0:c>
      <ns0:c r="G381" s="152" t="n">
        <ns0:v>0</ns0:v>
      </ns0:c>
      <ns0:c r="H381" s="152" t="n">
        <ns0:v>0</ns0:v>
      </ns0:c>
      <ns0:c r="I381" s="150" t="n">
        <ns0:f>E381*G381</ns0:f>
        <ns0:v>0</ns0:v>
      </ns0:c>
      <ns0:c r="J381" s="150" t="n">
        <ns0:f>E381*(F381-G381)</ns0:f>
        <ns0:v>4</ns0:v>
      </ns0:c>
      <ns0:c r="K381" s="150" t="n">
        <ns0:f>IF(AND(B381="开局",G381=0,OR(D381="普通盒",D381="单颗暂存盒")),J381,0)</ns0:f>
        <ns0:v>4</ns0:v>
      </ns0:c>
      <ns0:c r="L381" s="150" t="n">
        <ns0:f>IF(AND(B381="开局",G381&gt;0,OR(D381="普通盒",D381="底部置顶盒",D381="炸弹盒")),J381,0)</ns0:f>
        <ns0:v>0</ns0:v>
      </ns0:c>
      <ns0:c r="M381" s="150" t="n">
        <ns0:f>IF(AND(B381="开局",OR(D381="固定颜色盒",D381="单向收纳盒")),J381,0)</ns0:f>
        <ns0:v>0</ns0:v>
      </ns0:c>
      <ns0:c r="N381" s="150" t="n">
        <ns0:f>IF(AND(B381="开局",OR(D381="数字盖盒",D381="普通冰冻盒",D381="数字冰冻盒",D381="数字冰冻单颗暂存盒")),J381,0)</ns0:f>
        <ns0:v>0</ns0:v>
      </ns0:c>
      <ns0:c r="O381" s="147" t="str">
        <ns0:f>IF(AND(E381&gt;0,E381=INT(E381),G381&gt;=0,G381&lt;=F381,G381=INT(G381),OR(AND(F381=1,OR(D381="单颗暂存盒",D381="数字冰冻单颗暂存盒")),AND(F381=4,NOT(OR(D381="单颗暂存盒",D381="数字冰冻单颗暂存盒")))),IF(OR(D381="数字盖盒",D381="数字冰冻盒",D381="数字冰冻单颗暂存盒"),AND(H381&gt;=1,H381=INT(H381)),H381=0),IF(B381="开局",AND(IF(OR(D381="数字盖盒",D381="普通冰冻盒",D381="数字冰冻盒",D381="炸弹盒",D381="底部置顶盒"),OR(G381=3,G381=4),TRUE),IF(OR(D381="单向收纳盒",D381="单颗暂存盒",D381="数字冰冻单颗暂存盒"),OR(G381=0,G381=1),TRUE),IF(OR(D381="固定颜色盒",D381="广告锁定周转盒"),G381=0,TRUE)),TRUE)),"通过","需调整")</ns0:f>
        <ns0:v>通过</ns0:v>
      </ns0:c>
      <ns0:c r="P381" s="147" t="str">
        <ns0:v>普通盒</ns0:v>
      </ns0:c>
      <ns0:c r="Q381" s="147" t="str">
        <ns0:v>固定层序见本关首行</ns0:v>
      </ns0:c>
      <ns0:c r="R381" s="150" t="n">
        <ns0:f>E381*H381</ns0:f>
        <ns0:v>0</ns0:v>
      </ns0:c>
    </ns0:row>
    <ns0:row r="382" ht="21" customHeight="1">
      <ns0:c r="A382" s="149" t="n">
        <ns0:v>61</ns0:v>
      </ns0:c>
      <ns0:c r="B382" s="145" t="str">
        <ns0:v>开局</ns0:v>
      </ns0:c>
      <ns0:c r="C382" s="145" t="str">
        <ns0:v>W7-061-05</ns0:v>
      </ns0:c>
      <ns0:c r="D382" s="145" t="str">
        <ns0:v>底部置顶盒</ns0:v>
      </ns0:c>
      <ns0:c r="E382" s="152" t="n">
        <ns0:v>1</ns0:v>
      </ns0:c>
      <ns0:c r="F382" s="152" t="n">
        <ns0:v>4</ns0:v>
      </ns0:c>
      <ns0:c r="G382" s="152" t="n">
        <ns0:v>4</ns0:v>
      </ns0:c>
      <ns0:c r="H382" s="152" t="n">
        <ns0:v>0</ns0:v>
      </ns0:c>
      <ns0:c r="I382" s="149" t="n">
        <ns0:f>E382*G382</ns0:f>
        <ns0:v>4</ns0:v>
      </ns0:c>
      <ns0:c r="J382" s="149" t="n">
        <ns0:f>E382*(F382-G382)</ns0:f>
        <ns0:v>0</ns0:v>
      </ns0:c>
      <ns0:c r="K382" s="149" t="n">
        <ns0:f>IF(AND(B382="开局",G382=0,OR(D382="普通盒",D382="单颗暂存盒")),J382,0)</ns0:f>
        <ns0:v>0</ns0:v>
      </ns0:c>
      <ns0:c r="L382" s="149" t="n">
        <ns0:f>IF(AND(B382="开局",G382&gt;0,OR(D382="普通盒",D382="底部置顶盒",D382="炸弹盒")),J382,0)</ns0:f>
        <ns0:v>0</ns0:v>
      </ns0:c>
      <ns0:c r="M382" s="149" t="n">
        <ns0:f>IF(AND(B382="开局",OR(D382="固定颜色盒",D382="单向收纳盒")),J382,0)</ns0:f>
        <ns0:v>0</ns0:v>
      </ns0:c>
      <ns0:c r="N382" s="149" t="n">
        <ns0:f>IF(AND(B382="开局",OR(D382="数字盖盒",D382="普通冰冻盒",D382="数字冰冻盒",D382="数字冰冻单颗暂存盒")),J382,0)</ns0:f>
        <ns0:v>0</ns0:v>
      </ns0:c>
      <ns0:c r="O382" s="145" t="str">
        <ns0:f>IF(AND(E382&gt;0,E382=INT(E382),G382&gt;=0,G382&lt;=F382,G382=INT(G382),OR(AND(F382=1,OR(D382="单颗暂存盒",D382="数字冰冻单颗暂存盒")),AND(F382=4,NOT(OR(D382="单颗暂存盒",D382="数字冰冻单颗暂存盒")))),IF(OR(D382="数字盖盒",D382="数字冰冻盒",D382="数字冰冻单颗暂存盒"),AND(H382&gt;=1,H382=INT(H382)),H382=0),IF(B382="开局",AND(IF(OR(D382="数字盖盒",D382="普通冰冻盒",D382="数字冰冻盒",D382="炸弹盒",D382="底部置顶盒"),OR(G382=3,G382=4),TRUE),IF(OR(D382="单向收纳盒",D382="单颗暂存盒",D382="数字冰冻单颗暂存盒"),OR(G382=0,G382=1),TRUE),IF(OR(D382="固定颜色盒",D382="广告锁定周转盒"),G382=0,TRUE)),TRUE)),"通过","需调整")</ns0:f>
        <ns0:v>通过</ns0:v>
      </ns0:c>
      <ns0:c r="P382" s="145" t="str">
        <ns0:v>底部置顶盒</ns0:v>
      </ns0:c>
      <ns0:c r="Q382" s="145" t="str">
        <ns0:v>固定层序见本关首行</ns0:v>
      </ns0:c>
      <ns0:c r="R382" s="149" t="n">
        <ns0:f>E382*H382</ns0:f>
        <ns0:v>0</ns0:v>
      </ns0:c>
    </ns0:row>
    <ns0:row r="383" ht="21" customHeight="1">
      <ns0:c r="A383" s="150" t="n">
        <ns0:v>61</ns0:v>
      </ns0:c>
      <ns0:c r="B383" s="147" t="str">
        <ns0:v>开局</ns0:v>
      </ns0:c>
      <ns0:c r="C383" s="147" t="str">
        <ns0:v>W7-061-06</ns0:v>
      </ns0:c>
      <ns0:c r="D383" s="147" t="str">
        <ns0:v>广告锁定周转盒</ns0:v>
      </ns0:c>
      <ns0:c r="E383" s="152" t="n">
        <ns0:v>2</ns0:v>
      </ns0:c>
      <ns0:c r="F383" s="152" t="n">
        <ns0:v>4</ns0:v>
      </ns0:c>
      <ns0:c r="G383" s="152" t="n">
        <ns0:v>0</ns0:v>
      </ns0:c>
      <ns0:c r="H383" s="152" t="n">
        <ns0:v>0</ns0:v>
      </ns0:c>
      <ns0:c r="I383" s="150" t="n">
        <ns0:f>E383*G383</ns0:f>
        <ns0:v>0</ns0:v>
      </ns0:c>
      <ns0:c r="J383" s="150" t="n">
        <ns0:f>E383*(F383-G383)</ns0:f>
        <ns0:v>8</ns0:v>
      </ns0:c>
      <ns0:c r="K383" s="150" t="n">
        <ns0:f>IF(AND(B383="开局",G383=0,OR(D383="普通盒",D383="单颗暂存盒")),J383,0)</ns0:f>
        <ns0:v>0</ns0:v>
      </ns0:c>
      <ns0:c r="L383" s="150" t="n">
        <ns0:f>IF(AND(B383="开局",G383&gt;0,OR(D383="普通盒",D383="底部置顶盒",D383="炸弹盒")),J383,0)</ns0:f>
        <ns0:v>0</ns0:v>
      </ns0:c>
      <ns0:c r="M383" s="150" t="n">
        <ns0:f>IF(AND(B383="开局",OR(D383="固定颜色盒",D383="单向收纳盒")),J383,0)</ns0:f>
        <ns0:v>0</ns0:v>
      </ns0:c>
      <ns0:c r="N383" s="150" t="n">
        <ns0:f>IF(AND(B383="开局",OR(D383="数字盖盒",D383="普通冰冻盒",D383="数字冰冻盒",D383="数字冰冻单颗暂存盒")),J383,0)</ns0:f>
        <ns0:v>0</ns0:v>
      </ns0:c>
      <ns0:c r="O383" s="147" t="str">
        <ns0:f>IF(AND(E383&gt;0,E383=INT(E383),G383&gt;=0,G383&lt;=F383,G383=INT(G383),OR(AND(F383=1,OR(D383="单颗暂存盒",D383="数字冰冻单颗暂存盒")),AND(F383=4,NOT(OR(D383="单颗暂存盒",D383="数字冰冻单颗暂存盒")))),IF(OR(D383="数字盖盒",D383="数字冰冻盒",D383="数字冰冻单颗暂存盒"),AND(H383&gt;=1,H383=INT(H383)),H383=0),IF(B383="开局",AND(IF(OR(D383="数字盖盒",D383="普通冰冻盒",D383="数字冰冻盒",D383="炸弹盒",D383="底部置顶盒"),OR(G383=3,G383=4),TRUE),IF(OR(D383="单向收纳盒",D383="单颗暂存盒",D383="数字冰冻单颗暂存盒"),OR(G383=0,G383=1),TRUE),IF(OR(D383="固定颜色盒",D383="广告锁定周转盒"),G383=0,TRUE)),TRUE)),"通过","需调整")</ns0:f>
        <ns0:v>通过</ns0:v>
      </ns0:c>
      <ns0:c r="P383" s="147" t="str">
        <ns0:v>双广告锁位</ns0:v>
      </ns0:c>
      <ns0:c r="Q383" s="147" t="str">
        <ns0:v>固定层序见本关首行</ns0:v>
      </ns0:c>
      <ns0:c r="R383" s="150" t="n">
        <ns0:f>E383*H383</ns0:f>
        <ns0:v>0</ns0:v>
      </ns0:c>
    </ns0:row>
    <ns0:row r="384" ht="21" customHeight="1">
      <ns0:c r="A384" s="149" t="n">
        <ns0:v>62</ns0:v>
      </ns0:c>
      <ns0:c r="B384" s="145" t="str">
        <ns0:v>开局</ns0:v>
      </ns0:c>
      <ns0:c r="C384" s="145" t="str">
        <ns0:v>W7-062-01</ns0:v>
      </ns0:c>
      <ns0:c r="D384" s="145" t="str">
        <ns0:v>普通盒</ns0:v>
      </ns0:c>
      <ns0:c r="E384" s="152" t="n">
        <ns0:v>12</ns0:v>
      </ns0:c>
      <ns0:c r="F384" s="152" t="n">
        <ns0:v>4</ns0:v>
      </ns0:c>
      <ns0:c r="G384" s="152" t="n">
        <ns0:v>4</ns0:v>
      </ns0:c>
      <ns0:c r="H384" s="152" t="n">
        <ns0:v>0</ns0:v>
      </ns0:c>
      <ns0:c r="I384" s="149" t="n">
        <ns0:f>E384*G384</ns0:f>
        <ns0:v>48</ns0:v>
      </ns0:c>
      <ns0:c r="J384" s="149" t="n">
        <ns0:f>E384*(F384-G384)</ns0:f>
        <ns0:v>0</ns0:v>
      </ns0:c>
      <ns0:c r="K384" s="149" t="n">
        <ns0:f>IF(AND(B384="开局",G384=0,OR(D384="普通盒",D384="单颗暂存盒")),J384,0)</ns0:f>
        <ns0:v>0</ns0:v>
      </ns0:c>
      <ns0:c r="L384" s="149" t="n">
        <ns0:f>IF(AND(B384="开局",G384&gt;0,OR(D384="普通盒",D384="底部置顶盒",D384="炸弹盒")),J384,0)</ns0:f>
        <ns0:v>0</ns0:v>
      </ns0:c>
      <ns0:c r="M384" s="149" t="n">
        <ns0:f>IF(AND(B384="开局",OR(D384="固定颜色盒",D384="单向收纳盒")),J384,0)</ns0:f>
        <ns0:v>0</ns0:v>
      </ns0:c>
      <ns0:c r="N384" s="149" t="n">
        <ns0:f>IF(AND(B384="开局",OR(D384="数字盖盒",D384="普通冰冻盒",D384="数字冰冻盒",D384="数字冰冻单颗暂存盒")),J384,0)</ns0:f>
        <ns0:v>0</ns0:v>
      </ns0:c>
      <ns0:c r="O384" s="145" t="str">
        <ns0:f>IF(AND(E384&gt;0,E384=INT(E384),G384&gt;=0,G384&lt;=F384,G384=INT(G384),OR(AND(F384=1,OR(D384="单颗暂存盒",D384="数字冰冻单颗暂存盒")),AND(F384=4,NOT(OR(D384="单颗暂存盒",D384="数字冰冻单颗暂存盒")))),IF(OR(D384="数字盖盒",D384="数字冰冻盒",D384="数字冰冻单颗暂存盒"),AND(H384&gt;=1,H384=INT(H384)),H384=0),IF(B384="开局",AND(IF(OR(D384="数字盖盒",D384="普通冰冻盒",D384="数字冰冻盒",D384="炸弹盒",D384="底部置顶盒"),OR(G384=3,G384=4),TRUE),IF(OR(D384="单向收纳盒",D384="单颗暂存盒",D384="数字冰冻单颗暂存盒"),OR(G384=0,G384=1),TRUE),IF(OR(D384="固定颜色盒",D384="广告锁定周转盒"),G384=0,TRUE)),TRUE)),"通过","需调整")</ns0:f>
        <ns0:v>通过</ns0:v>
      </ns0:c>
      <ns0:c r="P384" s="145" t="str">
        <ns0:v>普通盒</ns0:v>
      </ns0:c>
      <ns0:c r="Q384" s="145" t="str">
        <ns0:v>层序JSON:{"reference":"2026-10-12 第61至70关续接设计；自主层序与循环取料节奏","slots":[{"group_id":"W7-062-01","layers":[2,0,4,4]},{"group_id":"W7-062-01","layers":[5,6,4,0]},{"group_id":"W7-062-01","layers":[12,12,12,3]},{"group_id":"W7-062-01","layers":[3,8,2,3]},{"group_id":"W7-062-03","layers":[3,8]},{"group_id":"W7-062-01","layers":[2,4,0,0]},{"group_id":"W7-062-01","layers":[8,5,0,6]},{"group_id":"W7-062-03","layers":[3,8]},{"group_id":"W7-062-03","layers":[5,12]},{"group_id":"W7-062-01","layers":[4,3,12,0]},{"group_id":"W7-062-02","layers":[2,12,5]},{"group_id":"W7-062-01","layers":[4,2,5,8]},{"group_id":"W7-062-01","layers":[6,6,2,8]},{"group_id":"W7-062-01","layers":[8,4,8,3]},{"group_id":"W7-062-01","layers":[6,3,6,6]},{"group_id":"W7-062-02","layers":[12,5,6]},{"group_id":"W7-062-04","layers":[5,0,5,2]},{"group_id":"W7-062-01","layers":[4,2,0,12]}],"stock":[],"demand_sequences":[[12,4,4,2,5,3,2,8],[8,0,6,3,12,0,5,6]]}</ns0:v>
      </ns0:c>
      <ns0:c r="R384" s="149" t="n">
        <ns0:f>E384*H384</ns0:f>
        <ns0:v>0</ns0:v>
      </ns0:c>
    </ns0:row>
    <ns0:row r="385" ht="21" customHeight="1">
      <ns0:c r="A385" s="150" t="n">
        <ns0:v>62</ns0:v>
      </ns0:c>
      <ns0:c r="B385" s="147" t="str">
        <ns0:v>开局</ns0:v>
      </ns0:c>
      <ns0:c r="C385" s="147" t="str">
        <ns0:v>W7-062-02</ns0:v>
      </ns0:c>
      <ns0:c r="D385" s="147" t="str">
        <ns0:v>普通盒</ns0:v>
      </ns0:c>
      <ns0:c r="E385" s="152" t="n">
        <ns0:v>2</ns0:v>
      </ns0:c>
      <ns0:c r="F385" s="152" t="n">
        <ns0:v>4</ns0:v>
      </ns0:c>
      <ns0:c r="G385" s="152" t="n">
        <ns0:v>3</ns0:v>
      </ns0:c>
      <ns0:c r="H385" s="152" t="n">
        <ns0:v>0</ns0:v>
      </ns0:c>
      <ns0:c r="I385" s="150" t="n">
        <ns0:f>E385*G385</ns0:f>
        <ns0:v>6</ns0:v>
      </ns0:c>
      <ns0:c r="J385" s="150" t="n">
        <ns0:f>E385*(F385-G385)</ns0:f>
        <ns0:v>2</ns0:v>
      </ns0:c>
      <ns0:c r="K385" s="150" t="n">
        <ns0:f>IF(AND(B385="开局",G385=0,OR(D385="普通盒",D385="单颗暂存盒")),J385,0)</ns0:f>
        <ns0:v>0</ns0:v>
      </ns0:c>
      <ns0:c r="L385" s="150" t="n">
        <ns0:f>IF(AND(B385="开局",G385&gt;0,OR(D385="普通盒",D385="底部置顶盒",D385="炸弹盒")),J385,0)</ns0:f>
        <ns0:v>2</ns0:v>
      </ns0:c>
      <ns0:c r="M385" s="150" t="n">
        <ns0:f>IF(AND(B385="开局",OR(D385="固定颜色盒",D385="单向收纳盒")),J385,0)</ns0:f>
        <ns0:v>0</ns0:v>
      </ns0:c>
      <ns0:c r="N385" s="150" t="n">
        <ns0:f>IF(AND(B385="开局",OR(D385="数字盖盒",D385="普通冰冻盒",D385="数字冰冻盒",D385="数字冰冻单颗暂存盒")),J385,0)</ns0:f>
        <ns0:v>0</ns0:v>
      </ns0:c>
      <ns0:c r="O385" s="147" t="str">
        <ns0:f>IF(AND(E385&gt;0,E385=INT(E385),G385&gt;=0,G385&lt;=F385,G385=INT(G385),OR(AND(F385=1,OR(D385="单颗暂存盒",D385="数字冰冻单颗暂存盒")),AND(F385=4,NOT(OR(D385="单颗暂存盒",D385="数字冰冻单颗暂存盒")))),IF(OR(D385="数字盖盒",D385="数字冰冻盒",D385="数字冰冻单颗暂存盒"),AND(H385&gt;=1,H385=INT(H385)),H385=0),IF(B385="开局",AND(IF(OR(D385="数字盖盒",D385="普通冰冻盒",D385="数字冰冻盒",D385="炸弹盒",D385="底部置顶盒"),OR(G385=3,G385=4),TRUE),IF(OR(D385="单向收纳盒",D385="单颗暂存盒",D385="数字冰冻单颗暂存盒"),OR(G385=0,G385=1),TRUE),IF(OR(D385="固定颜色盒",D385="广告锁定周转盒"),G385=0,TRUE)),TRUE)),"通过","需调整")</ns0:f>
        <ns0:v>通过</ns0:v>
      </ns0:c>
      <ns0:c r="P385" s="147" t="str">
        <ns0:v>普通盒</ns0:v>
      </ns0:c>
      <ns0:c r="Q385" s="147" t="str">
        <ns0:v>固定层序见本关首行</ns0:v>
      </ns0:c>
      <ns0:c r="R385" s="150" t="n">
        <ns0:f>E385*H385</ns0:f>
        <ns0:v>0</ns0:v>
      </ns0:c>
    </ns0:row>
    <ns0:row r="386" ht="21" customHeight="1">
      <ns0:c r="A386" s="149" t="n">
        <ns0:v>62</ns0:v>
      </ns0:c>
      <ns0:c r="B386" s="145" t="str">
        <ns0:v>开局</ns0:v>
      </ns0:c>
      <ns0:c r="C386" s="145" t="str">
        <ns0:v>W7-062-03</ns0:v>
      </ns0:c>
      <ns0:c r="D386" s="145" t="str">
        <ns0:v>普通盒</ns0:v>
      </ns0:c>
      <ns0:c r="E386" s="152" t="n">
        <ns0:v>3</ns0:v>
      </ns0:c>
      <ns0:c r="F386" s="152" t="n">
        <ns0:v>4</ns0:v>
      </ns0:c>
      <ns0:c r="G386" s="152" t="n">
        <ns0:v>2</ns0:v>
      </ns0:c>
      <ns0:c r="H386" s="152" t="n">
        <ns0:v>0</ns0:v>
      </ns0:c>
      <ns0:c r="I386" s="149" t="n">
        <ns0:f>E386*G386</ns0:f>
        <ns0:v>6</ns0:v>
      </ns0:c>
      <ns0:c r="J386" s="149" t="n">
        <ns0:f>E386*(F386-G386)</ns0:f>
        <ns0:v>6</ns0:v>
      </ns0:c>
      <ns0:c r="K386" s="149" t="n">
        <ns0:f>IF(AND(B386="开局",G386=0,OR(D386="普通盒",D386="单颗暂存盒")),J386,0)</ns0:f>
        <ns0:v>0</ns0:v>
      </ns0:c>
      <ns0:c r="L386" s="149" t="n">
        <ns0:f>IF(AND(B386="开局",G386&gt;0,OR(D386="普通盒",D386="底部置顶盒",D386="炸弹盒")),J386,0)</ns0:f>
        <ns0:v>6</ns0:v>
      </ns0:c>
      <ns0:c r="M386" s="149" t="n">
        <ns0:f>IF(AND(B386="开局",OR(D386="固定颜色盒",D386="单向收纳盒")),J386,0)</ns0:f>
        <ns0:v>0</ns0:v>
      </ns0:c>
      <ns0:c r="N386" s="149" t="n">
        <ns0:f>IF(AND(B386="开局",OR(D386="数字盖盒",D386="普通冰冻盒",D386="数字冰冻盒",D386="数字冰冻单颗暂存盒")),J386,0)</ns0:f>
        <ns0:v>0</ns0:v>
      </ns0:c>
      <ns0:c r="O386" s="145" t="str">
        <ns0:f>IF(AND(E386&gt;0,E386=INT(E386),G386&gt;=0,G386&lt;=F386,G386=INT(G386),OR(AND(F386=1,OR(D386="单颗暂存盒",D386="数字冰冻单颗暂存盒")),AND(F386=4,NOT(OR(D386="单颗暂存盒",D386="数字冰冻单颗暂存盒")))),IF(OR(D386="数字盖盒",D386="数字冰冻盒",D386="数字冰冻单颗暂存盒"),AND(H386&gt;=1,H386=INT(H386)),H386=0),IF(B386="开局",AND(IF(OR(D386="数字盖盒",D386="普通冰冻盒",D386="数字冰冻盒",D386="炸弹盒",D386="底部置顶盒"),OR(G386=3,G386=4),TRUE),IF(OR(D386="单向收纳盒",D386="单颗暂存盒",D386="数字冰冻单颗暂存盒"),OR(G386=0,G386=1),TRUE),IF(OR(D386="固定颜色盒",D386="广告锁定周转盒"),G386=0,TRUE)),TRUE)),"通过","需调整")</ns0:f>
        <ns0:v>通过</ns0:v>
      </ns0:c>
      <ns0:c r="P386" s="145" t="str">
        <ns0:v>普通盒</ns0:v>
      </ns0:c>
      <ns0:c r="Q386" s="145" t="str">
        <ns0:v>固定层序见本关首行</ns0:v>
      </ns0:c>
      <ns0:c r="R386" s="149" t="n">
        <ns0:f>E386*H386</ns0:f>
        <ns0:v>0</ns0:v>
      </ns0:c>
    </ns0:row>
    <ns0:row r="387" ht="21" customHeight="1">
      <ns0:c r="A387" s="150" t="n">
        <ns0:v>62</ns0:v>
      </ns0:c>
      <ns0:c r="B387" s="147" t="str">
        <ns0:v>开局</ns0:v>
      </ns0:c>
      <ns0:c r="C387" s="147" t="str">
        <ns0:v>W7-062-04</ns0:v>
      </ns0:c>
      <ns0:c r="D387" s="147" t="str">
        <ns0:v>底部置顶盒</ns0:v>
      </ns0:c>
      <ns0:c r="E387" s="152" t="n">
        <ns0:v>1</ns0:v>
      </ns0:c>
      <ns0:c r="F387" s="152" t="n">
        <ns0:v>4</ns0:v>
      </ns0:c>
      <ns0:c r="G387" s="152" t="n">
        <ns0:v>4</ns0:v>
      </ns0:c>
      <ns0:c r="H387" s="152" t="n">
        <ns0:v>0</ns0:v>
      </ns0:c>
      <ns0:c r="I387" s="150" t="n">
        <ns0:f>E387*G387</ns0:f>
        <ns0:v>4</ns0:v>
      </ns0:c>
      <ns0:c r="J387" s="150" t="n">
        <ns0:f>E387*(F387-G387)</ns0:f>
        <ns0:v>0</ns0:v>
      </ns0:c>
      <ns0:c r="K387" s="150" t="n">
        <ns0:f>IF(AND(B387="开局",G387=0,OR(D387="普通盒",D387="单颗暂存盒")),J387,0)</ns0:f>
        <ns0:v>0</ns0:v>
      </ns0:c>
      <ns0:c r="L387" s="150" t="n">
        <ns0:f>IF(AND(B387="开局",G387&gt;0,OR(D387="普通盒",D387="底部置顶盒",D387="炸弹盒")),J387,0)</ns0:f>
        <ns0:v>0</ns0:v>
      </ns0:c>
      <ns0:c r="M387" s="150" t="n">
        <ns0:f>IF(AND(B387="开局",OR(D387="固定颜色盒",D387="单向收纳盒")),J387,0)</ns0:f>
        <ns0:v>0</ns0:v>
      </ns0:c>
      <ns0:c r="N387" s="150" t="n">
        <ns0:f>IF(AND(B387="开局",OR(D387="数字盖盒",D387="普通冰冻盒",D387="数字冰冻盒",D387="数字冰冻单颗暂存盒")),J387,0)</ns0:f>
        <ns0:v>0</ns0:v>
      </ns0:c>
      <ns0:c r="O387" s="147" t="str">
        <ns0:f>IF(AND(E387&gt;0,E387=INT(E387),G387&gt;=0,G387&lt;=F387,G387=INT(G387),OR(AND(F387=1,OR(D387="单颗暂存盒",D387="数字冰冻单颗暂存盒")),AND(F387=4,NOT(OR(D387="单颗暂存盒",D387="数字冰冻单颗暂存盒")))),IF(OR(D387="数字盖盒",D387="数字冰冻盒",D387="数字冰冻单颗暂存盒"),AND(H387&gt;=1,H387=INT(H387)),H387=0),IF(B387="开局",AND(IF(OR(D387="数字盖盒",D387="普通冰冻盒",D387="数字冰冻盒",D387="炸弹盒",D387="底部置顶盒"),OR(G387=3,G387=4),TRUE),IF(OR(D387="单向收纳盒",D387="单颗暂存盒",D387="数字冰冻单颗暂存盒"),OR(G387=0,G387=1),TRUE),IF(OR(D387="固定颜色盒",D387="广告锁定周转盒"),G387=0,TRUE)),TRUE)),"通过","需调整")</ns0:f>
        <ns0:v>通过</ns0:v>
      </ns0:c>
      <ns0:c r="P387" s="147" t="str">
        <ns0:v>底部置顶盒</ns0:v>
      </ns0:c>
      <ns0:c r="Q387" s="147" t="str">
        <ns0:v>固定层序见本关首行</ns0:v>
      </ns0:c>
      <ns0:c r="R387" s="150" t="n">
        <ns0:f>E387*H387</ns0:f>
        <ns0:v>0</ns0:v>
      </ns0:c>
    </ns0:row>
    <ns0:row r="388" ht="21" customHeight="1">
      <ns0:c r="A388" s="149" t="n">
        <ns0:v>62</ns0:v>
      </ns0:c>
      <ns0:c r="B388" s="145" t="str">
        <ns0:v>开局</ns0:v>
      </ns0:c>
      <ns0:c r="C388" s="145" t="str">
        <ns0:v>W7-062-05</ns0:v>
      </ns0:c>
      <ns0:c r="D388" s="145" t="str">
        <ns0:v>广告锁定周转盒</ns0:v>
      </ns0:c>
      <ns0:c r="E388" s="152" t="n">
        <ns0:v>2</ns0:v>
      </ns0:c>
      <ns0:c r="F388" s="152" t="n">
        <ns0:v>4</ns0:v>
      </ns0:c>
      <ns0:c r="G388" s="152" t="n">
        <ns0:v>0</ns0:v>
      </ns0:c>
      <ns0:c r="H388" s="152" t="n">
        <ns0:v>0</ns0:v>
      </ns0:c>
      <ns0:c r="I388" s="149" t="n">
        <ns0:f>E388*G388</ns0:f>
        <ns0:v>0</ns0:v>
      </ns0:c>
      <ns0:c r="J388" s="149" t="n">
        <ns0:f>E388*(F388-G388)</ns0:f>
        <ns0:v>8</ns0:v>
      </ns0:c>
      <ns0:c r="K388" s="149" t="n">
        <ns0:f>IF(AND(B388="开局",G388=0,OR(D388="普通盒",D388="单颗暂存盒")),J388,0)</ns0:f>
        <ns0:v>0</ns0:v>
      </ns0:c>
      <ns0:c r="L388" s="149" t="n">
        <ns0:f>IF(AND(B388="开局",G388&gt;0,OR(D388="普通盒",D388="底部置顶盒",D388="炸弹盒")),J388,0)</ns0:f>
        <ns0:v>0</ns0:v>
      </ns0:c>
      <ns0:c r="M388" s="149" t="n">
        <ns0:f>IF(AND(B388="开局",OR(D388="固定颜色盒",D388="单向收纳盒")),J388,0)</ns0:f>
        <ns0:v>0</ns0:v>
      </ns0:c>
      <ns0:c r="N388" s="149" t="n">
        <ns0:f>IF(AND(B388="开局",OR(D388="数字盖盒",D388="普通冰冻盒",D388="数字冰冻盒",D388="数字冰冻单颗暂存盒")),J388,0)</ns0:f>
        <ns0:v>0</ns0:v>
      </ns0:c>
      <ns0:c r="O388" s="145" t="str">
        <ns0:f>IF(AND(E388&gt;0,E388=INT(E388),G388&gt;=0,G388&lt;=F388,G388=INT(G388),OR(AND(F388=1,OR(D388="单颗暂存盒",D388="数字冰冻单颗暂存盒")),AND(F388=4,NOT(OR(D388="单颗暂存盒",D388="数字冰冻单颗暂存盒")))),IF(OR(D388="数字盖盒",D388="数字冰冻盒",D388="数字冰冻单颗暂存盒"),AND(H388&gt;=1,H388=INT(H388)),H388=0),IF(B388="开局",AND(IF(OR(D388="数字盖盒",D388="普通冰冻盒",D388="数字冰冻盒",D388="炸弹盒",D388="底部置顶盒"),OR(G388=3,G388=4),TRUE),IF(OR(D388="单向收纳盒",D388="单颗暂存盒",D388="数字冰冻单颗暂存盒"),OR(G388=0,G388=1),TRUE),IF(OR(D388="固定颜色盒",D388="广告锁定周转盒"),G388=0,TRUE)),TRUE)),"通过","需调整")</ns0:f>
        <ns0:v>通过</ns0:v>
      </ns0:c>
      <ns0:c r="P388" s="145" t="str">
        <ns0:v>双广告锁位</ns0:v>
      </ns0:c>
      <ns0:c r="Q388" s="145" t="str">
        <ns0:v>固定层序见本关首行</ns0:v>
      </ns0:c>
      <ns0:c r="R388" s="149" t="n">
        <ns0:f>E388*H388</ns0:f>
        <ns0:v>0</ns0:v>
      </ns0:c>
    </ns0:row>
    <ns0:row r="389" ht="21" customHeight="1">
      <ns0:c r="A389" s="150" t="n">
        <ns0:v>63</ns0:v>
      </ns0:c>
      <ns0:c r="B389" s="147" t="str">
        <ns0:v>开局</ns0:v>
      </ns0:c>
      <ns0:c r="C389" s="147" t="str">
        <ns0:v>W7-063-01</ns0:v>
      </ns0:c>
      <ns0:c r="D389" s="147" t="str">
        <ns0:v>普通盒</ns0:v>
      </ns0:c>
      <ns0:c r="E389" s="152" t="n">
        <ns0:v>12</ns0:v>
      </ns0:c>
      <ns0:c r="F389" s="152" t="n">
        <ns0:v>4</ns0:v>
      </ns0:c>
      <ns0:c r="G389" s="152" t="n">
        <ns0:v>4</ns0:v>
      </ns0:c>
      <ns0:c r="H389" s="152" t="n">
        <ns0:v>0</ns0:v>
      </ns0:c>
      <ns0:c r="I389" s="150" t="n">
        <ns0:f>E389*G389</ns0:f>
        <ns0:v>48</ns0:v>
      </ns0:c>
      <ns0:c r="J389" s="150" t="n">
        <ns0:f>E389*(F389-G389)</ns0:f>
        <ns0:v>0</ns0:v>
      </ns0:c>
      <ns0:c r="K389" s="150" t="n">
        <ns0:f>IF(AND(B389="开局",G389=0,OR(D389="普通盒",D389="单颗暂存盒")),J389,0)</ns0:f>
        <ns0:v>0</ns0:v>
      </ns0:c>
      <ns0:c r="L389" s="150" t="n">
        <ns0:f>IF(AND(B389="开局",G389&gt;0,OR(D389="普通盒",D389="底部置顶盒",D389="炸弹盒")),J389,0)</ns0:f>
        <ns0:v>0</ns0:v>
      </ns0:c>
      <ns0:c r="M389" s="150" t="n">
        <ns0:f>IF(AND(B389="开局",OR(D389="固定颜色盒",D389="单向收纳盒")),J389,0)</ns0:f>
        <ns0:v>0</ns0:v>
      </ns0:c>
      <ns0:c r="N389" s="150" t="n">
        <ns0:f>IF(AND(B389="开局",OR(D389="数字盖盒",D389="普通冰冻盒",D389="数字冰冻盒",D389="数字冰冻单颗暂存盒")),J389,0)</ns0:f>
        <ns0:v>0</ns0:v>
      </ns0:c>
      <ns0:c r="O389" s="147" t="str">
        <ns0:f>IF(AND(E389&gt;0,E389=INT(E389),G389&gt;=0,G389&lt;=F389,G389=INT(G389),OR(AND(F389=1,OR(D389="单颗暂存盒",D389="数字冰冻单颗暂存盒")),AND(F389=4,NOT(OR(D389="单颗暂存盒",D389="数字冰冻单颗暂存盒")))),IF(OR(D389="数字盖盒",D389="数字冰冻盒",D389="数字冰冻单颗暂存盒"),AND(H389&gt;=1,H389=INT(H389)),H389=0),IF(B389="开局",AND(IF(OR(D389="数字盖盒",D389="普通冰冻盒",D389="数字冰冻盒",D389="炸弹盒",D389="底部置顶盒"),OR(G389=3,G389=4),TRUE),IF(OR(D389="单向收纳盒",D389="单颗暂存盒",D389="数字冰冻单颗暂存盒"),OR(G389=0,G389=1),TRUE),IF(OR(D389="固定颜色盒",D389="广告锁定周转盒"),G389=0,TRUE)),TRUE)),"通过","需调整")</ns0:f>
        <ns0:v>通过</ns0:v>
      </ns0:c>
      <ns0:c r="P389" s="147" t="str">
        <ns0:v>普通盒</ns0:v>
      </ns0:c>
      <ns0:c r="Q389" s="147" t="str">
        <ns0:v>层序JSON:{"reference":"2026-10-12 第61至70关续接设计；自主层序与循环取料节奏","slots":[{"group_id":"W7-063-01","layers":[5,0,8,12]},{"group_id":"W7-063-01","layers":[4,2,8,4]},{"group_id":"W7-063-01","layers":[6,5,3,2]},{"group_id":"W7-063-01","layers":[0,5,4,6]},{"group_id":"W7-063-05","layers":[2,3,0,6]},{"group_id":"W7-063-01","layers":[12,4,2,12]},{"group_id":"W7-063-03","layers":[3,6]},{"group_id":"W7-063-01","layers":[2,3,12,12]},{"group_id":"W7-063-01","layers":[5,3,6,0]},{"group_id":"W7-063-01","layers":[8,0,2,5]},{"group_id":"W7-063-06","layers":[8,12,3,0]},{"group_id":"W7-063-02","layers":[5,6,3]},{"group_id":"W7-063-01","layers":[0,8,3,12]},{"group_id":"W7-063-01","layers":[4,8,4,5]},{"group_id":"W7-063-01","layers":[6,2,4,5]},{"group_id":"W7-063-01","layers":[8,12,0,4]},{"group_id":"W7-063-02","layers":[8,6,2]},{"group_id":"W7-063-04","layers":[]}],"stock":[],"demand_sequences":[[5,2,12,8,3,5,6,2],[6,3,0,4,0,8,4,12]]}</ns0:v>
      </ns0:c>
      <ns0:c r="R389" s="150" t="n">
        <ns0:f>E389*H389</ns0:f>
        <ns0:v>0</ns0:v>
      </ns0:c>
    </ns0:row>
    <ns0:row r="390" ht="21" customHeight="1">
      <ns0:c r="A390" s="149" t="n">
        <ns0:v>63</ns0:v>
      </ns0:c>
      <ns0:c r="B390" s="145" t="str">
        <ns0:v>开局</ns0:v>
      </ns0:c>
      <ns0:c r="C390" s="145" t="str">
        <ns0:v>W7-063-02</ns0:v>
      </ns0:c>
      <ns0:c r="D390" s="145" t="str">
        <ns0:v>普通盒</ns0:v>
      </ns0:c>
      <ns0:c r="E390" s="152" t="n">
        <ns0:v>2</ns0:v>
      </ns0:c>
      <ns0:c r="F390" s="152" t="n">
        <ns0:v>4</ns0:v>
      </ns0:c>
      <ns0:c r="G390" s="152" t="n">
        <ns0:v>3</ns0:v>
      </ns0:c>
      <ns0:c r="H390" s="152" t="n">
        <ns0:v>0</ns0:v>
      </ns0:c>
      <ns0:c r="I390" s="149" t="n">
        <ns0:f>E390*G390</ns0:f>
        <ns0:v>6</ns0:v>
      </ns0:c>
      <ns0:c r="J390" s="149" t="n">
        <ns0:f>E390*(F390-G390)</ns0:f>
        <ns0:v>2</ns0:v>
      </ns0:c>
      <ns0:c r="K390" s="149" t="n">
        <ns0:f>IF(AND(B390="开局",G390=0,OR(D390="普通盒",D390="单颗暂存盒")),J390,0)</ns0:f>
        <ns0:v>0</ns0:v>
      </ns0:c>
      <ns0:c r="L390" s="149" t="n">
        <ns0:f>IF(AND(B390="开局",G390&gt;0,OR(D390="普通盒",D390="底部置顶盒",D390="炸弹盒")),J390,0)</ns0:f>
        <ns0:v>2</ns0:v>
      </ns0:c>
      <ns0:c r="M390" s="149" t="n">
        <ns0:f>IF(AND(B390="开局",OR(D390="固定颜色盒",D390="单向收纳盒")),J390,0)</ns0:f>
        <ns0:v>0</ns0:v>
      </ns0:c>
      <ns0:c r="N390" s="149" t="n">
        <ns0:f>IF(AND(B390="开局",OR(D390="数字盖盒",D390="普通冰冻盒",D390="数字冰冻盒",D390="数字冰冻单颗暂存盒")),J390,0)</ns0:f>
        <ns0:v>0</ns0:v>
      </ns0:c>
      <ns0:c r="O390" s="145" t="str">
        <ns0:f>IF(AND(E390&gt;0,E390=INT(E390),G390&gt;=0,G390&lt;=F390,G390=INT(G390),OR(AND(F390=1,OR(D390="单颗暂存盒",D390="数字冰冻单颗暂存盒")),AND(F390=4,NOT(OR(D390="单颗暂存盒",D390="数字冰冻单颗暂存盒")))),IF(OR(D390="数字盖盒",D390="数字冰冻盒",D390="数字冰冻单颗暂存盒"),AND(H390&gt;=1,H390=INT(H390)),H390=0),IF(B390="开局",AND(IF(OR(D390="数字盖盒",D390="普通冰冻盒",D390="数字冰冻盒",D390="炸弹盒",D390="底部置顶盒"),OR(G390=3,G390=4),TRUE),IF(OR(D390="单向收纳盒",D390="单颗暂存盒",D390="数字冰冻单颗暂存盒"),OR(G390=0,G390=1),TRUE),IF(OR(D390="固定颜色盒",D390="广告锁定周转盒"),G390=0,TRUE)),TRUE)),"通过","需调整")</ns0:f>
        <ns0:v>通过</ns0:v>
      </ns0:c>
      <ns0:c r="P390" s="145" t="str">
        <ns0:v>普通盒</ns0:v>
      </ns0:c>
      <ns0:c r="Q390" s="145" t="str">
        <ns0:v>固定层序见本关首行</ns0:v>
      </ns0:c>
      <ns0:c r="R390" s="149" t="n">
        <ns0:f>E390*H390</ns0:f>
        <ns0:v>0</ns0:v>
      </ns0:c>
    </ns0:row>
    <ns0:row r="391" ht="21" customHeight="1">
      <ns0:c r="A391" s="150" t="n">
        <ns0:v>63</ns0:v>
      </ns0:c>
      <ns0:c r="B391" s="147" t="str">
        <ns0:v>开局</ns0:v>
      </ns0:c>
      <ns0:c r="C391" s="147" t="str">
        <ns0:v>W7-063-03</ns0:v>
      </ns0:c>
      <ns0:c r="D391" s="147" t="str">
        <ns0:v>普通盒</ns0:v>
      </ns0:c>
      <ns0:c r="E391" s="152" t="n">
        <ns0:v>1</ns0:v>
      </ns0:c>
      <ns0:c r="F391" s="152" t="n">
        <ns0:v>4</ns0:v>
      </ns0:c>
      <ns0:c r="G391" s="152" t="n">
        <ns0:v>2</ns0:v>
      </ns0:c>
      <ns0:c r="H391" s="152" t="n">
        <ns0:v>0</ns0:v>
      </ns0:c>
      <ns0:c r="I391" s="150" t="n">
        <ns0:f>E391*G391</ns0:f>
        <ns0:v>2</ns0:v>
      </ns0:c>
      <ns0:c r="J391" s="150" t="n">
        <ns0:f>E391*(F391-G391)</ns0:f>
        <ns0:v>2</ns0:v>
      </ns0:c>
      <ns0:c r="K391" s="150" t="n">
        <ns0:f>IF(AND(B391="开局",G391=0,OR(D391="普通盒",D391="单颗暂存盒")),J391,0)</ns0:f>
        <ns0:v>0</ns0:v>
      </ns0:c>
      <ns0:c r="L391" s="150" t="n">
        <ns0:f>IF(AND(B391="开局",G391&gt;0,OR(D391="普通盒",D391="底部置顶盒",D391="炸弹盒")),J391,0)</ns0:f>
        <ns0:v>2</ns0:v>
      </ns0:c>
      <ns0:c r="M391" s="150" t="n">
        <ns0:f>IF(AND(B391="开局",OR(D391="固定颜色盒",D391="单向收纳盒")),J391,0)</ns0:f>
        <ns0:v>0</ns0:v>
      </ns0:c>
      <ns0:c r="N391" s="150" t="n">
        <ns0:f>IF(AND(B391="开局",OR(D391="数字盖盒",D391="普通冰冻盒",D391="数字冰冻盒",D391="数字冰冻单颗暂存盒")),J391,0)</ns0:f>
        <ns0:v>0</ns0:v>
      </ns0:c>
      <ns0:c r="O391" s="147" t="str">
        <ns0:f>IF(AND(E391&gt;0,E391=INT(E391),G391&gt;=0,G391&lt;=F391,G391=INT(G391),OR(AND(F391=1,OR(D391="单颗暂存盒",D391="数字冰冻单颗暂存盒")),AND(F391=4,NOT(OR(D391="单颗暂存盒",D391="数字冰冻单颗暂存盒")))),IF(OR(D391="数字盖盒",D391="数字冰冻盒",D391="数字冰冻单颗暂存盒"),AND(H391&gt;=1,H391=INT(H391)),H391=0),IF(B391="开局",AND(IF(OR(D391="数字盖盒",D391="普通冰冻盒",D391="数字冰冻盒",D391="炸弹盒",D391="底部置顶盒"),OR(G391=3,G391=4),TRUE),IF(OR(D391="单向收纳盒",D391="单颗暂存盒",D391="数字冰冻单颗暂存盒"),OR(G391=0,G391=1),TRUE),IF(OR(D391="固定颜色盒",D391="广告锁定周转盒"),G391=0,TRUE)),TRUE)),"通过","需调整")</ns0:f>
        <ns0:v>通过</ns0:v>
      </ns0:c>
      <ns0:c r="P391" s="147" t="str">
        <ns0:v>普通盒</ns0:v>
      </ns0:c>
      <ns0:c r="Q391" s="147" t="str">
        <ns0:v>固定层序见本关首行</ns0:v>
      </ns0:c>
      <ns0:c r="R391" s="150" t="n">
        <ns0:f>E391*H391</ns0:f>
        <ns0:v>0</ns0:v>
      </ns0:c>
    </ns0:row>
    <ns0:row r="392" ht="21" customHeight="1">
      <ns0:c r="A392" s="149" t="n">
        <ns0:v>63</ns0:v>
      </ns0:c>
      <ns0:c r="B392" s="145" t="str">
        <ns0:v>开局</ns0:v>
      </ns0:c>
      <ns0:c r="C392" s="145" t="str">
        <ns0:v>W7-063-04</ns0:v>
      </ns0:c>
      <ns0:c r="D392" s="145" t="str">
        <ns0:v>普通盒</ns0:v>
      </ns0:c>
      <ns0:c r="E392" s="152" t="n">
        <ns0:v>1</ns0:v>
      </ns0:c>
      <ns0:c r="F392" s="152" t="n">
        <ns0:v>4</ns0:v>
      </ns0:c>
      <ns0:c r="G392" s="152" t="n">
        <ns0:v>0</ns0:v>
      </ns0:c>
      <ns0:c r="H392" s="152" t="n">
        <ns0:v>0</ns0:v>
      </ns0:c>
      <ns0:c r="I392" s="149" t="n">
        <ns0:f>E392*G392</ns0:f>
        <ns0:v>0</ns0:v>
      </ns0:c>
      <ns0:c r="J392" s="149" t="n">
        <ns0:f>E392*(F392-G392)</ns0:f>
        <ns0:v>4</ns0:v>
      </ns0:c>
      <ns0:c r="K392" s="149" t="n">
        <ns0:f>IF(AND(B392="开局",G392=0,OR(D392="普通盒",D392="单颗暂存盒")),J392,0)</ns0:f>
        <ns0:v>4</ns0:v>
      </ns0:c>
      <ns0:c r="L392" s="149" t="n">
        <ns0:f>IF(AND(B392="开局",G392&gt;0,OR(D392="普通盒",D392="底部置顶盒",D392="炸弹盒")),J392,0)</ns0:f>
        <ns0:v>0</ns0:v>
      </ns0:c>
      <ns0:c r="M392" s="149" t="n">
        <ns0:f>IF(AND(B392="开局",OR(D392="固定颜色盒",D392="单向收纳盒")),J392,0)</ns0:f>
        <ns0:v>0</ns0:v>
      </ns0:c>
      <ns0:c r="N392" s="149" t="n">
        <ns0:f>IF(AND(B392="开局",OR(D392="数字盖盒",D392="普通冰冻盒",D392="数字冰冻盒",D392="数字冰冻单颗暂存盒")),J392,0)</ns0:f>
        <ns0:v>0</ns0:v>
      </ns0:c>
      <ns0:c r="O392" s="145" t="str">
        <ns0:f>IF(AND(E392&gt;0,E392=INT(E392),G392&gt;=0,G392&lt;=F392,G392=INT(G392),OR(AND(F392=1,OR(D392="单颗暂存盒",D392="数字冰冻单颗暂存盒")),AND(F392=4,NOT(OR(D392="单颗暂存盒",D392="数字冰冻单颗暂存盒")))),IF(OR(D392="数字盖盒",D392="数字冰冻盒",D392="数字冰冻单颗暂存盒"),AND(H392&gt;=1,H392=INT(H392)),H392=0),IF(B392="开局",AND(IF(OR(D392="数字盖盒",D392="普通冰冻盒",D392="数字冰冻盒",D392="炸弹盒",D392="底部置顶盒"),OR(G392=3,G392=4),TRUE),IF(OR(D392="单向收纳盒",D392="单颗暂存盒",D392="数字冰冻单颗暂存盒"),OR(G392=0,G392=1),TRUE),IF(OR(D392="固定颜色盒",D392="广告锁定周转盒"),G392=0,TRUE)),TRUE)),"通过","需调整")</ns0:f>
        <ns0:v>通过</ns0:v>
      </ns0:c>
      <ns0:c r="P392" s="145" t="str">
        <ns0:v>普通盒</ns0:v>
      </ns0:c>
      <ns0:c r="Q392" s="145" t="str">
        <ns0:v>固定层序见本关首行</ns0:v>
      </ns0:c>
      <ns0:c r="R392" s="149" t="n">
        <ns0:f>E392*H392</ns0:f>
        <ns0:v>0</ns0:v>
      </ns0:c>
    </ns0:row>
    <ns0:row r="393" ht="21" customHeight="1">
      <ns0:c r="A393" s="150" t="n">
        <ns0:v>63</ns0:v>
      </ns0:c>
      <ns0:c r="B393" s="147" t="str">
        <ns0:v>开局</ns0:v>
      </ns0:c>
      <ns0:c r="C393" s="147" t="str">
        <ns0:v>W7-063-05</ns0:v>
      </ns0:c>
      <ns0:c r="D393" s="147" t="str">
        <ns0:v>底部置顶盒</ns0:v>
      </ns0:c>
      <ns0:c r="E393" s="152" t="n">
        <ns0:v>1</ns0:v>
      </ns0:c>
      <ns0:c r="F393" s="152" t="n">
        <ns0:v>4</ns0:v>
      </ns0:c>
      <ns0:c r="G393" s="152" t="n">
        <ns0:v>4</ns0:v>
      </ns0:c>
      <ns0:c r="H393" s="152" t="n">
        <ns0:v>0</ns0:v>
      </ns0:c>
      <ns0:c r="I393" s="150" t="n">
        <ns0:f>E393*G393</ns0:f>
        <ns0:v>4</ns0:v>
      </ns0:c>
      <ns0:c r="J393" s="150" t="n">
        <ns0:f>E393*(F393-G393)</ns0:f>
        <ns0:v>0</ns0:v>
      </ns0:c>
      <ns0:c r="K393" s="150" t="n">
        <ns0:f>IF(AND(B393="开局",G393=0,OR(D393="普通盒",D393="单颗暂存盒")),J393,0)</ns0:f>
        <ns0:v>0</ns0:v>
      </ns0:c>
      <ns0:c r="L393" s="150" t="n">
        <ns0:f>IF(AND(B393="开局",G393&gt;0,OR(D393="普通盒",D393="底部置顶盒",D393="炸弹盒")),J393,0)</ns0:f>
        <ns0:v>0</ns0:v>
      </ns0:c>
      <ns0:c r="M393" s="150" t="n">
        <ns0:f>IF(AND(B393="开局",OR(D393="固定颜色盒",D393="单向收纳盒")),J393,0)</ns0:f>
        <ns0:v>0</ns0:v>
      </ns0:c>
      <ns0:c r="N393" s="150" t="n">
        <ns0:f>IF(AND(B393="开局",OR(D393="数字盖盒",D393="普通冰冻盒",D393="数字冰冻盒",D393="数字冰冻单颗暂存盒")),J393,0)</ns0:f>
        <ns0:v>0</ns0:v>
      </ns0:c>
      <ns0:c r="O393" s="147" t="str">
        <ns0:f>IF(AND(E393&gt;0,E393=INT(E393),G393&gt;=0,G393&lt;=F393,G393=INT(G393),OR(AND(F393=1,OR(D393="单颗暂存盒",D393="数字冰冻单颗暂存盒")),AND(F393=4,NOT(OR(D393="单颗暂存盒",D393="数字冰冻单颗暂存盒")))),IF(OR(D393="数字盖盒",D393="数字冰冻盒",D393="数字冰冻单颗暂存盒"),AND(H393&gt;=1,H393=INT(H393)),H393=0),IF(B393="开局",AND(IF(OR(D393="数字盖盒",D393="普通冰冻盒",D393="数字冰冻盒",D393="炸弹盒",D393="底部置顶盒"),OR(G393=3,G393=4),TRUE),IF(OR(D393="单向收纳盒",D393="单颗暂存盒",D393="数字冰冻单颗暂存盒"),OR(G393=0,G393=1),TRUE),IF(OR(D393="固定颜色盒",D393="广告锁定周转盒"),G393=0,TRUE)),TRUE)),"通过","需调整")</ns0:f>
        <ns0:v>通过</ns0:v>
      </ns0:c>
      <ns0:c r="P393" s="147" t="str">
        <ns0:v>底部置顶盒</ns0:v>
      </ns0:c>
      <ns0:c r="Q393" s="147" t="str">
        <ns0:v>固定层序见本关首行</ns0:v>
      </ns0:c>
      <ns0:c r="R393" s="150" t="n">
        <ns0:f>E393*H393</ns0:f>
        <ns0:v>0</ns0:v>
      </ns0:c>
    </ns0:row>
    <ns0:row r="394" ht="21" customHeight="1">
      <ns0:c r="A394" s="149" t="n">
        <ns0:v>63</ns0:v>
      </ns0:c>
      <ns0:c r="B394" s="145" t="str">
        <ns0:v>开局</ns0:v>
      </ns0:c>
      <ns0:c r="C394" s="145" t="str">
        <ns0:v>W7-063-06</ns0:v>
      </ns0:c>
      <ns0:c r="D394" s="145" t="str">
        <ns0:v>数字冰冻盒</ns0:v>
      </ns0:c>
      <ns0:c r="E394" s="152" t="n">
        <ns0:v>1</ns0:v>
      </ns0:c>
      <ns0:c r="F394" s="152" t="n">
        <ns0:v>4</ns0:v>
      </ns0:c>
      <ns0:c r="G394" s="152" t="n">
        <ns0:v>4</ns0:v>
      </ns0:c>
      <ns0:c r="H394" s="152" t="n">
        <ns0:v>1</ns0:v>
      </ns0:c>
      <ns0:c r="I394" s="149" t="n">
        <ns0:f>E394*G394</ns0:f>
        <ns0:v>4</ns0:v>
      </ns0:c>
      <ns0:c r="J394" s="149" t="n">
        <ns0:f>E394*(F394-G394)</ns0:f>
        <ns0:v>0</ns0:v>
      </ns0:c>
      <ns0:c r="K394" s="149" t="n">
        <ns0:f>IF(AND(B394="开局",G394=0,OR(D394="普通盒",D394="单颗暂存盒")),J394,0)</ns0:f>
        <ns0:v>0</ns0:v>
      </ns0:c>
      <ns0:c r="L394" s="149" t="n">
        <ns0:f>IF(AND(B394="开局",G394&gt;0,OR(D394="普通盒",D394="底部置顶盒",D394="炸弹盒")),J394,0)</ns0:f>
        <ns0:v>0</ns0:v>
      </ns0:c>
      <ns0:c r="M394" s="149" t="n">
        <ns0:f>IF(AND(B394="开局",OR(D394="固定颜色盒",D394="单向收纳盒")),J394,0)</ns0:f>
        <ns0:v>0</ns0:v>
      </ns0:c>
      <ns0:c r="N394" s="149" t="n">
        <ns0:f>IF(AND(B394="开局",OR(D394="数字盖盒",D394="普通冰冻盒",D394="数字冰冻盒",D394="数字冰冻单颗暂存盒")),J394,0)</ns0:f>
        <ns0:v>0</ns0:v>
      </ns0:c>
      <ns0:c r="O394" s="145" t="str">
        <ns0:f>IF(AND(E394&gt;0,E394=INT(E394),G394&gt;=0,G394&lt;=F394,G394=INT(G394),OR(AND(F394=1,OR(D394="单颗暂存盒",D394="数字冰冻单颗暂存盒")),AND(F394=4,NOT(OR(D394="单颗暂存盒",D394="数字冰冻单颗暂存盒")))),IF(OR(D394="数字盖盒",D394="数字冰冻盒",D394="数字冰冻单颗暂存盒"),AND(H394&gt;=1,H394=INT(H394)),H394=0),IF(B394="开局",AND(IF(OR(D394="数字盖盒",D394="普通冰冻盒",D394="数字冰冻盒",D394="炸弹盒",D394="底部置顶盒"),OR(G394=3,G394=4),TRUE),IF(OR(D394="单向收纳盒",D394="单颗暂存盒",D394="数字冰冻单颗暂存盒"),OR(G394=0,G394=1),TRUE),IF(OR(D394="固定颜色盒",D394="广告锁定周转盒"),G394=0,TRUE)),TRUE)),"通过","需调整")</ns0:f>
        <ns0:v>通过</ns0:v>
      </ns0:c>
      <ns0:c r="P394" s="145" t="str">
        <ns0:v>数字冰冻盒</ns0:v>
      </ns0:c>
      <ns0:c r="Q394" s="145" t="str">
        <ns0:v>固定层序见本关首行</ns0:v>
      </ns0:c>
      <ns0:c r="R394" s="149" t="n">
        <ns0:f>E394*H394</ns0:f>
        <ns0:v>1</ns0:v>
      </ns0:c>
    </ns0:row>
    <ns0:row r="395" ht="21" customHeight="1">
      <ns0:c r="A395" s="150" t="n">
        <ns0:v>63</ns0:v>
      </ns0:c>
      <ns0:c r="B395" s="147" t="str">
        <ns0:v>开局</ns0:v>
      </ns0:c>
      <ns0:c r="C395" s="147" t="str">
        <ns0:v>W7-063-07</ns0:v>
      </ns0:c>
      <ns0:c r="D395" s="147" t="str">
        <ns0:v>广告锁定周转盒</ns0:v>
      </ns0:c>
      <ns0:c r="E395" s="152" t="n">
        <ns0:v>2</ns0:v>
      </ns0:c>
      <ns0:c r="F395" s="152" t="n">
        <ns0:v>4</ns0:v>
      </ns0:c>
      <ns0:c r="G395" s="152" t="n">
        <ns0:v>0</ns0:v>
      </ns0:c>
      <ns0:c r="H395" s="152" t="n">
        <ns0:v>0</ns0:v>
      </ns0:c>
      <ns0:c r="I395" s="150" t="n">
        <ns0:f>E395*G395</ns0:f>
        <ns0:v>0</ns0:v>
      </ns0:c>
      <ns0:c r="J395" s="150" t="n">
        <ns0:f>E395*(F395-G395)</ns0:f>
        <ns0:v>8</ns0:v>
      </ns0:c>
      <ns0:c r="K395" s="150" t="n">
        <ns0:f>IF(AND(B395="开局",G395=0,OR(D395="普通盒",D395="单颗暂存盒")),J395,0)</ns0:f>
        <ns0:v>0</ns0:v>
      </ns0:c>
      <ns0:c r="L395" s="150" t="n">
        <ns0:f>IF(AND(B395="开局",G395&gt;0,OR(D395="普通盒",D395="底部置顶盒",D395="炸弹盒")),J395,0)</ns0:f>
        <ns0:v>0</ns0:v>
      </ns0:c>
      <ns0:c r="M395" s="150" t="n">
        <ns0:f>IF(AND(B395="开局",OR(D395="固定颜色盒",D395="单向收纳盒")),J395,0)</ns0:f>
        <ns0:v>0</ns0:v>
      </ns0:c>
      <ns0:c r="N395" s="150" t="n">
        <ns0:f>IF(AND(B395="开局",OR(D395="数字盖盒",D395="普通冰冻盒",D395="数字冰冻盒",D395="数字冰冻单颗暂存盒")),J395,0)</ns0:f>
        <ns0:v>0</ns0:v>
      </ns0:c>
      <ns0:c r="O395" s="147" t="str">
        <ns0:f>IF(AND(E395&gt;0,E395=INT(E395),G395&gt;=0,G395&lt;=F395,G395=INT(G395),OR(AND(F395=1,OR(D395="单颗暂存盒",D395="数字冰冻单颗暂存盒")),AND(F395=4,NOT(OR(D395="单颗暂存盒",D395="数字冰冻单颗暂存盒")))),IF(OR(D395="数字盖盒",D395="数字冰冻盒",D395="数字冰冻单颗暂存盒"),AND(H395&gt;=1,H395=INT(H395)),H395=0),IF(B395="开局",AND(IF(OR(D395="数字盖盒",D395="普通冰冻盒",D395="数字冰冻盒",D395="炸弹盒",D395="底部置顶盒"),OR(G395=3,G395=4),TRUE),IF(OR(D395="单向收纳盒",D395="单颗暂存盒",D395="数字冰冻单颗暂存盒"),OR(G395=0,G395=1),TRUE),IF(OR(D395="固定颜色盒",D395="广告锁定周转盒"),G395=0,TRUE)),TRUE)),"通过","需调整")</ns0:f>
        <ns0:v>通过</ns0:v>
      </ns0:c>
      <ns0:c r="P395" s="147" t="str">
        <ns0:v>双广告锁位</ns0:v>
      </ns0:c>
      <ns0:c r="Q395" s="147" t="str">
        <ns0:v>固定层序见本关首行</ns0:v>
      </ns0:c>
      <ns0:c r="R395" s="150" t="n">
        <ns0:f>E395*H395</ns0:f>
        <ns0:v>0</ns0:v>
      </ns0:c>
    </ns0:row>
    <ns0:row r="396" ht="21" customHeight="1">
      <ns0:c r="A396" s="149" t="n">
        <ns0:v>64</ns0:v>
      </ns0:c>
      <ns0:c r="B396" s="145" t="str">
        <ns0:v>开局</ns0:v>
      </ns0:c>
      <ns0:c r="C396" s="145" t="str">
        <ns0:v>W7-064-01</ns0:v>
      </ns0:c>
      <ns0:c r="D396" s="145" t="str">
        <ns0:v>普通盒</ns0:v>
      </ns0:c>
      <ns0:c r="E396" s="152" t="n">
        <ns0:v>14</ns0:v>
      </ns0:c>
      <ns0:c r="F396" s="152" t="n">
        <ns0:v>4</ns0:v>
      </ns0:c>
      <ns0:c r="G396" s="152" t="n">
        <ns0:v>4</ns0:v>
      </ns0:c>
      <ns0:c r="H396" s="152" t="n">
        <ns0:v>0</ns0:v>
      </ns0:c>
      <ns0:c r="I396" s="149" t="n">
        <ns0:f>E396*G396</ns0:f>
        <ns0:v>56</ns0:v>
      </ns0:c>
      <ns0:c r="J396" s="149" t="n">
        <ns0:f>E396*(F396-G396)</ns0:f>
        <ns0:v>0</ns0:v>
      </ns0:c>
      <ns0:c r="K396" s="149" t="n">
        <ns0:f>IF(AND(B396="开局",G396=0,OR(D396="普通盒",D396="单颗暂存盒")),J396,0)</ns0:f>
        <ns0:v>0</ns0:v>
      </ns0:c>
      <ns0:c r="L396" s="149" t="n">
        <ns0:f>IF(AND(B396="开局",G396&gt;0,OR(D396="普通盒",D396="底部置顶盒",D396="炸弹盒")),J396,0)</ns0:f>
        <ns0:v>0</ns0:v>
      </ns0:c>
      <ns0:c r="M396" s="149" t="n">
        <ns0:f>IF(AND(B396="开局",OR(D396="固定颜色盒",D396="单向收纳盒")),J396,0)</ns0:f>
        <ns0:v>0</ns0:v>
      </ns0:c>
      <ns0:c r="N396" s="149" t="n">
        <ns0:f>IF(AND(B396="开局",OR(D396="数字盖盒",D396="普通冰冻盒",D396="数字冰冻盒",D396="数字冰冻单颗暂存盒")),J396,0)</ns0:f>
        <ns0:v>0</ns0:v>
      </ns0:c>
      <ns0:c r="O396" s="145" t="str">
        <ns0:f>IF(AND(E396&gt;0,E396=INT(E396),G396&gt;=0,G396&lt;=F396,G396=INT(G396),OR(AND(F396=1,OR(D396="单颗暂存盒",D396="数字冰冻单颗暂存盒")),AND(F396=4,NOT(OR(D396="单颗暂存盒",D396="数字冰冻单颗暂存盒")))),IF(OR(D396="数字盖盒",D396="数字冰冻盒",D396="数字冰冻单颗暂存盒"),AND(H396&gt;=1,H396=INT(H396)),H396=0),IF(B396="开局",AND(IF(OR(D396="数字盖盒",D396="普通冰冻盒",D396="数字冰冻盒",D396="炸弹盒",D396="底部置顶盒"),OR(G396=3,G396=4),TRUE),IF(OR(D396="单向收纳盒",D396="单颗暂存盒",D396="数字冰冻单颗暂存盒"),OR(G396=0,G396=1),TRUE),IF(OR(D396="固定颜色盒",D396="广告锁定周转盒"),G396=0,TRUE)),TRUE)),"通过","需调整")</ns0:f>
        <ns0:v>通过</ns0:v>
      </ns0:c>
      <ns0:c r="P396" s="145" t="str">
        <ns0:v>普通盒</ns0:v>
      </ns0:c>
      <ns0:c r="Q396" s="145" t="str">
        <ns0:v>层序JSON:{"reference":"2026-10-12 第61至70关续接设计；自主层序与循环取料节奏","slots":[{"group_id":"W7-064-01","layers":[2,2,8,0]},{"group_id":"W7-064-01","layers":[3,6,5,2]},{"group_id":"W7-064-01","layers":[6,4,2,3]},{"group_id":"W7-064-01","layers":[0,8,3,4]},{"group_id":"W7-064-01","layers":[3,0,0,2]},{"group_id":"W7-064-01","layers":[3,2,8,8]},{"group_id":"W7-064-03","layers":[2,4,0,6]},{"group_id":"W7-064-01","layers":[5,4,5,8]},{"group_id":"W7-064-01","layers":[8,2,0,0]},{"group_id":"W7-064-01","layers":[0,5,4,6]},{"group_id":"W7-064-01","layers":[8,6,0,5]},{"group_id":"W7-064-01","layers":[5,5,0,2]},{"group_id":"W7-064-01","layers":[0,2,8,4]},{"group_id":"W7-064-01","layers":[6,4,6,6]},{"group_id":"W7-064-01","layers":[3,0,3,5]},{"group_id":"W7-064-02","layers":[]},{"group_id":"W7-064-02","layers":[]}],"stock":[{"group_id":"W7-064-05","layers":[2,2,4,3]}],"demand_sequences":[[2,0,2,4,0,2,6,0],[8,3,5,3,8,6,4,5]]}</ns0:v>
      </ns0:c>
      <ns0:c r="R396" s="149" t="n">
        <ns0:f>E396*H396</ns0:f>
        <ns0:v>0</ns0:v>
      </ns0:c>
    </ns0:row>
    <ns0:row r="397" ht="21" customHeight="1">
      <ns0:c r="A397" s="150" t="n">
        <ns0:v>64</ns0:v>
      </ns0:c>
      <ns0:c r="B397" s="147" t="str">
        <ns0:v>开局</ns0:v>
      </ns0:c>
      <ns0:c r="C397" s="147" t="str">
        <ns0:v>W7-064-02</ns0:v>
      </ns0:c>
      <ns0:c r="D397" s="147" t="str">
        <ns0:v>普通盒</ns0:v>
      </ns0:c>
      <ns0:c r="E397" s="152" t="n">
        <ns0:v>2</ns0:v>
      </ns0:c>
      <ns0:c r="F397" s="152" t="n">
        <ns0:v>4</ns0:v>
      </ns0:c>
      <ns0:c r="G397" s="152" t="n">
        <ns0:v>0</ns0:v>
      </ns0:c>
      <ns0:c r="H397" s="152" t="n">
        <ns0:v>0</ns0:v>
      </ns0:c>
      <ns0:c r="I397" s="150" t="n">
        <ns0:f>E397*G397</ns0:f>
        <ns0:v>0</ns0:v>
      </ns0:c>
      <ns0:c r="J397" s="150" t="n">
        <ns0:f>E397*(F397-G397)</ns0:f>
        <ns0:v>8</ns0:v>
      </ns0:c>
      <ns0:c r="K397" s="150" t="n">
        <ns0:f>IF(AND(B397="开局",G397=0,OR(D397="普通盒",D397="单颗暂存盒")),J397,0)</ns0:f>
        <ns0:v>8</ns0:v>
      </ns0:c>
      <ns0:c r="L397" s="150" t="n">
        <ns0:f>IF(AND(B397="开局",G397&gt;0,OR(D397="普通盒",D397="底部置顶盒",D397="炸弹盒")),J397,0)</ns0:f>
        <ns0:v>0</ns0:v>
      </ns0:c>
      <ns0:c r="M397" s="150" t="n">
        <ns0:f>IF(AND(B397="开局",OR(D397="固定颜色盒",D397="单向收纳盒")),J397,0)</ns0:f>
        <ns0:v>0</ns0:v>
      </ns0:c>
      <ns0:c r="N397" s="150" t="n">
        <ns0:f>IF(AND(B397="开局",OR(D397="数字盖盒",D397="普通冰冻盒",D397="数字冰冻盒",D397="数字冰冻单颗暂存盒")),J397,0)</ns0:f>
        <ns0:v>0</ns0:v>
      </ns0:c>
      <ns0:c r="O397" s="147" t="str">
        <ns0:f>IF(AND(E397&gt;0,E397=INT(E397),G397&gt;=0,G397&lt;=F397,G397=INT(G397),OR(AND(F397=1,OR(D397="单颗暂存盒",D397="数字冰冻单颗暂存盒")),AND(F397=4,NOT(OR(D397="单颗暂存盒",D397="数字冰冻单颗暂存盒")))),IF(OR(D397="数字盖盒",D397="数字冰冻盒",D397="数字冰冻单颗暂存盒"),AND(H397&gt;=1,H397=INT(H397)),H397=0),IF(B397="开局",AND(IF(OR(D397="数字盖盒",D397="普通冰冻盒",D397="数字冰冻盒",D397="炸弹盒",D397="底部置顶盒"),OR(G397=3,G397=4),TRUE),IF(OR(D397="单向收纳盒",D397="单颗暂存盒",D397="数字冰冻单颗暂存盒"),OR(G397=0,G397=1),TRUE),IF(OR(D397="固定颜色盒",D397="广告锁定周转盒"),G397=0,TRUE)),TRUE)),"通过","需调整")</ns0:f>
        <ns0:v>通过</ns0:v>
      </ns0:c>
      <ns0:c r="P397" s="147" t="str">
        <ns0:v>普通盒</ns0:v>
      </ns0:c>
      <ns0:c r="Q397" s="147" t="str">
        <ns0:v>固定层序见本关首行</ns0:v>
      </ns0:c>
      <ns0:c r="R397" s="150" t="n">
        <ns0:f>E397*H397</ns0:f>
        <ns0:v>0</ns0:v>
      </ns0:c>
    </ns0:row>
    <ns0:row r="398" ht="21" customHeight="1">
      <ns0:c r="A398" s="149" t="n">
        <ns0:v>64</ns0:v>
      </ns0:c>
      <ns0:c r="B398" s="145" t="str">
        <ns0:v>开局</ns0:v>
      </ns0:c>
      <ns0:c r="C398" s="145" t="str">
        <ns0:v>W7-064-03</ns0:v>
      </ns0:c>
      <ns0:c r="D398" s="145" t="str">
        <ns0:v>底部置顶盒</ns0:v>
      </ns0:c>
      <ns0:c r="E398" s="152" t="n">
        <ns0:v>1</ns0:v>
      </ns0:c>
      <ns0:c r="F398" s="152" t="n">
        <ns0:v>4</ns0:v>
      </ns0:c>
      <ns0:c r="G398" s="152" t="n">
        <ns0:v>4</ns0:v>
      </ns0:c>
      <ns0:c r="H398" s="152" t="n">
        <ns0:v>0</ns0:v>
      </ns0:c>
      <ns0:c r="I398" s="149" t="n">
        <ns0:f>E398*G398</ns0:f>
        <ns0:v>4</ns0:v>
      </ns0:c>
      <ns0:c r="J398" s="149" t="n">
        <ns0:f>E398*(F398-G398)</ns0:f>
        <ns0:v>0</ns0:v>
      </ns0:c>
      <ns0:c r="K398" s="149" t="n">
        <ns0:f>IF(AND(B398="开局",G398=0,OR(D398="普通盒",D398="单颗暂存盒")),J398,0)</ns0:f>
        <ns0:v>0</ns0:v>
      </ns0:c>
      <ns0:c r="L398" s="149" t="n">
        <ns0:f>IF(AND(B398="开局",G398&gt;0,OR(D398="普通盒",D398="底部置顶盒",D398="炸弹盒")),J398,0)</ns0:f>
        <ns0:v>0</ns0:v>
      </ns0:c>
      <ns0:c r="M398" s="149" t="n">
        <ns0:f>IF(AND(B398="开局",OR(D398="固定颜色盒",D398="单向收纳盒")),J398,0)</ns0:f>
        <ns0:v>0</ns0:v>
      </ns0:c>
      <ns0:c r="N398" s="149" t="n">
        <ns0:f>IF(AND(B398="开局",OR(D398="数字盖盒",D398="普通冰冻盒",D398="数字冰冻盒",D398="数字冰冻单颗暂存盒")),J398,0)</ns0:f>
        <ns0:v>0</ns0:v>
      </ns0:c>
      <ns0:c r="O398" s="145" t="str">
        <ns0:f>IF(AND(E398&gt;0,E398=INT(E398),G398&gt;=0,G398&lt;=F398,G398=INT(G398),OR(AND(F398=1,OR(D398="单颗暂存盒",D398="数字冰冻单颗暂存盒")),AND(F398=4,NOT(OR(D398="单颗暂存盒",D398="数字冰冻单颗暂存盒")))),IF(OR(D398="数字盖盒",D398="数字冰冻盒",D398="数字冰冻单颗暂存盒"),AND(H398&gt;=1,H398=INT(H398)),H398=0),IF(B398="开局",AND(IF(OR(D398="数字盖盒",D398="普通冰冻盒",D398="数字冰冻盒",D398="炸弹盒",D398="底部置顶盒"),OR(G398=3,G398=4),TRUE),IF(OR(D398="单向收纳盒",D398="单颗暂存盒",D398="数字冰冻单颗暂存盒"),OR(G398=0,G398=1),TRUE),IF(OR(D398="固定颜色盒",D398="广告锁定周转盒"),G398=0,TRUE)),TRUE)),"通过","需调整")</ns0:f>
        <ns0:v>通过</ns0:v>
      </ns0:c>
      <ns0:c r="P398" s="145" t="str">
        <ns0:v>底部置顶盒</ns0:v>
      </ns0:c>
      <ns0:c r="Q398" s="145" t="str">
        <ns0:v>固定层序见本关首行</ns0:v>
      </ns0:c>
      <ns0:c r="R398" s="149" t="n">
        <ns0:f>E398*H398</ns0:f>
        <ns0:v>0</ns0:v>
      </ns0:c>
    </ns0:row>
    <ns0:row r="399" ht="21" customHeight="1">
      <ns0:c r="A399" s="150" t="n">
        <ns0:v>64</ns0:v>
      </ns0:c>
      <ns0:c r="B399" s="147" t="str">
        <ns0:v>开局</ns0:v>
      </ns0:c>
      <ns0:c r="C399" s="147" t="str">
        <ns0:v>W7-064-04</ns0:v>
      </ns0:c>
      <ns0:c r="D399" s="147" t="str">
        <ns0:v>广告锁定周转盒</ns0:v>
      </ns0:c>
      <ns0:c r="E399" s="152" t="n">
        <ns0:v>2</ns0:v>
      </ns0:c>
      <ns0:c r="F399" s="152" t="n">
        <ns0:v>4</ns0:v>
      </ns0:c>
      <ns0:c r="G399" s="152" t="n">
        <ns0:v>0</ns0:v>
      </ns0:c>
      <ns0:c r="H399" s="152" t="n">
        <ns0:v>0</ns0:v>
      </ns0:c>
      <ns0:c r="I399" s="150" t="n">
        <ns0:f>E399*G399</ns0:f>
        <ns0:v>0</ns0:v>
      </ns0:c>
      <ns0:c r="J399" s="150" t="n">
        <ns0:f>E399*(F399-G399)</ns0:f>
        <ns0:v>8</ns0:v>
      </ns0:c>
      <ns0:c r="K399" s="150" t="n">
        <ns0:f>IF(AND(B399="开局",G399=0,OR(D399="普通盒",D399="单颗暂存盒")),J399,0)</ns0:f>
        <ns0:v>0</ns0:v>
      </ns0:c>
      <ns0:c r="L399" s="150" t="n">
        <ns0:f>IF(AND(B399="开局",G399&gt;0,OR(D399="普通盒",D399="底部置顶盒",D399="炸弹盒")),J399,0)</ns0:f>
        <ns0:v>0</ns0:v>
      </ns0:c>
      <ns0:c r="M399" s="150" t="n">
        <ns0:f>IF(AND(B399="开局",OR(D399="固定颜色盒",D399="单向收纳盒")),J399,0)</ns0:f>
        <ns0:v>0</ns0:v>
      </ns0:c>
      <ns0:c r="N399" s="150" t="n">
        <ns0:f>IF(AND(B399="开局",OR(D399="数字盖盒",D399="普通冰冻盒",D399="数字冰冻盒",D399="数字冰冻单颗暂存盒")),J399,0)</ns0:f>
        <ns0:v>0</ns0:v>
      </ns0:c>
      <ns0:c r="O399" s="147" t="str">
        <ns0:f>IF(AND(E399&gt;0,E399=INT(E399),G399&gt;=0,G399&lt;=F399,G399=INT(G399),OR(AND(F399=1,OR(D399="单颗暂存盒",D399="数字冰冻单颗暂存盒")),AND(F399=4,NOT(OR(D399="单颗暂存盒",D399="数字冰冻单颗暂存盒")))),IF(OR(D399="数字盖盒",D399="数字冰冻盒",D399="数字冰冻单颗暂存盒"),AND(H399&gt;=1,H399=INT(H399)),H399=0),IF(B399="开局",AND(IF(OR(D399="数字盖盒",D399="普通冰冻盒",D399="数字冰冻盒",D399="炸弹盒",D399="底部置顶盒"),OR(G399=3,G399=4),TRUE),IF(OR(D399="单向收纳盒",D399="单颗暂存盒",D399="数字冰冻单颗暂存盒"),OR(G399=0,G399=1),TRUE),IF(OR(D399="固定颜色盒",D399="广告锁定周转盒"),G399=0,TRUE)),TRUE)),"通过","需调整")</ns0:f>
        <ns0:v>通过</ns0:v>
      </ns0:c>
      <ns0:c r="P399" s="147" t="str">
        <ns0:v>双广告锁位</ns0:v>
      </ns0:c>
      <ns0:c r="Q399" s="147" t="str">
        <ns0:v>固定层序见本关首行</ns0:v>
      </ns0:c>
      <ns0:c r="R399" s="150" t="n">
        <ns0:f>E399*H399</ns0:f>
        <ns0:v>0</ns0:v>
      </ns0:c>
    </ns0:row>
    <ns0:row r="400" ht="21" customHeight="1">
      <ns0:c r="A400" s="149" t="n">
        <ns0:v>64</ns0:v>
      </ns0:c>
      <ns0:c r="B400" s="145" t="str">
        <ns0:v>备货</ns0:v>
      </ns0:c>
      <ns0:c r="C400" s="145" t="str">
        <ns0:v>W7-064-05</ns0:v>
      </ns0:c>
      <ns0:c r="D400" s="145" t="str">
        <ns0:v>普通盒</ns0:v>
      </ns0:c>
      <ns0:c r="E400" s="152" t="n">
        <ns0:v>1</ns0:v>
      </ns0:c>
      <ns0:c r="F400" s="152" t="n">
        <ns0:v>4</ns0:v>
      </ns0:c>
      <ns0:c r="G400" s="152" t="n">
        <ns0:v>4</ns0:v>
      </ns0:c>
      <ns0:c r="H400" s="152" t="n">
        <ns0:v>0</ns0:v>
      </ns0:c>
      <ns0:c r="I400" s="149" t="n">
        <ns0:f>E400*G400</ns0:f>
        <ns0:v>4</ns0:v>
      </ns0:c>
      <ns0:c r="J400" s="149" t="n">
        <ns0:f>E400*(F400-G400)</ns0:f>
        <ns0:v>0</ns0:v>
      </ns0:c>
      <ns0:c r="K400" s="149" t="n">
        <ns0:f>IF(AND(B400="开局",G400=0,OR(D400="普通盒",D400="单颗暂存盒")),J400,0)</ns0:f>
        <ns0:v>0</ns0:v>
      </ns0:c>
      <ns0:c r="L400" s="149" t="n">
        <ns0:f>IF(AND(B400="开局",G400&gt;0,OR(D400="普通盒",D400="底部置顶盒",D400="炸弹盒")),J400,0)</ns0:f>
        <ns0:v>0</ns0:v>
      </ns0:c>
      <ns0:c r="M400" s="149" t="n">
        <ns0:f>IF(AND(B400="开局",OR(D400="固定颜色盒",D400="单向收纳盒")),J400,0)</ns0:f>
        <ns0:v>0</ns0:v>
      </ns0:c>
      <ns0:c r="N400" s="149" t="n">
        <ns0:f>IF(AND(B400="开局",OR(D400="数字盖盒",D400="普通冰冻盒",D400="数字冰冻盒",D400="数字冰冻单颗暂存盒")),J400,0)</ns0:f>
        <ns0:v>0</ns0:v>
      </ns0:c>
      <ns0:c r="O400" s="145" t="str">
        <ns0:f>IF(AND(E400&gt;0,E400=INT(E400),G400&gt;=0,G400&lt;=F400,G400=INT(G400),OR(AND(F400=1,OR(D400="单颗暂存盒",D400="数字冰冻单颗暂存盒")),AND(F400=4,NOT(OR(D400="单颗暂存盒",D400="数字冰冻单颗暂存盒")))),IF(OR(D400="数字盖盒",D400="数字冰冻盒",D400="数字冰冻单颗暂存盒"),AND(H400&gt;=1,H400=INT(H400)),H400=0),IF(B400="开局",AND(IF(OR(D400="数字盖盒",D400="普通冰冻盒",D400="数字冰冻盒",D400="炸弹盒",D400="底部置顶盒"),OR(G400=3,G400=4),TRUE),IF(OR(D400="单向收纳盒",D400="单颗暂存盒",D400="数字冰冻单颗暂存盒"),OR(G400=0,G400=1),TRUE),IF(OR(D400="固定颜色盒",D400="广告锁定周转盒"),G400=0,TRUE)),TRUE)),"通过","需调整")</ns0:f>
        <ns0:v>通过</ns0:v>
      </ns0:c>
      <ns0:c r="P400" s="145" t="str">
        <ns0:v>连续侧边补货</ns0:v>
      </ns0:c>
      <ns0:c r="Q400" s="145" t="str">
        <ns0:v>固定层序见本关首行</ns0:v>
      </ns0:c>
      <ns0:c r="R400" s="149" t="n">
        <ns0:f>E400*H400</ns0:f>
        <ns0:v>0</ns0:v>
      </ns0:c>
    </ns0:row>
    <ns0:row r="401" ht="21" customHeight="1">
      <ns0:c r="A401" s="150" t="n">
        <ns0:v>65</ns0:v>
      </ns0:c>
      <ns0:c r="B401" s="147" t="str">
        <ns0:v>开局</ns0:v>
      </ns0:c>
      <ns0:c r="C401" s="147" t="str">
        <ns0:v>W7-065-01</ns0:v>
      </ns0:c>
      <ns0:c r="D401" s="147" t="str">
        <ns0:v>普通盒</ns0:v>
      </ns0:c>
      <ns0:c r="E401" s="152" t="n">
        <ns0:v>13</ns0:v>
      </ns0:c>
      <ns0:c r="F401" s="152" t="n">
        <ns0:v>4</ns0:v>
      </ns0:c>
      <ns0:c r="G401" s="152" t="n">
        <ns0:v>4</ns0:v>
      </ns0:c>
      <ns0:c r="H401" s="152" t="n">
        <ns0:v>0</ns0:v>
      </ns0:c>
      <ns0:c r="I401" s="150" t="n">
        <ns0:f>E401*G401</ns0:f>
        <ns0:v>52</ns0:v>
      </ns0:c>
      <ns0:c r="J401" s="150" t="n">
        <ns0:f>E401*(F401-G401)</ns0:f>
        <ns0:v>0</ns0:v>
      </ns0:c>
      <ns0:c r="K401" s="150" t="n">
        <ns0:f>IF(AND(B401="开局",G401=0,OR(D401="普通盒",D401="单颗暂存盒")),J401,0)</ns0:f>
        <ns0:v>0</ns0:v>
      </ns0:c>
      <ns0:c r="L401" s="150" t="n">
        <ns0:f>IF(AND(B401="开局",G401&gt;0,OR(D401="普通盒",D401="底部置顶盒",D401="炸弹盒")),J401,0)</ns0:f>
        <ns0:v>0</ns0:v>
      </ns0:c>
      <ns0:c r="M401" s="150" t="n">
        <ns0:f>IF(AND(B401="开局",OR(D401="固定颜色盒",D401="单向收纳盒")),J401,0)</ns0:f>
        <ns0:v>0</ns0:v>
      </ns0:c>
      <ns0:c r="N401" s="150" t="n">
        <ns0:f>IF(AND(B401="开局",OR(D401="数字盖盒",D401="普通冰冻盒",D401="数字冰冻盒",D401="数字冰冻单颗暂存盒")),J401,0)</ns0:f>
        <ns0:v>0</ns0:v>
      </ns0:c>
      <ns0:c r="O401" s="147" t="str">
        <ns0:f>IF(AND(E401&gt;0,E401=INT(E401),G401&gt;=0,G401&lt;=F401,G401=INT(G401),OR(AND(F401=1,OR(D401="单颗暂存盒",D401="数字冰冻单颗暂存盒")),AND(F401=4,NOT(OR(D401="单颗暂存盒",D401="数字冰冻单颗暂存盒")))),IF(OR(D401="数字盖盒",D401="数字冰冻盒",D401="数字冰冻单颗暂存盒"),AND(H401&gt;=1,H401=INT(H401)),H401=0),IF(B401="开局",AND(IF(OR(D401="数字盖盒",D401="普通冰冻盒",D401="数字冰冻盒",D401="炸弹盒",D401="底部置顶盒"),OR(G401=3,G401=4),TRUE),IF(OR(D401="单向收纳盒",D401="单颗暂存盒",D401="数字冰冻单颗暂存盒"),OR(G401=0,G401=1),TRUE),IF(OR(D401="固定颜色盒",D401="广告锁定周转盒"),G401=0,TRUE)),TRUE)),"通过","需调整")</ns0:f>
        <ns0:v>通过</ns0:v>
      </ns0:c>
      <ns0:c r="P401" s="147" t="str">
        <ns0:v>普通盒</ns0:v>
      </ns0:c>
      <ns0:c r="Q401" s="147" t="str">
        <ns0:v>层序JSON:{"reference":"2026-10-12 第61至70关续接设计；自主层序与循环取料节奏","slots":[{"group_id":"W7-065-01","layers":[4,4,2,12]},{"group_id":"W7-065-01","layers":[2,2,5,12]},{"group_id":"W7-065-01","layers":[6,0,5,5]},{"group_id":"W7-065-01","layers":[6,5,2,2]},{"group_id":"W7-065-02","layers":[6,0,0]},{"group_id":"W7-065-04","layers":[12,6,4,3]},{"group_id":"W7-065-03","layers":[3,0]},{"group_id":"W7-065-01","layers":[2,6,8,6]},{"group_id":"W7-065-01","layers":[12,3,4,0]},{"group_id":"W7-065-03","layers":[6,5]},{"group_id":"W7-065-01","layers":[6,8,0,4]},{"group_id":"W7-065-01","layers":[4,3,3,8]},{"group_id":"W7-065-01","layers":[2,5,3,4]},{"group_id":"W7-065-01","layers":[5,0,3,0]},{"group_id":"W7-065-01","layers":[12,12,8,3]},{"group_id":"W7-065-01","layers":[8,12,5,12]},{"group_id":"W7-065-01","layers":[8,2,8,4]},{"group_id":"W7-065-05","layers":[8]}],"stock":[],"demand_sequences":[[8,2,4,12,2,5,3,8],[5,0,6,6,3,12,0,4]]}</ns0:v>
      </ns0:c>
      <ns0:c r="R401" s="150" t="n">
        <ns0:f>E401*H401</ns0:f>
        <ns0:v>0</ns0:v>
      </ns0:c>
    </ns0:row>
    <ns0:row r="402" ht="21" customHeight="1">
      <ns0:c r="A402" s="149" t="n">
        <ns0:v>65</ns0:v>
      </ns0:c>
      <ns0:c r="B402" s="145" t="str">
        <ns0:v>开局</ns0:v>
      </ns0:c>
      <ns0:c r="C402" s="145" t="str">
        <ns0:v>W7-065-02</ns0:v>
      </ns0:c>
      <ns0:c r="D402" s="145" t="str">
        <ns0:v>普通盒</ns0:v>
      </ns0:c>
      <ns0:c r="E402" s="152" t="n">
        <ns0:v>1</ns0:v>
      </ns0:c>
      <ns0:c r="F402" s="152" t="n">
        <ns0:v>4</ns0:v>
      </ns0:c>
      <ns0:c r="G402" s="152" t="n">
        <ns0:v>3</ns0:v>
      </ns0:c>
      <ns0:c r="H402" s="152" t="n">
        <ns0:v>0</ns0:v>
      </ns0:c>
      <ns0:c r="I402" s="149" t="n">
        <ns0:f>E402*G402</ns0:f>
        <ns0:v>3</ns0:v>
      </ns0:c>
      <ns0:c r="J402" s="149" t="n">
        <ns0:f>E402*(F402-G402)</ns0:f>
        <ns0:v>1</ns0:v>
      </ns0:c>
      <ns0:c r="K402" s="149" t="n">
        <ns0:f>IF(AND(B402="开局",G402=0,OR(D402="普通盒",D402="单颗暂存盒")),J402,0)</ns0:f>
        <ns0:v>0</ns0:v>
      </ns0:c>
      <ns0:c r="L402" s="149" t="n">
        <ns0:f>IF(AND(B402="开局",G402&gt;0,OR(D402="普通盒",D402="底部置顶盒",D402="炸弹盒")),J402,0)</ns0:f>
        <ns0:v>1</ns0:v>
      </ns0:c>
      <ns0:c r="M402" s="149" t="n">
        <ns0:f>IF(AND(B402="开局",OR(D402="固定颜色盒",D402="单向收纳盒")),J402,0)</ns0:f>
        <ns0:v>0</ns0:v>
      </ns0:c>
      <ns0:c r="N402" s="149" t="n">
        <ns0:f>IF(AND(B402="开局",OR(D402="数字盖盒",D402="普通冰冻盒",D402="数字冰冻盒",D402="数字冰冻单颗暂存盒")),J402,0)</ns0:f>
        <ns0:v>0</ns0:v>
      </ns0:c>
      <ns0:c r="O402" s="145" t="str">
        <ns0:f>IF(AND(E402&gt;0,E402=INT(E402),G402&gt;=0,G402&lt;=F402,G402=INT(G402),OR(AND(F402=1,OR(D402="单颗暂存盒",D402="数字冰冻单颗暂存盒")),AND(F402=4,NOT(OR(D402="单颗暂存盒",D402="数字冰冻单颗暂存盒")))),IF(OR(D402="数字盖盒",D402="数字冰冻盒",D402="数字冰冻单颗暂存盒"),AND(H402&gt;=1,H402=INT(H402)),H402=0),IF(B402="开局",AND(IF(OR(D402="数字盖盒",D402="普通冰冻盒",D402="数字冰冻盒",D402="炸弹盒",D402="底部置顶盒"),OR(G402=3,G402=4),TRUE),IF(OR(D402="单向收纳盒",D402="单颗暂存盒",D402="数字冰冻单颗暂存盒"),OR(G402=0,G402=1),TRUE),IF(OR(D402="固定颜色盒",D402="广告锁定周转盒"),G402=0,TRUE)),TRUE)),"通过","需调整")</ns0:f>
        <ns0:v>通过</ns0:v>
      </ns0:c>
      <ns0:c r="P402" s="145" t="str">
        <ns0:v>普通盒</ns0:v>
      </ns0:c>
      <ns0:c r="Q402" s="145" t="str">
        <ns0:v>固定层序见本关首行</ns0:v>
      </ns0:c>
      <ns0:c r="R402" s="149" t="n">
        <ns0:f>E402*H402</ns0:f>
        <ns0:v>0</ns0:v>
      </ns0:c>
    </ns0:row>
    <ns0:row r="403" ht="21" customHeight="1">
      <ns0:c r="A403" s="150" t="n">
        <ns0:v>65</ns0:v>
      </ns0:c>
      <ns0:c r="B403" s="147" t="str">
        <ns0:v>开局</ns0:v>
      </ns0:c>
      <ns0:c r="C403" s="147" t="str">
        <ns0:v>W7-065-03</ns0:v>
      </ns0:c>
      <ns0:c r="D403" s="147" t="str">
        <ns0:v>普通盒</ns0:v>
      </ns0:c>
      <ns0:c r="E403" s="152" t="n">
        <ns0:v>2</ns0:v>
      </ns0:c>
      <ns0:c r="F403" s="152" t="n">
        <ns0:v>4</ns0:v>
      </ns0:c>
      <ns0:c r="G403" s="152" t="n">
        <ns0:v>2</ns0:v>
      </ns0:c>
      <ns0:c r="H403" s="152" t="n">
        <ns0:v>0</ns0:v>
      </ns0:c>
      <ns0:c r="I403" s="150" t="n">
        <ns0:f>E403*G403</ns0:f>
        <ns0:v>4</ns0:v>
      </ns0:c>
      <ns0:c r="J403" s="150" t="n">
        <ns0:f>E403*(F403-G403)</ns0:f>
        <ns0:v>4</ns0:v>
      </ns0:c>
      <ns0:c r="K403" s="150" t="n">
        <ns0:f>IF(AND(B403="开局",G403=0,OR(D403="普通盒",D403="单颗暂存盒")),J403,0)</ns0:f>
        <ns0:v>0</ns0:v>
      </ns0:c>
      <ns0:c r="L403" s="150" t="n">
        <ns0:f>IF(AND(B403="开局",G403&gt;0,OR(D403="普通盒",D403="底部置顶盒",D403="炸弹盒")),J403,0)</ns0:f>
        <ns0:v>4</ns0:v>
      </ns0:c>
      <ns0:c r="M403" s="150" t="n">
        <ns0:f>IF(AND(B403="开局",OR(D403="固定颜色盒",D403="单向收纳盒")),J403,0)</ns0:f>
        <ns0:v>0</ns0:v>
      </ns0:c>
      <ns0:c r="N403" s="150" t="n">
        <ns0:f>IF(AND(B403="开局",OR(D403="数字盖盒",D403="普通冰冻盒",D403="数字冰冻盒",D403="数字冰冻单颗暂存盒")),J403,0)</ns0:f>
        <ns0:v>0</ns0:v>
      </ns0:c>
      <ns0:c r="O403" s="147" t="str">
        <ns0:f>IF(AND(E403&gt;0,E403=INT(E403),G403&gt;=0,G403&lt;=F403,G403=INT(G403),OR(AND(F403=1,OR(D403="单颗暂存盒",D403="数字冰冻单颗暂存盒")),AND(F403=4,NOT(OR(D403="单颗暂存盒",D403="数字冰冻单颗暂存盒")))),IF(OR(D403="数字盖盒",D403="数字冰冻盒",D403="数字冰冻单颗暂存盒"),AND(H403&gt;=1,H403=INT(H403)),H403=0),IF(B403="开局",AND(IF(OR(D403="数字盖盒",D403="普通冰冻盒",D403="数字冰冻盒",D403="炸弹盒",D403="底部置顶盒"),OR(G403=3,G403=4),TRUE),IF(OR(D403="单向收纳盒",D403="单颗暂存盒",D403="数字冰冻单颗暂存盒"),OR(G403=0,G403=1),TRUE),IF(OR(D403="固定颜色盒",D403="广告锁定周转盒"),G403=0,TRUE)),TRUE)),"通过","需调整")</ns0:f>
        <ns0:v>通过</ns0:v>
      </ns0:c>
      <ns0:c r="P403" s="147" t="str">
        <ns0:v>普通盒</ns0:v>
      </ns0:c>
      <ns0:c r="Q403" s="147" t="str">
        <ns0:v>固定层序见本关首行</ns0:v>
      </ns0:c>
      <ns0:c r="R403" s="150" t="n">
        <ns0:f>E403*H403</ns0:f>
        <ns0:v>0</ns0:v>
      </ns0:c>
    </ns0:row>
    <ns0:row r="404" ht="21" customHeight="1">
      <ns0:c r="A404" s="149" t="n">
        <ns0:v>65</ns0:v>
      </ns0:c>
      <ns0:c r="B404" s="145" t="str">
        <ns0:v>开局</ns0:v>
      </ns0:c>
      <ns0:c r="C404" s="145" t="str">
        <ns0:v>W7-065-04</ns0:v>
      </ns0:c>
      <ns0:c r="D404" s="145" t="str">
        <ns0:v>底部置顶盒</ns0:v>
      </ns0:c>
      <ns0:c r="E404" s="152" t="n">
        <ns0:v>1</ns0:v>
      </ns0:c>
      <ns0:c r="F404" s="152" t="n">
        <ns0:v>4</ns0:v>
      </ns0:c>
      <ns0:c r="G404" s="152" t="n">
        <ns0:v>4</ns0:v>
      </ns0:c>
      <ns0:c r="H404" s="152" t="n">
        <ns0:v>0</ns0:v>
      </ns0:c>
      <ns0:c r="I404" s="149" t="n">
        <ns0:f>E404*G404</ns0:f>
        <ns0:v>4</ns0:v>
      </ns0:c>
      <ns0:c r="J404" s="149" t="n">
        <ns0:f>E404*(F404-G404)</ns0:f>
        <ns0:v>0</ns0:v>
      </ns0:c>
      <ns0:c r="K404" s="149" t="n">
        <ns0:f>IF(AND(B404="开局",G404=0,OR(D404="普通盒",D404="单颗暂存盒")),J404,0)</ns0:f>
        <ns0:v>0</ns0:v>
      </ns0:c>
      <ns0:c r="L404" s="149" t="n">
        <ns0:f>IF(AND(B404="开局",G404&gt;0,OR(D404="普通盒",D404="底部置顶盒",D404="炸弹盒")),J404,0)</ns0:f>
        <ns0:v>0</ns0:v>
      </ns0:c>
      <ns0:c r="M404" s="149" t="n">
        <ns0:f>IF(AND(B404="开局",OR(D404="固定颜色盒",D404="单向收纳盒")),J404,0)</ns0:f>
        <ns0:v>0</ns0:v>
      </ns0:c>
      <ns0:c r="N404" s="149" t="n">
        <ns0:f>IF(AND(B404="开局",OR(D404="数字盖盒",D404="普通冰冻盒",D404="数字冰冻盒",D404="数字冰冻单颗暂存盒")),J404,0)</ns0:f>
        <ns0:v>0</ns0:v>
      </ns0:c>
      <ns0:c r="O404" s="145" t="str">
        <ns0:f>IF(AND(E404&gt;0,E404=INT(E404),G404&gt;=0,G404&lt;=F404,G404=INT(G404),OR(AND(F404=1,OR(D404="单颗暂存盒",D404="数字冰冻单颗暂存盒")),AND(F404=4,NOT(OR(D404="单颗暂存盒",D404="数字冰冻单颗暂存盒")))),IF(OR(D404="数字盖盒",D404="数字冰冻盒",D404="数字冰冻单颗暂存盒"),AND(H404&gt;=1,H404=INT(H404)),H404=0),IF(B404="开局",AND(IF(OR(D404="数字盖盒",D404="普通冰冻盒",D404="数字冰冻盒",D404="炸弹盒",D404="底部置顶盒"),OR(G404=3,G404=4),TRUE),IF(OR(D404="单向收纳盒",D404="单颗暂存盒",D404="数字冰冻单颗暂存盒"),OR(G404=0,G404=1),TRUE),IF(OR(D404="固定颜色盒",D404="广告锁定周转盒"),G404=0,TRUE)),TRUE)),"通过","需调整")</ns0:f>
        <ns0:v>通过</ns0:v>
      </ns0:c>
      <ns0:c r="P404" s="145" t="str">
        <ns0:v>底部置顶盒</ns0:v>
      </ns0:c>
      <ns0:c r="Q404" s="145" t="str">
        <ns0:v>固定层序见本关首行</ns0:v>
      </ns0:c>
      <ns0:c r="R404" s="149" t="n">
        <ns0:f>E404*H404</ns0:f>
        <ns0:v>0</ns0:v>
      </ns0:c>
    </ns0:row>
    <ns0:row r="405" ht="21" customHeight="1">
      <ns0:c r="A405" s="150" t="n">
        <ns0:v>65</ns0:v>
      </ns0:c>
      <ns0:c r="B405" s="147" t="str">
        <ns0:v>开局</ns0:v>
      </ns0:c>
      <ns0:c r="C405" s="147" t="str">
        <ns0:v>W7-065-05</ns0:v>
      </ns0:c>
      <ns0:c r="D405" s="147" t="str">
        <ns0:v>单向收纳盒</ns0:v>
      </ns0:c>
      <ns0:c r="E405" s="152" t="n">
        <ns0:v>1</ns0:v>
      </ns0:c>
      <ns0:c r="F405" s="152" t="n">
        <ns0:v>4</ns0:v>
      </ns0:c>
      <ns0:c r="G405" s="152" t="n">
        <ns0:v>1</ns0:v>
      </ns0:c>
      <ns0:c r="H405" s="152" t="n">
        <ns0:v>0</ns0:v>
      </ns0:c>
      <ns0:c r="I405" s="150" t="n">
        <ns0:f>E405*G405</ns0:f>
        <ns0:v>1</ns0:v>
      </ns0:c>
      <ns0:c r="J405" s="150" t="n">
        <ns0:f>E405*(F405-G405)</ns0:f>
        <ns0:v>3</ns0:v>
      </ns0:c>
      <ns0:c r="K405" s="150" t="n">
        <ns0:f>IF(AND(B405="开局",G405=0,OR(D405="普通盒",D405="单颗暂存盒")),J405,0)</ns0:f>
        <ns0:v>0</ns0:v>
      </ns0:c>
      <ns0:c r="L405" s="150" t="n">
        <ns0:f>IF(AND(B405="开局",G405&gt;0,OR(D405="普通盒",D405="底部置顶盒",D405="炸弹盒")),J405,0)</ns0:f>
        <ns0:v>0</ns0:v>
      </ns0:c>
      <ns0:c r="M405" s="150" t="n">
        <ns0:f>IF(AND(B405="开局",OR(D405="固定颜色盒",D405="单向收纳盒")),J405,0)</ns0:f>
        <ns0:v>3</ns0:v>
      </ns0:c>
      <ns0:c r="N405" s="150" t="n">
        <ns0:f>IF(AND(B405="开局",OR(D405="数字盖盒",D405="普通冰冻盒",D405="数字冰冻盒",D405="数字冰冻单颗暂存盒")),J405,0)</ns0:f>
        <ns0:v>0</ns0:v>
      </ns0:c>
      <ns0:c r="O405" s="147" t="str">
        <ns0:f>IF(AND(E405&gt;0,E405=INT(E405),G405&gt;=0,G405&lt;=F405,G405=INT(G405),OR(AND(F405=1,OR(D405="单颗暂存盒",D405="数字冰冻单颗暂存盒")),AND(F405=4,NOT(OR(D405="单颗暂存盒",D405="数字冰冻单颗暂存盒")))),IF(OR(D405="数字盖盒",D405="数字冰冻盒",D405="数字冰冻单颗暂存盒"),AND(H405&gt;=1,H405=INT(H405)),H405=0),IF(B405="开局",AND(IF(OR(D405="数字盖盒",D405="普通冰冻盒",D405="数字冰冻盒",D405="炸弹盒",D405="底部置顶盒"),OR(G405=3,G405=4),TRUE),IF(OR(D405="单向收纳盒",D405="单颗暂存盒",D405="数字冰冻单颗暂存盒"),OR(G405=0,G405=1),TRUE),IF(OR(D405="固定颜色盒",D405="广告锁定周转盒"),G405=0,TRUE)),TRUE)),"通过","需调整")</ns0:f>
        <ns0:v>通过</ns0:v>
      </ns0:c>
      <ns0:c r="P405" s="147" t="str">
        <ns0:v>单向收纳盒</ns0:v>
      </ns0:c>
      <ns0:c r="Q405" s="147" t="str">
        <ns0:v>固定层序见本关首行</ns0:v>
      </ns0:c>
      <ns0:c r="R405" s="150" t="n">
        <ns0:f>E405*H405</ns0:f>
        <ns0:v>0</ns0:v>
      </ns0:c>
    </ns0:row>
    <ns0:row r="406" ht="21" customHeight="1">
      <ns0:c r="A406" s="149" t="n">
        <ns0:v>65</ns0:v>
      </ns0:c>
      <ns0:c r="B406" s="145" t="str">
        <ns0:v>开局</ns0:v>
      </ns0:c>
      <ns0:c r="C406" s="145" t="str">
        <ns0:v>W7-065-06</ns0:v>
      </ns0:c>
      <ns0:c r="D406" s="145" t="str">
        <ns0:v>广告锁定周转盒</ns0:v>
      </ns0:c>
      <ns0:c r="E406" s="152" t="n">
        <ns0:v>2</ns0:v>
      </ns0:c>
      <ns0:c r="F406" s="152" t="n">
        <ns0:v>4</ns0:v>
      </ns0:c>
      <ns0:c r="G406" s="152" t="n">
        <ns0:v>0</ns0:v>
      </ns0:c>
      <ns0:c r="H406" s="152" t="n">
        <ns0:v>0</ns0:v>
      </ns0:c>
      <ns0:c r="I406" s="149" t="n">
        <ns0:f>E406*G406</ns0:f>
        <ns0:v>0</ns0:v>
      </ns0:c>
      <ns0:c r="J406" s="149" t="n">
        <ns0:f>E406*(F406-G406)</ns0:f>
        <ns0:v>8</ns0:v>
      </ns0:c>
      <ns0:c r="K406" s="149" t="n">
        <ns0:f>IF(AND(B406="开局",G406=0,OR(D406="普通盒",D406="单颗暂存盒")),J406,0)</ns0:f>
        <ns0:v>0</ns0:v>
      </ns0:c>
      <ns0:c r="L406" s="149" t="n">
        <ns0:f>IF(AND(B406="开局",G406&gt;0,OR(D406="普通盒",D406="底部置顶盒",D406="炸弹盒")),J406,0)</ns0:f>
        <ns0:v>0</ns0:v>
      </ns0:c>
      <ns0:c r="M406" s="149" t="n">
        <ns0:f>IF(AND(B406="开局",OR(D406="固定颜色盒",D406="单向收纳盒")),J406,0)</ns0:f>
        <ns0:v>0</ns0:v>
      </ns0:c>
      <ns0:c r="N406" s="149" t="n">
        <ns0:f>IF(AND(B406="开局",OR(D406="数字盖盒",D406="普通冰冻盒",D406="数字冰冻盒",D406="数字冰冻单颗暂存盒")),J406,0)</ns0:f>
        <ns0:v>0</ns0:v>
      </ns0:c>
      <ns0:c r="O406" s="145" t="str">
        <ns0:f>IF(AND(E406&gt;0,E406=INT(E406),G406&gt;=0,G406&lt;=F406,G406=INT(G406),OR(AND(F406=1,OR(D406="单颗暂存盒",D406="数字冰冻单颗暂存盒")),AND(F406=4,NOT(OR(D406="单颗暂存盒",D406="数字冰冻单颗暂存盒")))),IF(OR(D406="数字盖盒",D406="数字冰冻盒",D406="数字冰冻单颗暂存盒"),AND(H406&gt;=1,H406=INT(H406)),H406=0),IF(B406="开局",AND(IF(OR(D406="数字盖盒",D406="普通冰冻盒",D406="数字冰冻盒",D406="炸弹盒",D406="底部置顶盒"),OR(G406=3,G406=4),TRUE),IF(OR(D406="单向收纳盒",D406="单颗暂存盒",D406="数字冰冻单颗暂存盒"),OR(G406=0,G406=1),TRUE),IF(OR(D406="固定颜色盒",D406="广告锁定周转盒"),G406=0,TRUE)),TRUE)),"通过","需调整")</ns0:f>
        <ns0:v>通过</ns0:v>
      </ns0:c>
      <ns0:c r="P406" s="145" t="str">
        <ns0:v>双广告锁位</ns0:v>
      </ns0:c>
      <ns0:c r="Q406" s="145" t="str">
        <ns0:v>固定层序见本关首行</ns0:v>
      </ns0:c>
      <ns0:c r="R406" s="149" t="n">
        <ns0:f>E406*H406</ns0:f>
        <ns0:v>0</ns0:v>
      </ns0:c>
    </ns0:row>
    <ns0:row r="407" ht="21" customHeight="1">
      <ns0:c r="A407" s="150" t="n">
        <ns0:v>66</ns0:v>
      </ns0:c>
      <ns0:c r="B407" s="147" t="str">
        <ns0:v>开局</ns0:v>
      </ns0:c>
      <ns0:c r="C407" s="147" t="str">
        <ns0:v>W7-066-01</ns0:v>
      </ns0:c>
      <ns0:c r="D407" s="147" t="str">
        <ns0:v>普通盒</ns0:v>
      </ns0:c>
      <ns0:c r="E407" s="152" t="n">
        <ns0:v>12</ns0:v>
      </ns0:c>
      <ns0:c r="F407" s="152" t="n">
        <ns0:v>4</ns0:v>
      </ns0:c>
      <ns0:c r="G407" s="152" t="n">
        <ns0:v>4</ns0:v>
      </ns0:c>
      <ns0:c r="H407" s="152" t="n">
        <ns0:v>0</ns0:v>
      </ns0:c>
      <ns0:c r="I407" s="150" t="n">
        <ns0:f>E407*G407</ns0:f>
        <ns0:v>48</ns0:v>
      </ns0:c>
      <ns0:c r="J407" s="150" t="n">
        <ns0:f>E407*(F407-G407)</ns0:f>
        <ns0:v>0</ns0:v>
      </ns0:c>
      <ns0:c r="K407" s="150" t="n">
        <ns0:f>IF(AND(B407="开局",G407=0,OR(D407="普通盒",D407="单颗暂存盒")),J407,0)</ns0:f>
        <ns0:v>0</ns0:v>
      </ns0:c>
      <ns0:c r="L407" s="150" t="n">
        <ns0:f>IF(AND(B407="开局",G407&gt;0,OR(D407="普通盒",D407="底部置顶盒",D407="炸弹盒")),J407,0)</ns0:f>
        <ns0:v>0</ns0:v>
      </ns0:c>
      <ns0:c r="M407" s="150" t="n">
        <ns0:f>IF(AND(B407="开局",OR(D407="固定颜色盒",D407="单向收纳盒")),J407,0)</ns0:f>
        <ns0:v>0</ns0:v>
      </ns0:c>
      <ns0:c r="N407" s="150" t="n">
        <ns0:f>IF(AND(B407="开局",OR(D407="数字盖盒",D407="普通冰冻盒",D407="数字冰冻盒",D407="数字冰冻单颗暂存盒")),J407,0)</ns0:f>
        <ns0:v>0</ns0:v>
      </ns0:c>
      <ns0:c r="O407" s="147" t="str">
        <ns0:f>IF(AND(E407&gt;0,E407=INT(E407),G407&gt;=0,G407&lt;=F407,G407=INT(G407),OR(AND(F407=1,OR(D407="单颗暂存盒",D407="数字冰冻单颗暂存盒")),AND(F407=4,NOT(OR(D407="单颗暂存盒",D407="数字冰冻单颗暂存盒")))),IF(OR(D407="数字盖盒",D407="数字冰冻盒",D407="数字冰冻单颗暂存盒"),AND(H407&gt;=1,H407=INT(H407)),H407=0),IF(B407="开局",AND(IF(OR(D407="数字盖盒",D407="普通冰冻盒",D407="数字冰冻盒",D407="炸弹盒",D407="底部置顶盒"),OR(G407=3,G407=4),TRUE),IF(OR(D407="单向收纳盒",D407="单颗暂存盒",D407="数字冰冻单颗暂存盒"),OR(G407=0,G407=1),TRUE),IF(OR(D407="固定颜色盒",D407="广告锁定周转盒"),G407=0,TRUE)),TRUE)),"通过","需调整")</ns0:f>
        <ns0:v>通过</ns0:v>
      </ns0:c>
      <ns0:c r="P407" s="147" t="str">
        <ns0:v>普通盒</ns0:v>
      </ns0:c>
      <ns0:c r="Q407" s="147" t="str">
        <ns0:v>层序JSON:{"reference":"2026-10-12 第61至70关续接设计；自主层序与循环取料节奏","slots":[{"group_id":"W7-066-05","layers":[3,0,8,2]},{"group_id":"W7-066-02","layers":[2,6,8]},{"group_id":"W7-066-01","layers":[2,2,5,3]},{"group_id":"W7-066-01","layers":[6,5,0,2]},{"group_id":"W7-066-06","layers":[5,4,2,4]},{"group_id":"W7-066-06","layers":[3,3,8,2]},{"group_id":"W7-066-01","layers":[0,6,5,6]},{"group_id":"W7-066-01","layers":[4,0,6,8]},{"group_id":"W7-066-03","layers":[12]},{"group_id":"W7-066-01","layers":[12,3,8,12]},{"group_id":"W7-066-01","layers":[4,3,0,4]},{"group_id":"W7-066-01","layers":[8,2,0,2]},{"group_id":"W7-066-01","layers":[5,6,4,8]},{"group_id":"W7-066-01","layers":[0,3,6,6]},{"group_id":"W7-066-01","layers":[5,3,12,0]},{"group_id":"W7-066-01","layers":[0,4,12,12]},{"group_id":"W7-066-01","layers":[5,12,5,8]},{"group_id":"W7-066-04","layers":[]}],"stock":[{"group_id":"W7-066-08","layers":[2,2,12,0]},{"group_id":"W7-066-08","layers":[0,0,2,4]}],"demand_sequences":[[2,6,8,12,4,6,8,3,0],[3,0,5,0,5,4,2,12,2]]}</ns0:v>
      </ns0:c>
      <ns0:c r="R407" s="150" t="n">
        <ns0:f>E407*H407</ns0:f>
        <ns0:v>0</ns0:v>
      </ns0:c>
    </ns0:row>
    <ns0:row r="408" ht="21" customHeight="1">
      <ns0:c r="A408" s="149" t="n">
        <ns0:v>66</ns0:v>
      </ns0:c>
      <ns0:c r="B408" s="145" t="str">
        <ns0:v>开局</ns0:v>
      </ns0:c>
      <ns0:c r="C408" s="145" t="str">
        <ns0:v>W7-066-02</ns0:v>
      </ns0:c>
      <ns0:c r="D408" s="145" t="str">
        <ns0:v>普通盒</ns0:v>
      </ns0:c>
      <ns0:c r="E408" s="152" t="n">
        <ns0:v>1</ns0:v>
      </ns0:c>
      <ns0:c r="F408" s="152" t="n">
        <ns0:v>4</ns0:v>
      </ns0:c>
      <ns0:c r="G408" s="152" t="n">
        <ns0:v>3</ns0:v>
      </ns0:c>
      <ns0:c r="H408" s="152" t="n">
        <ns0:v>0</ns0:v>
      </ns0:c>
      <ns0:c r="I408" s="149" t="n">
        <ns0:f>E408*G408</ns0:f>
        <ns0:v>3</ns0:v>
      </ns0:c>
      <ns0:c r="J408" s="149" t="n">
        <ns0:f>E408*(F408-G408)</ns0:f>
        <ns0:v>1</ns0:v>
      </ns0:c>
      <ns0:c r="K408" s="149" t="n">
        <ns0:f>IF(AND(B408="开局",G408=0,OR(D408="普通盒",D408="单颗暂存盒")),J408,0)</ns0:f>
        <ns0:v>0</ns0:v>
      </ns0:c>
      <ns0:c r="L408" s="149" t="n">
        <ns0:f>IF(AND(B408="开局",G408&gt;0,OR(D408="普通盒",D408="底部置顶盒",D408="炸弹盒")),J408,0)</ns0:f>
        <ns0:v>1</ns0:v>
      </ns0:c>
      <ns0:c r="M408" s="149" t="n">
        <ns0:f>IF(AND(B408="开局",OR(D408="固定颜色盒",D408="单向收纳盒")),J408,0)</ns0:f>
        <ns0:v>0</ns0:v>
      </ns0:c>
      <ns0:c r="N408" s="149" t="n">
        <ns0:f>IF(AND(B408="开局",OR(D408="数字盖盒",D408="普通冰冻盒",D408="数字冰冻盒",D408="数字冰冻单颗暂存盒")),J408,0)</ns0:f>
        <ns0:v>0</ns0:v>
      </ns0:c>
      <ns0:c r="O408" s="145" t="str">
        <ns0:f>IF(AND(E408&gt;0,E408=INT(E408),G408&gt;=0,G408&lt;=F408,G408=INT(G408),OR(AND(F408=1,OR(D408="单颗暂存盒",D408="数字冰冻单颗暂存盒")),AND(F408=4,NOT(OR(D408="单颗暂存盒",D408="数字冰冻单颗暂存盒")))),IF(OR(D408="数字盖盒",D408="数字冰冻盒",D408="数字冰冻单颗暂存盒"),AND(H408&gt;=1,H408=INT(H408)),H408=0),IF(B408="开局",AND(IF(OR(D408="数字盖盒",D408="普通冰冻盒",D408="数字冰冻盒",D408="炸弹盒",D408="底部置顶盒"),OR(G408=3,G408=4),TRUE),IF(OR(D408="单向收纳盒",D408="单颗暂存盒",D408="数字冰冻单颗暂存盒"),OR(G408=0,G408=1),TRUE),IF(OR(D408="固定颜色盒",D408="广告锁定周转盒"),G408=0,TRUE)),TRUE)),"通过","需调整")</ns0:f>
        <ns0:v>通过</ns0:v>
      </ns0:c>
      <ns0:c r="P408" s="145" t="str">
        <ns0:v>普通盒</ns0:v>
      </ns0:c>
      <ns0:c r="Q408" s="145" t="str">
        <ns0:v>固定层序见本关首行</ns0:v>
      </ns0:c>
      <ns0:c r="R408" s="149" t="n">
        <ns0:f>E408*H408</ns0:f>
        <ns0:v>0</ns0:v>
      </ns0:c>
    </ns0:row>
    <ns0:row r="409" ht="21" customHeight="1">
      <ns0:c r="A409" s="150" t="n">
        <ns0:v>66</ns0:v>
      </ns0:c>
      <ns0:c r="B409" s="147" t="str">
        <ns0:v>开局</ns0:v>
      </ns0:c>
      <ns0:c r="C409" s="147" t="str">
        <ns0:v>W7-066-03</ns0:v>
      </ns0:c>
      <ns0:c r="D409" s="147" t="str">
        <ns0:v>普通盒</ns0:v>
      </ns0:c>
      <ns0:c r="E409" s="152" t="n">
        <ns0:v>1</ns0:v>
      </ns0:c>
      <ns0:c r="F409" s="152" t="n">
        <ns0:v>4</ns0:v>
      </ns0:c>
      <ns0:c r="G409" s="152" t="n">
        <ns0:v>1</ns0:v>
      </ns0:c>
      <ns0:c r="H409" s="152" t="n">
        <ns0:v>0</ns0:v>
      </ns0:c>
      <ns0:c r="I409" s="150" t="n">
        <ns0:f>E409*G409</ns0:f>
        <ns0:v>1</ns0:v>
      </ns0:c>
      <ns0:c r="J409" s="150" t="n">
        <ns0:f>E409*(F409-G409)</ns0:f>
        <ns0:v>3</ns0:v>
      </ns0:c>
      <ns0:c r="K409" s="150" t="n">
        <ns0:f>IF(AND(B409="开局",G409=0,OR(D409="普通盒",D409="单颗暂存盒")),J409,0)</ns0:f>
        <ns0:v>0</ns0:v>
      </ns0:c>
      <ns0:c r="L409" s="150" t="n">
        <ns0:f>IF(AND(B409="开局",G409&gt;0,OR(D409="普通盒",D409="底部置顶盒",D409="炸弹盒")),J409,0)</ns0:f>
        <ns0:v>3</ns0:v>
      </ns0:c>
      <ns0:c r="M409" s="150" t="n">
        <ns0:f>IF(AND(B409="开局",OR(D409="固定颜色盒",D409="单向收纳盒")),J409,0)</ns0:f>
        <ns0:v>0</ns0:v>
      </ns0:c>
      <ns0:c r="N409" s="150" t="n">
        <ns0:f>IF(AND(B409="开局",OR(D409="数字盖盒",D409="普通冰冻盒",D409="数字冰冻盒",D409="数字冰冻单颗暂存盒")),J409,0)</ns0:f>
        <ns0:v>0</ns0:v>
      </ns0:c>
      <ns0:c r="O409" s="147" t="str">
        <ns0:f>IF(AND(E409&gt;0,E409=INT(E409),G409&gt;=0,G409&lt;=F409,G409=INT(G409),OR(AND(F409=1,OR(D409="单颗暂存盒",D409="数字冰冻单颗暂存盒")),AND(F409=4,NOT(OR(D409="单颗暂存盒",D409="数字冰冻单颗暂存盒")))),IF(OR(D409="数字盖盒",D409="数字冰冻盒",D409="数字冰冻单颗暂存盒"),AND(H409&gt;=1,H409=INT(H409)),H409=0),IF(B409="开局",AND(IF(OR(D409="数字盖盒",D409="普通冰冻盒",D409="数字冰冻盒",D409="炸弹盒",D409="底部置顶盒"),OR(G409=3,G409=4),TRUE),IF(OR(D409="单向收纳盒",D409="单颗暂存盒",D409="数字冰冻单颗暂存盒"),OR(G409=0,G409=1),TRUE),IF(OR(D409="固定颜色盒",D409="广告锁定周转盒"),G409=0,TRUE)),TRUE)),"通过","需调整")</ns0:f>
        <ns0:v>通过</ns0:v>
      </ns0:c>
      <ns0:c r="P409" s="147" t="str">
        <ns0:v>普通盒</ns0:v>
      </ns0:c>
      <ns0:c r="Q409" s="147" t="str">
        <ns0:v>固定层序见本关首行</ns0:v>
      </ns0:c>
      <ns0:c r="R409" s="150" t="n">
        <ns0:f>E409*H409</ns0:f>
        <ns0:v>0</ns0:v>
      </ns0:c>
    </ns0:row>
    <ns0:row r="410" ht="21" customHeight="1">
      <ns0:c r="A410" s="149" t="n">
        <ns0:v>66</ns0:v>
      </ns0:c>
      <ns0:c r="B410" s="145" t="str">
        <ns0:v>开局</ns0:v>
      </ns0:c>
      <ns0:c r="C410" s="145" t="str">
        <ns0:v>W7-066-04</ns0:v>
      </ns0:c>
      <ns0:c r="D410" s="145" t="str">
        <ns0:v>普通盒</ns0:v>
      </ns0:c>
      <ns0:c r="E410" s="152" t="n">
        <ns0:v>1</ns0:v>
      </ns0:c>
      <ns0:c r="F410" s="152" t="n">
        <ns0:v>4</ns0:v>
      </ns0:c>
      <ns0:c r="G410" s="152" t="n">
        <ns0:v>0</ns0:v>
      </ns0:c>
      <ns0:c r="H410" s="152" t="n">
        <ns0:v>0</ns0:v>
      </ns0:c>
      <ns0:c r="I410" s="149" t="n">
        <ns0:f>E410*G410</ns0:f>
        <ns0:v>0</ns0:v>
      </ns0:c>
      <ns0:c r="J410" s="149" t="n">
        <ns0:f>E410*(F410-G410)</ns0:f>
        <ns0:v>4</ns0:v>
      </ns0:c>
      <ns0:c r="K410" s="149" t="n">
        <ns0:f>IF(AND(B410="开局",G410=0,OR(D410="普通盒",D410="单颗暂存盒")),J410,0)</ns0:f>
        <ns0:v>4</ns0:v>
      </ns0:c>
      <ns0:c r="L410" s="149" t="n">
        <ns0:f>IF(AND(B410="开局",G410&gt;0,OR(D410="普通盒",D410="底部置顶盒",D410="炸弹盒")),J410,0)</ns0:f>
        <ns0:v>0</ns0:v>
      </ns0:c>
      <ns0:c r="M410" s="149" t="n">
        <ns0:f>IF(AND(B410="开局",OR(D410="固定颜色盒",D410="单向收纳盒")),J410,0)</ns0:f>
        <ns0:v>0</ns0:v>
      </ns0:c>
      <ns0:c r="N410" s="149" t="n">
        <ns0:f>IF(AND(B410="开局",OR(D410="数字盖盒",D410="普通冰冻盒",D410="数字冰冻盒",D410="数字冰冻单颗暂存盒")),J410,0)</ns0:f>
        <ns0:v>0</ns0:v>
      </ns0:c>
      <ns0:c r="O410" s="145" t="str">
        <ns0:f>IF(AND(E410&gt;0,E410=INT(E410),G410&gt;=0,G410&lt;=F410,G410=INT(G410),OR(AND(F410=1,OR(D410="单颗暂存盒",D410="数字冰冻单颗暂存盒")),AND(F410=4,NOT(OR(D410="单颗暂存盒",D410="数字冰冻单颗暂存盒")))),IF(OR(D410="数字盖盒",D410="数字冰冻盒",D410="数字冰冻单颗暂存盒"),AND(H410&gt;=1,H410=INT(H410)),H410=0),IF(B410="开局",AND(IF(OR(D410="数字盖盒",D410="普通冰冻盒",D410="数字冰冻盒",D410="炸弹盒",D410="底部置顶盒"),OR(G410=3,G410=4),TRUE),IF(OR(D410="单向收纳盒",D410="单颗暂存盒",D410="数字冰冻单颗暂存盒"),OR(G410=0,G410=1),TRUE),IF(OR(D410="固定颜色盒",D410="广告锁定周转盒"),G410=0,TRUE)),TRUE)),"通过","需调整")</ns0:f>
        <ns0:v>通过</ns0:v>
      </ns0:c>
      <ns0:c r="P410" s="145" t="str">
        <ns0:v>普通盒</ns0:v>
      </ns0:c>
      <ns0:c r="Q410" s="145" t="str">
        <ns0:v>固定层序见本关首行</ns0:v>
      </ns0:c>
      <ns0:c r="R410" s="149" t="n">
        <ns0:f>E410*H410</ns0:f>
        <ns0:v>0</ns0:v>
      </ns0:c>
    </ns0:row>
    <ns0:row r="411" ht="21" customHeight="1">
      <ns0:c r="A411" s="150" t="n">
        <ns0:v>66</ns0:v>
      </ns0:c>
      <ns0:c r="B411" s="147" t="str">
        <ns0:v>开局</ns0:v>
      </ns0:c>
      <ns0:c r="C411" s="147" t="str">
        <ns0:v>W7-066-05</ns0:v>
      </ns0:c>
      <ns0:c r="D411" s="147" t="str">
        <ns0:v>底部置顶盒</ns0:v>
      </ns0:c>
      <ns0:c r="E411" s="152" t="n">
        <ns0:v>1</ns0:v>
      </ns0:c>
      <ns0:c r="F411" s="152" t="n">
        <ns0:v>4</ns0:v>
      </ns0:c>
      <ns0:c r="G411" s="152" t="n">
        <ns0:v>4</ns0:v>
      </ns0:c>
      <ns0:c r="H411" s="152" t="n">
        <ns0:v>0</ns0:v>
      </ns0:c>
      <ns0:c r="I411" s="150" t="n">
        <ns0:f>E411*G411</ns0:f>
        <ns0:v>4</ns0:v>
      </ns0:c>
      <ns0:c r="J411" s="150" t="n">
        <ns0:f>E411*(F411-G411)</ns0:f>
        <ns0:v>0</ns0:v>
      </ns0:c>
      <ns0:c r="K411" s="150" t="n">
        <ns0:f>IF(AND(B411="开局",G411=0,OR(D411="普通盒",D411="单颗暂存盒")),J411,0)</ns0:f>
        <ns0:v>0</ns0:v>
      </ns0:c>
      <ns0:c r="L411" s="150" t="n">
        <ns0:f>IF(AND(B411="开局",G411&gt;0,OR(D411="普通盒",D411="底部置顶盒",D411="炸弹盒")),J411,0)</ns0:f>
        <ns0:v>0</ns0:v>
      </ns0:c>
      <ns0:c r="M411" s="150" t="n">
        <ns0:f>IF(AND(B411="开局",OR(D411="固定颜色盒",D411="单向收纳盒")),J411,0)</ns0:f>
        <ns0:v>0</ns0:v>
      </ns0:c>
      <ns0:c r="N411" s="150" t="n">
        <ns0:f>IF(AND(B411="开局",OR(D411="数字盖盒",D411="普通冰冻盒",D411="数字冰冻盒",D411="数字冰冻单颗暂存盒")),J411,0)</ns0:f>
        <ns0:v>0</ns0:v>
      </ns0:c>
      <ns0:c r="O411" s="147" t="str">
        <ns0:f>IF(AND(E411&gt;0,E411=INT(E411),G411&gt;=0,G411&lt;=F411,G411=INT(G411),OR(AND(F411=1,OR(D411="单颗暂存盒",D411="数字冰冻单颗暂存盒")),AND(F411=4,NOT(OR(D411="单颗暂存盒",D411="数字冰冻单颗暂存盒")))),IF(OR(D411="数字盖盒",D411="数字冰冻盒",D411="数字冰冻单颗暂存盒"),AND(H411&gt;=1,H411=INT(H411)),H411=0),IF(B411="开局",AND(IF(OR(D411="数字盖盒",D411="普通冰冻盒",D411="数字冰冻盒",D411="炸弹盒",D411="底部置顶盒"),OR(G411=3,G411=4),TRUE),IF(OR(D411="单向收纳盒",D411="单颗暂存盒",D411="数字冰冻单颗暂存盒"),OR(G411=0,G411=1),TRUE),IF(OR(D411="固定颜色盒",D411="广告锁定周转盒"),G411=0,TRUE)),TRUE)),"通过","需调整")</ns0:f>
        <ns0:v>通过</ns0:v>
      </ns0:c>
      <ns0:c r="P411" s="147" t="str">
        <ns0:v>底部置顶盒</ns0:v>
      </ns0:c>
      <ns0:c r="Q411" s="147" t="str">
        <ns0:v>固定层序见本关首行</ns0:v>
      </ns0:c>
      <ns0:c r="R411" s="150" t="n">
        <ns0:f>E411*H411</ns0:f>
        <ns0:v>0</ns0:v>
      </ns0:c>
    </ns0:row>
    <ns0:row r="412" ht="21" customHeight="1">
      <ns0:c r="A412" s="149" t="n">
        <ns0:v>66</ns0:v>
      </ns0:c>
      <ns0:c r="B412" s="145" t="str">
        <ns0:v>开局</ns0:v>
      </ns0:c>
      <ns0:c r="C412" s="145" t="str">
        <ns0:v>W7-066-06</ns0:v>
      </ns0:c>
      <ns0:c r="D412" s="145" t="str">
        <ns0:v>普通冰冻盒</ns0:v>
      </ns0:c>
      <ns0:c r="E412" s="152" t="n">
        <ns0:v>2</ns0:v>
      </ns0:c>
      <ns0:c r="F412" s="152" t="n">
        <ns0:v>4</ns0:v>
      </ns0:c>
      <ns0:c r="G412" s="152" t="n">
        <ns0:v>4</ns0:v>
      </ns0:c>
      <ns0:c r="H412" s="152" t="n">
        <ns0:v>0</ns0:v>
      </ns0:c>
      <ns0:c r="I412" s="149" t="n">
        <ns0:f>E412*G412</ns0:f>
        <ns0:v>8</ns0:v>
      </ns0:c>
      <ns0:c r="J412" s="149" t="n">
        <ns0:f>E412*(F412-G412)</ns0:f>
        <ns0:v>0</ns0:v>
      </ns0:c>
      <ns0:c r="K412" s="149" t="n">
        <ns0:f>IF(AND(B412="开局",G412=0,OR(D412="普通盒",D412="单颗暂存盒")),J412,0)</ns0:f>
        <ns0:v>0</ns0:v>
      </ns0:c>
      <ns0:c r="L412" s="149" t="n">
        <ns0:f>IF(AND(B412="开局",G412&gt;0,OR(D412="普通盒",D412="底部置顶盒",D412="炸弹盒")),J412,0)</ns0:f>
        <ns0:v>0</ns0:v>
      </ns0:c>
      <ns0:c r="M412" s="149" t="n">
        <ns0:f>IF(AND(B412="开局",OR(D412="固定颜色盒",D412="单向收纳盒")),J412,0)</ns0:f>
        <ns0:v>0</ns0:v>
      </ns0:c>
      <ns0:c r="N412" s="149" t="n">
        <ns0:f>IF(AND(B412="开局",OR(D412="数字盖盒",D412="普通冰冻盒",D412="数字冰冻盒",D412="数字冰冻单颗暂存盒")),J412,0)</ns0:f>
        <ns0:v>0</ns0:v>
      </ns0:c>
      <ns0:c r="O412" s="145" t="str">
        <ns0:f>IF(AND(E412&gt;0,E412=INT(E412),G412&gt;=0,G412&lt;=F412,G412=INT(G412),OR(AND(F412=1,OR(D412="单颗暂存盒",D412="数字冰冻单颗暂存盒")),AND(F412=4,NOT(OR(D412="单颗暂存盒",D412="数字冰冻单颗暂存盒")))),IF(OR(D412="数字盖盒",D412="数字冰冻盒",D412="数字冰冻单颗暂存盒"),AND(H412&gt;=1,H412=INT(H412)),H412=0),IF(B412="开局",AND(IF(OR(D412="数字盖盒",D412="普通冰冻盒",D412="数字冰冻盒",D412="炸弹盒",D412="底部置顶盒"),OR(G412=3,G412=4),TRUE),IF(OR(D412="单向收纳盒",D412="单颗暂存盒",D412="数字冰冻单颗暂存盒"),OR(G412=0,G412=1),TRUE),IF(OR(D412="固定颜色盒",D412="广告锁定周转盒"),G412=0,TRUE)),TRUE)),"通过","需调整")</ns0:f>
        <ns0:v>通过</ns0:v>
      </ns0:c>
      <ns0:c r="P412" s="145" t="str">
        <ns0:v>普通冰冻盒</ns0:v>
      </ns0:c>
      <ns0:c r="Q412" s="145" t="str">
        <ns0:v>固定层序见本关首行</ns0:v>
      </ns0:c>
      <ns0:c r="R412" s="149" t="n">
        <ns0:f>E412*H412</ns0:f>
        <ns0:v>0</ns0:v>
      </ns0:c>
    </ns0:row>
    <ns0:row r="413" ht="21" customHeight="1">
      <ns0:c r="A413" s="150" t="n">
        <ns0:v>66</ns0:v>
      </ns0:c>
      <ns0:c r="B413" s="147" t="str">
        <ns0:v>开局</ns0:v>
      </ns0:c>
      <ns0:c r="C413" s="147" t="str">
        <ns0:v>W7-066-07</ns0:v>
      </ns0:c>
      <ns0:c r="D413" s="147" t="str">
        <ns0:v>广告锁定周转盒</ns0:v>
      </ns0:c>
      <ns0:c r="E413" s="152" t="n">
        <ns0:v>2</ns0:v>
      </ns0:c>
      <ns0:c r="F413" s="152" t="n">
        <ns0:v>4</ns0:v>
      </ns0:c>
      <ns0:c r="G413" s="152" t="n">
        <ns0:v>0</ns0:v>
      </ns0:c>
      <ns0:c r="H413" s="152" t="n">
        <ns0:v>0</ns0:v>
      </ns0:c>
      <ns0:c r="I413" s="150" t="n">
        <ns0:f>E413*G413</ns0:f>
        <ns0:v>0</ns0:v>
      </ns0:c>
      <ns0:c r="J413" s="150" t="n">
        <ns0:f>E413*(F413-G413)</ns0:f>
        <ns0:v>8</ns0:v>
      </ns0:c>
      <ns0:c r="K413" s="150" t="n">
        <ns0:f>IF(AND(B413="开局",G413=0,OR(D413="普通盒",D413="单颗暂存盒")),J413,0)</ns0:f>
        <ns0:v>0</ns0:v>
      </ns0:c>
      <ns0:c r="L413" s="150" t="n">
        <ns0:f>IF(AND(B413="开局",G413&gt;0,OR(D413="普通盒",D413="底部置顶盒",D413="炸弹盒")),J413,0)</ns0:f>
        <ns0:v>0</ns0:v>
      </ns0:c>
      <ns0:c r="M413" s="150" t="n">
        <ns0:f>IF(AND(B413="开局",OR(D413="固定颜色盒",D413="单向收纳盒")),J413,0)</ns0:f>
        <ns0:v>0</ns0:v>
      </ns0:c>
      <ns0:c r="N413" s="150" t="n">
        <ns0:f>IF(AND(B413="开局",OR(D413="数字盖盒",D413="普通冰冻盒",D413="数字冰冻盒",D413="数字冰冻单颗暂存盒")),J413,0)</ns0:f>
        <ns0:v>0</ns0:v>
      </ns0:c>
      <ns0:c r="O413" s="147" t="str">
        <ns0:f>IF(AND(E413&gt;0,E413=INT(E413),G413&gt;=0,G413&lt;=F413,G413=INT(G413),OR(AND(F413=1,OR(D413="单颗暂存盒",D413="数字冰冻单颗暂存盒")),AND(F413=4,NOT(OR(D413="单颗暂存盒",D413="数字冰冻单颗暂存盒")))),IF(OR(D413="数字盖盒",D413="数字冰冻盒",D413="数字冰冻单颗暂存盒"),AND(H413&gt;=1,H413=INT(H413)),H413=0),IF(B413="开局",AND(IF(OR(D413="数字盖盒",D413="普通冰冻盒",D413="数字冰冻盒",D413="炸弹盒",D413="底部置顶盒"),OR(G413=3,G413=4),TRUE),IF(OR(D413="单向收纳盒",D413="单颗暂存盒",D413="数字冰冻单颗暂存盒"),OR(G413=0,G413=1),TRUE),IF(OR(D413="固定颜色盒",D413="广告锁定周转盒"),G413=0,TRUE)),TRUE)),"通过","需调整")</ns0:f>
        <ns0:v>通过</ns0:v>
      </ns0:c>
      <ns0:c r="P413" s="147" t="str">
        <ns0:v>双广告锁位</ns0:v>
      </ns0:c>
      <ns0:c r="Q413" s="147" t="str">
        <ns0:v>固定层序见本关首行</ns0:v>
      </ns0:c>
      <ns0:c r="R413" s="150" t="n">
        <ns0:f>E413*H413</ns0:f>
        <ns0:v>0</ns0:v>
      </ns0:c>
    </ns0:row>
    <ns0:row r="414" ht="21" customHeight="1">
      <ns0:c r="A414" s="149" t="n">
        <ns0:v>66</ns0:v>
      </ns0:c>
      <ns0:c r="B414" s="145" t="str">
        <ns0:v>备货</ns0:v>
      </ns0:c>
      <ns0:c r="C414" s="145" t="str">
        <ns0:v>W7-066-08</ns0:v>
      </ns0:c>
      <ns0:c r="D414" s="145" t="str">
        <ns0:v>普通盒</ns0:v>
      </ns0:c>
      <ns0:c r="E414" s="152" t="n">
        <ns0:v>2</ns0:v>
      </ns0:c>
      <ns0:c r="F414" s="152" t="n">
        <ns0:v>4</ns0:v>
      </ns0:c>
      <ns0:c r="G414" s="152" t="n">
        <ns0:v>4</ns0:v>
      </ns0:c>
      <ns0:c r="H414" s="152" t="n">
        <ns0:v>0</ns0:v>
      </ns0:c>
      <ns0:c r="I414" s="149" t="n">
        <ns0:f>E414*G414</ns0:f>
        <ns0:v>8</ns0:v>
      </ns0:c>
      <ns0:c r="J414" s="149" t="n">
        <ns0:f>E414*(F414-G414)</ns0:f>
        <ns0:v>0</ns0:v>
      </ns0:c>
      <ns0:c r="K414" s="149" t="n">
        <ns0:f>IF(AND(B414="开局",G414=0,OR(D414="普通盒",D414="单颗暂存盒")),J414,0)</ns0:f>
        <ns0:v>0</ns0:v>
      </ns0:c>
      <ns0:c r="L414" s="149" t="n">
        <ns0:f>IF(AND(B414="开局",G414&gt;0,OR(D414="普通盒",D414="底部置顶盒",D414="炸弹盒")),J414,0)</ns0:f>
        <ns0:v>0</ns0:v>
      </ns0:c>
      <ns0:c r="M414" s="149" t="n">
        <ns0:f>IF(AND(B414="开局",OR(D414="固定颜色盒",D414="单向收纳盒")),J414,0)</ns0:f>
        <ns0:v>0</ns0:v>
      </ns0:c>
      <ns0:c r="N414" s="149" t="n">
        <ns0:f>IF(AND(B414="开局",OR(D414="数字盖盒",D414="普通冰冻盒",D414="数字冰冻盒",D414="数字冰冻单颗暂存盒")),J414,0)</ns0:f>
        <ns0:v>0</ns0:v>
      </ns0:c>
      <ns0:c r="O414" s="145" t="str">
        <ns0:f>IF(AND(E414&gt;0,E414=INT(E414),G414&gt;=0,G414&lt;=F414,G414=INT(G414),OR(AND(F414=1,OR(D414="单颗暂存盒",D414="数字冰冻单颗暂存盒")),AND(F414=4,NOT(OR(D414="单颗暂存盒",D414="数字冰冻单颗暂存盒")))),IF(OR(D414="数字盖盒",D414="数字冰冻盒",D414="数字冰冻单颗暂存盒"),AND(H414&gt;=1,H414=INT(H414)),H414=0),IF(B414="开局",AND(IF(OR(D414="数字盖盒",D414="普通冰冻盒",D414="数字冰冻盒",D414="炸弹盒",D414="底部置顶盒"),OR(G414=3,G414=4),TRUE),IF(OR(D414="单向收纳盒",D414="单颗暂存盒",D414="数字冰冻单颗暂存盒"),OR(G414=0,G414=1),TRUE),IF(OR(D414="固定颜色盒",D414="广告锁定周转盒"),G414=0,TRUE)),TRUE)),"通过","需调整")</ns0:f>
        <ns0:v>通过</ns0:v>
      </ns0:c>
      <ns0:c r="P414" s="145" t="str">
        <ns0:v>连续侧边补货</ns0:v>
      </ns0:c>
      <ns0:c r="Q414" s="145" t="str">
        <ns0:v>固定层序见本关首行</ns0:v>
      </ns0:c>
      <ns0:c r="R414" s="149" t="n">
        <ns0:f>E414*H414</ns0:f>
        <ns0:v>0</ns0:v>
      </ns0:c>
    </ns0:row>
    <ns0:row r="415" ht="21" customHeight="1">
      <ns0:c r="A415" s="150" t="n">
        <ns0:v>67</ns0:v>
      </ns0:c>
      <ns0:c r="B415" s="147" t="str">
        <ns0:v>开局</ns0:v>
      </ns0:c>
      <ns0:c r="C415" s="147" t="str">
        <ns0:v>W7-067-01</ns0:v>
      </ns0:c>
      <ns0:c r="D415" s="147" t="str">
        <ns0:v>普通盒</ns0:v>
      </ns0:c>
      <ns0:c r="E415" s="152" t="n">
        <ns0:v>12</ns0:v>
      </ns0:c>
      <ns0:c r="F415" s="152" t="n">
        <ns0:v>4</ns0:v>
      </ns0:c>
      <ns0:c r="G415" s="152" t="n">
        <ns0:v>4</ns0:v>
      </ns0:c>
      <ns0:c r="H415" s="152" t="n">
        <ns0:v>0</ns0:v>
      </ns0:c>
      <ns0:c r="I415" s="150" t="n">
        <ns0:f>E415*G415</ns0:f>
        <ns0:v>48</ns0:v>
      </ns0:c>
      <ns0:c r="J415" s="150" t="n">
        <ns0:f>E415*(F415-G415)</ns0:f>
        <ns0:v>0</ns0:v>
      </ns0:c>
      <ns0:c r="K415" s="150" t="n">
        <ns0:f>IF(AND(B415="开局",G415=0,OR(D415="普通盒",D415="单颗暂存盒")),J415,0)</ns0:f>
        <ns0:v>0</ns0:v>
      </ns0:c>
      <ns0:c r="L415" s="150" t="n">
        <ns0:f>IF(AND(B415="开局",G415&gt;0,OR(D415="普通盒",D415="底部置顶盒",D415="炸弹盒")),J415,0)</ns0:f>
        <ns0:v>0</ns0:v>
      </ns0:c>
      <ns0:c r="M415" s="150" t="n">
        <ns0:f>IF(AND(B415="开局",OR(D415="固定颜色盒",D415="单向收纳盒")),J415,0)</ns0:f>
        <ns0:v>0</ns0:v>
      </ns0:c>
      <ns0:c r="N415" s="150" t="n">
        <ns0:f>IF(AND(B415="开局",OR(D415="数字盖盒",D415="普通冰冻盒",D415="数字冰冻盒",D415="数字冰冻单颗暂存盒")),J415,0)</ns0:f>
        <ns0:v>0</ns0:v>
      </ns0:c>
      <ns0:c r="O415" s="147" t="str">
        <ns0:f>IF(AND(E415&gt;0,E415=INT(E415),G415&gt;=0,G415&lt;=F415,G415=INT(G415),OR(AND(F415=1,OR(D415="单颗暂存盒",D415="数字冰冻单颗暂存盒")),AND(F415=4,NOT(OR(D415="单颗暂存盒",D415="数字冰冻单颗暂存盒")))),IF(OR(D415="数字盖盒",D415="数字冰冻盒",D415="数字冰冻单颗暂存盒"),AND(H415&gt;=1,H415=INT(H415)),H415=0),IF(B415="开局",AND(IF(OR(D415="数字盖盒",D415="普通冰冻盒",D415="数字冰冻盒",D415="炸弹盒",D415="底部置顶盒"),OR(G415=3,G415=4),TRUE),IF(OR(D415="单向收纳盒",D415="单颗暂存盒",D415="数字冰冻单颗暂存盒"),OR(G415=0,G415=1),TRUE),IF(OR(D415="固定颜色盒",D415="广告锁定周转盒"),G415=0,TRUE)),TRUE)),"通过","需调整")</ns0:f>
        <ns0:v>通过</ns0:v>
      </ns0:c>
      <ns0:c r="P415" s="147" t="str">
        <ns0:v>普通盒</ns0:v>
      </ns0:c>
      <ns0:c r="Q415" s="147" t="str">
        <ns0:v>层序JSON:{"reference":"2026-10-12 第61至70关续接设计；自主层序与循环取料节奏","slots":[{"group_id":"W7-067-01","layers":[0,4,12,6]},{"group_id":"W7-067-01","layers":[4,2,12,5]},{"group_id":"W7-067-02","layers":[4,2,4]},{"group_id":"W7-067-02","layers":[4,3,6]},{"group_id":"W7-067-01","layers":[5,3,8,5]},{"group_id":"W7-067-03","layers":[6,12]},{"group_id":"W7-067-05","layers":[8,3,2,12]},{"group_id":"W7-067-01","layers":[8,4,5,3]},{"group_id":"W7-067-01","layers":[2,3,0,0]},{"group_id":"W7-067-01","layers":[3,8,3,2]},{"group_id":"W7-067-01","layers":[6,0,5,2]},{"group_id":"W7-067-01","layers":[2,5,6,6]},{"group_id":"W7-067-01","layers":[4,0,2,8]},{"group_id":"W7-067-01","layers":[8,6,3,0]},{"group_id":"W7-067-01","layers":[5,0,8,5]},{"group_id":"W7-067-01","layers":[0,8,6,4]},{"group_id":"W7-067-06","layers":[]},{"group_id":"W7-067-04","layers":[]}],"stock":[],"demand_sequences":[[4,8,5,3,12,2,2,5],[0,6,4,6,0,3,8]]}</ns0:v>
      </ns0:c>
      <ns0:c r="R415" s="150" t="n">
        <ns0:f>E415*H415</ns0:f>
        <ns0:v>0</ns0:v>
      </ns0:c>
    </ns0:row>
    <ns0:row r="416" ht="21" customHeight="1">
      <ns0:c r="A416" s="149" t="n">
        <ns0:v>67</ns0:v>
      </ns0:c>
      <ns0:c r="B416" s="145" t="str">
        <ns0:v>开局</ns0:v>
      </ns0:c>
      <ns0:c r="C416" s="145" t="str">
        <ns0:v>W7-067-02</ns0:v>
      </ns0:c>
      <ns0:c r="D416" s="145" t="str">
        <ns0:v>普通盒</ns0:v>
      </ns0:c>
      <ns0:c r="E416" s="152" t="n">
        <ns0:v>2</ns0:v>
      </ns0:c>
      <ns0:c r="F416" s="152" t="n">
        <ns0:v>4</ns0:v>
      </ns0:c>
      <ns0:c r="G416" s="152" t="n">
        <ns0:v>3</ns0:v>
      </ns0:c>
      <ns0:c r="H416" s="152" t="n">
        <ns0:v>0</ns0:v>
      </ns0:c>
      <ns0:c r="I416" s="149" t="n">
        <ns0:f>E416*G416</ns0:f>
        <ns0:v>6</ns0:v>
      </ns0:c>
      <ns0:c r="J416" s="149" t="n">
        <ns0:f>E416*(F416-G416)</ns0:f>
        <ns0:v>2</ns0:v>
      </ns0:c>
      <ns0:c r="K416" s="149" t="n">
        <ns0:f>IF(AND(B416="开局",G416=0,OR(D416="普通盒",D416="单颗暂存盒")),J416,0)</ns0:f>
        <ns0:v>0</ns0:v>
      </ns0:c>
      <ns0:c r="L416" s="149" t="n">
        <ns0:f>IF(AND(B416="开局",G416&gt;0,OR(D416="普通盒",D416="底部置顶盒",D416="炸弹盒")),J416,0)</ns0:f>
        <ns0:v>2</ns0:v>
      </ns0:c>
      <ns0:c r="M416" s="149" t="n">
        <ns0:f>IF(AND(B416="开局",OR(D416="固定颜色盒",D416="单向收纳盒")),J416,0)</ns0:f>
        <ns0:v>0</ns0:v>
      </ns0:c>
      <ns0:c r="N416" s="149" t="n">
        <ns0:f>IF(AND(B416="开局",OR(D416="数字盖盒",D416="普通冰冻盒",D416="数字冰冻盒",D416="数字冰冻单颗暂存盒")),J416,0)</ns0:f>
        <ns0:v>0</ns0:v>
      </ns0:c>
      <ns0:c r="O416" s="145" t="str">
        <ns0:f>IF(AND(E416&gt;0,E416=INT(E416),G416&gt;=0,G416&lt;=F416,G416=INT(G416),OR(AND(F416=1,OR(D416="单颗暂存盒",D416="数字冰冻单颗暂存盒")),AND(F416=4,NOT(OR(D416="单颗暂存盒",D416="数字冰冻单颗暂存盒")))),IF(OR(D416="数字盖盒",D416="数字冰冻盒",D416="数字冰冻单颗暂存盒"),AND(H416&gt;=1,H416=INT(H416)),H416=0),IF(B416="开局",AND(IF(OR(D416="数字盖盒",D416="普通冰冻盒",D416="数字冰冻盒",D416="炸弹盒",D416="底部置顶盒"),OR(G416=3,G416=4),TRUE),IF(OR(D416="单向收纳盒",D416="单颗暂存盒",D416="数字冰冻单颗暂存盒"),OR(G416=0,G416=1),TRUE),IF(OR(D416="固定颜色盒",D416="广告锁定周转盒"),G416=0,TRUE)),TRUE)),"通过","需调整")</ns0:f>
        <ns0:v>通过</ns0:v>
      </ns0:c>
      <ns0:c r="P416" s="145" t="str">
        <ns0:v>普通盒</ns0:v>
      </ns0:c>
      <ns0:c r="Q416" s="145" t="str">
        <ns0:v>固定层序见本关首行</ns0:v>
      </ns0:c>
      <ns0:c r="R416" s="149" t="n">
        <ns0:f>E416*H416</ns0:f>
        <ns0:v>0</ns0:v>
      </ns0:c>
    </ns0:row>
    <ns0:row r="417" ht="21" customHeight="1">
      <ns0:c r="A417" s="150" t="n">
        <ns0:v>67</ns0:v>
      </ns0:c>
      <ns0:c r="B417" s="147" t="str">
        <ns0:v>开局</ns0:v>
      </ns0:c>
      <ns0:c r="C417" s="147" t="str">
        <ns0:v>W7-067-03</ns0:v>
      </ns0:c>
      <ns0:c r="D417" s="147" t="str">
        <ns0:v>普通盒</ns0:v>
      </ns0:c>
      <ns0:c r="E417" s="152" t="n">
        <ns0:v>1</ns0:v>
      </ns0:c>
      <ns0:c r="F417" s="152" t="n">
        <ns0:v>4</ns0:v>
      </ns0:c>
      <ns0:c r="G417" s="152" t="n">
        <ns0:v>2</ns0:v>
      </ns0:c>
      <ns0:c r="H417" s="152" t="n">
        <ns0:v>0</ns0:v>
      </ns0:c>
      <ns0:c r="I417" s="150" t="n">
        <ns0:f>E417*G417</ns0:f>
        <ns0:v>2</ns0:v>
      </ns0:c>
      <ns0:c r="J417" s="150" t="n">
        <ns0:f>E417*(F417-G417)</ns0:f>
        <ns0:v>2</ns0:v>
      </ns0:c>
      <ns0:c r="K417" s="150" t="n">
        <ns0:f>IF(AND(B417="开局",G417=0,OR(D417="普通盒",D417="单颗暂存盒")),J417,0)</ns0:f>
        <ns0:v>0</ns0:v>
      </ns0:c>
      <ns0:c r="L417" s="150" t="n">
        <ns0:f>IF(AND(B417="开局",G417&gt;0,OR(D417="普通盒",D417="底部置顶盒",D417="炸弹盒")),J417,0)</ns0:f>
        <ns0:v>2</ns0:v>
      </ns0:c>
      <ns0:c r="M417" s="150" t="n">
        <ns0:f>IF(AND(B417="开局",OR(D417="固定颜色盒",D417="单向收纳盒")),J417,0)</ns0:f>
        <ns0:v>0</ns0:v>
      </ns0:c>
      <ns0:c r="N417" s="150" t="n">
        <ns0:f>IF(AND(B417="开局",OR(D417="数字盖盒",D417="普通冰冻盒",D417="数字冰冻盒",D417="数字冰冻单颗暂存盒")),J417,0)</ns0:f>
        <ns0:v>0</ns0:v>
      </ns0:c>
      <ns0:c r="O417" s="147" t="str">
        <ns0:f>IF(AND(E417&gt;0,E417=INT(E417),G417&gt;=0,G417&lt;=F417,G417=INT(G417),OR(AND(F417=1,OR(D417="单颗暂存盒",D417="数字冰冻单颗暂存盒")),AND(F417=4,NOT(OR(D417="单颗暂存盒",D417="数字冰冻单颗暂存盒")))),IF(OR(D417="数字盖盒",D417="数字冰冻盒",D417="数字冰冻单颗暂存盒"),AND(H417&gt;=1,H417=INT(H417)),H417=0),IF(B417="开局",AND(IF(OR(D417="数字盖盒",D417="普通冰冻盒",D417="数字冰冻盒",D417="炸弹盒",D417="底部置顶盒"),OR(G417=3,G417=4),TRUE),IF(OR(D417="单向收纳盒",D417="单颗暂存盒",D417="数字冰冻单颗暂存盒"),OR(G417=0,G417=1),TRUE),IF(OR(D417="固定颜色盒",D417="广告锁定周转盒"),G417=0,TRUE)),TRUE)),"通过","需调整")</ns0:f>
        <ns0:v>通过</ns0:v>
      </ns0:c>
      <ns0:c r="P417" s="147" t="str">
        <ns0:v>普通盒</ns0:v>
      </ns0:c>
      <ns0:c r="Q417" s="147" t="str">
        <ns0:v>固定层序见本关首行</ns0:v>
      </ns0:c>
      <ns0:c r="R417" s="150" t="n">
        <ns0:f>E417*H417</ns0:f>
        <ns0:v>0</ns0:v>
      </ns0:c>
    </ns0:row>
    <ns0:row r="418" ht="21" customHeight="1">
      <ns0:c r="A418" s="149" t="n">
        <ns0:v>67</ns0:v>
      </ns0:c>
      <ns0:c r="B418" s="145" t="str">
        <ns0:v>开局</ns0:v>
      </ns0:c>
      <ns0:c r="C418" s="145" t="str">
        <ns0:v>W7-067-04</ns0:v>
      </ns0:c>
      <ns0:c r="D418" s="145" t="str">
        <ns0:v>普通盒</ns0:v>
      </ns0:c>
      <ns0:c r="E418" s="152" t="n">
        <ns0:v>1</ns0:v>
      </ns0:c>
      <ns0:c r="F418" s="152" t="n">
        <ns0:v>4</ns0:v>
      </ns0:c>
      <ns0:c r="G418" s="152" t="n">
        <ns0:v>0</ns0:v>
      </ns0:c>
      <ns0:c r="H418" s="152" t="n">
        <ns0:v>0</ns0:v>
      </ns0:c>
      <ns0:c r="I418" s="149" t="n">
        <ns0:f>E418*G418</ns0:f>
        <ns0:v>0</ns0:v>
      </ns0:c>
      <ns0:c r="J418" s="149" t="n">
        <ns0:f>E418*(F418-G418)</ns0:f>
        <ns0:v>4</ns0:v>
      </ns0:c>
      <ns0:c r="K418" s="149" t="n">
        <ns0:f>IF(AND(B418="开局",G418=0,OR(D418="普通盒",D418="单颗暂存盒")),J418,0)</ns0:f>
        <ns0:v>4</ns0:v>
      </ns0:c>
      <ns0:c r="L418" s="149" t="n">
        <ns0:f>IF(AND(B418="开局",G418&gt;0,OR(D418="普通盒",D418="底部置顶盒",D418="炸弹盒")),J418,0)</ns0:f>
        <ns0:v>0</ns0:v>
      </ns0:c>
      <ns0:c r="M418" s="149" t="n">
        <ns0:f>IF(AND(B418="开局",OR(D418="固定颜色盒",D418="单向收纳盒")),J418,0)</ns0:f>
        <ns0:v>0</ns0:v>
      </ns0:c>
      <ns0:c r="N418" s="149" t="n">
        <ns0:f>IF(AND(B418="开局",OR(D418="数字盖盒",D418="普通冰冻盒",D418="数字冰冻盒",D418="数字冰冻单颗暂存盒")),J418,0)</ns0:f>
        <ns0:v>0</ns0:v>
      </ns0:c>
      <ns0:c r="O418" s="145" t="str">
        <ns0:f>IF(AND(E418&gt;0,E418=INT(E418),G418&gt;=0,G418&lt;=F418,G418=INT(G418),OR(AND(F418=1,OR(D418="单颗暂存盒",D418="数字冰冻单颗暂存盒")),AND(F418=4,NOT(OR(D418="单颗暂存盒",D418="数字冰冻单颗暂存盒")))),IF(OR(D418="数字盖盒",D418="数字冰冻盒",D418="数字冰冻单颗暂存盒"),AND(H418&gt;=1,H418=INT(H418)),H418=0),IF(B418="开局",AND(IF(OR(D418="数字盖盒",D418="普通冰冻盒",D418="数字冰冻盒",D418="炸弹盒",D418="底部置顶盒"),OR(G418=3,G418=4),TRUE),IF(OR(D418="单向收纳盒",D418="单颗暂存盒",D418="数字冰冻单颗暂存盒"),OR(G418=0,G418=1),TRUE),IF(OR(D418="固定颜色盒",D418="广告锁定周转盒"),G418=0,TRUE)),TRUE)),"通过","需调整")</ns0:f>
        <ns0:v>通过</ns0:v>
      </ns0:c>
      <ns0:c r="P418" s="145" t="str">
        <ns0:v>普通盒</ns0:v>
      </ns0:c>
      <ns0:c r="Q418" s="145" t="str">
        <ns0:v>固定层序见本关首行</ns0:v>
      </ns0:c>
      <ns0:c r="R418" s="149" t="n">
        <ns0:f>E418*H418</ns0:f>
        <ns0:v>0</ns0:v>
      </ns0:c>
    </ns0:row>
    <ns0:row r="419" ht="21" customHeight="1">
      <ns0:c r="A419" s="150" t="n">
        <ns0:v>67</ns0:v>
      </ns0:c>
      <ns0:c r="B419" s="147" t="str">
        <ns0:v>开局</ns0:v>
      </ns0:c>
      <ns0:c r="C419" s="147" t="str">
        <ns0:v>W7-067-05</ns0:v>
      </ns0:c>
      <ns0:c r="D419" s="147" t="str">
        <ns0:v>底部置顶盒</ns0:v>
      </ns0:c>
      <ns0:c r="E419" s="152" t="n">
        <ns0:v>1</ns0:v>
      </ns0:c>
      <ns0:c r="F419" s="152" t="n">
        <ns0:v>4</ns0:v>
      </ns0:c>
      <ns0:c r="G419" s="152" t="n">
        <ns0:v>4</ns0:v>
      </ns0:c>
      <ns0:c r="H419" s="152" t="n">
        <ns0:v>0</ns0:v>
      </ns0:c>
      <ns0:c r="I419" s="150" t="n">
        <ns0:f>E419*G419</ns0:f>
        <ns0:v>4</ns0:v>
      </ns0:c>
      <ns0:c r="J419" s="150" t="n">
        <ns0:f>E419*(F419-G419)</ns0:f>
        <ns0:v>0</ns0:v>
      </ns0:c>
      <ns0:c r="K419" s="150" t="n">
        <ns0:f>IF(AND(B419="开局",G419=0,OR(D419="普通盒",D419="单颗暂存盒")),J419,0)</ns0:f>
        <ns0:v>0</ns0:v>
      </ns0:c>
      <ns0:c r="L419" s="150" t="n">
        <ns0:f>IF(AND(B419="开局",G419&gt;0,OR(D419="普通盒",D419="底部置顶盒",D419="炸弹盒")),J419,0)</ns0:f>
        <ns0:v>0</ns0:v>
      </ns0:c>
      <ns0:c r="M419" s="150" t="n">
        <ns0:f>IF(AND(B419="开局",OR(D419="固定颜色盒",D419="单向收纳盒")),J419,0)</ns0:f>
        <ns0:v>0</ns0:v>
      </ns0:c>
      <ns0:c r="N419" s="150" t="n">
        <ns0:f>IF(AND(B419="开局",OR(D419="数字盖盒",D419="普通冰冻盒",D419="数字冰冻盒",D419="数字冰冻单颗暂存盒")),J419,0)</ns0:f>
        <ns0:v>0</ns0:v>
      </ns0:c>
      <ns0:c r="O419" s="147" t="str">
        <ns0:f>IF(AND(E419&gt;0,E419=INT(E419),G419&gt;=0,G419&lt;=F419,G419=INT(G419),OR(AND(F419=1,OR(D419="单颗暂存盒",D419="数字冰冻单颗暂存盒")),AND(F419=4,NOT(OR(D419="单颗暂存盒",D419="数字冰冻单颗暂存盒")))),IF(OR(D419="数字盖盒",D419="数字冰冻盒",D419="数字冰冻单颗暂存盒"),AND(H419&gt;=1,H419=INT(H419)),H419=0),IF(B419="开局",AND(IF(OR(D419="数字盖盒",D419="普通冰冻盒",D419="数字冰冻盒",D419="炸弹盒",D419="底部置顶盒"),OR(G419=3,G419=4),TRUE),IF(OR(D419="单向收纳盒",D419="单颗暂存盒",D419="数字冰冻单颗暂存盒"),OR(G419=0,G419=1),TRUE),IF(OR(D419="固定颜色盒",D419="广告锁定周转盒"),G419=0,TRUE)),TRUE)),"通过","需调整")</ns0:f>
        <ns0:v>通过</ns0:v>
      </ns0:c>
      <ns0:c r="P419" s="147" t="str">
        <ns0:v>底部置顶盒</ns0:v>
      </ns0:c>
      <ns0:c r="Q419" s="147" t="str">
        <ns0:v>固定层序见本关首行</ns0:v>
      </ns0:c>
      <ns0:c r="R419" s="150" t="n">
        <ns0:f>E419*H419</ns0:f>
        <ns0:v>0</ns0:v>
      </ns0:c>
    </ns0:row>
    <ns0:row r="420" ht="21" customHeight="1">
      <ns0:c r="A420" s="149" t="n">
        <ns0:v>67</ns0:v>
      </ns0:c>
      <ns0:c r="B420" s="145" t="str">
        <ns0:v>开局</ns0:v>
      </ns0:c>
      <ns0:c r="C420" s="145" t="str">
        <ns0:v>W7-067-06</ns0:v>
      </ns0:c>
      <ns0:c r="D420" s="145" t="str">
        <ns0:v>单颗暂存盒</ns0:v>
      </ns0:c>
      <ns0:c r="E420" s="152" t="n">
        <ns0:v>1</ns0:v>
      </ns0:c>
      <ns0:c r="F420" s="152" t="n">
        <ns0:v>1</ns0:v>
      </ns0:c>
      <ns0:c r="G420" s="152" t="n">
        <ns0:v>0</ns0:v>
      </ns0:c>
      <ns0:c r="H420" s="152" t="n">
        <ns0:v>0</ns0:v>
      </ns0:c>
      <ns0:c r="I420" s="149" t="n">
        <ns0:f>E420*G420</ns0:f>
        <ns0:v>0</ns0:v>
      </ns0:c>
      <ns0:c r="J420" s="149" t="n">
        <ns0:f>E420*(F420-G420)</ns0:f>
        <ns0:v>1</ns0:v>
      </ns0:c>
      <ns0:c r="K420" s="149" t="n">
        <ns0:f>IF(AND(B420="开局",G420=0,OR(D420="普通盒",D420="单颗暂存盒")),J420,0)</ns0:f>
        <ns0:v>1</ns0:v>
      </ns0:c>
      <ns0:c r="L420" s="149" t="n">
        <ns0:f>IF(AND(B420="开局",G420&gt;0,OR(D420="普通盒",D420="底部置顶盒",D420="炸弹盒")),J420,0)</ns0:f>
        <ns0:v>0</ns0:v>
      </ns0:c>
      <ns0:c r="M420" s="149" t="n">
        <ns0:f>IF(AND(B420="开局",OR(D420="固定颜色盒",D420="单向收纳盒")),J420,0)</ns0:f>
        <ns0:v>0</ns0:v>
      </ns0:c>
      <ns0:c r="N420" s="149" t="n">
        <ns0:f>IF(AND(B420="开局",OR(D420="数字盖盒",D420="普通冰冻盒",D420="数字冰冻盒",D420="数字冰冻单颗暂存盒")),J420,0)</ns0:f>
        <ns0:v>0</ns0:v>
      </ns0:c>
      <ns0:c r="O420" s="145" t="str">
        <ns0:f>IF(AND(E420&gt;0,E420=INT(E420),G420&gt;=0,G420&lt;=F420,G420=INT(G420),OR(AND(F420=1,OR(D420="单颗暂存盒",D420="数字冰冻单颗暂存盒")),AND(F420=4,NOT(OR(D420="单颗暂存盒",D420="数字冰冻单颗暂存盒")))),IF(OR(D420="数字盖盒",D420="数字冰冻盒",D420="数字冰冻单颗暂存盒"),AND(H420&gt;=1,H420=INT(H420)),H420=0),IF(B420="开局",AND(IF(OR(D420="数字盖盒",D420="普通冰冻盒",D420="数字冰冻盒",D420="炸弹盒",D420="底部置顶盒"),OR(G420=3,G420=4),TRUE),IF(OR(D420="单向收纳盒",D420="单颗暂存盒",D420="数字冰冻单颗暂存盒"),OR(G420=0,G420=1),TRUE),IF(OR(D420="固定颜色盒",D420="广告锁定周转盒"),G420=0,TRUE)),TRUE)),"通过","需调整")</ns0:f>
        <ns0:v>通过</ns0:v>
      </ns0:c>
      <ns0:c r="P420" s="145" t="str">
        <ns0:v>单颗暂存盒</ns0:v>
      </ns0:c>
      <ns0:c r="Q420" s="145" t="str">
        <ns0:v>固定层序见本关首行</ns0:v>
      </ns0:c>
      <ns0:c r="R420" s="149" t="n">
        <ns0:f>E420*H420</ns0:f>
        <ns0:v>0</ns0:v>
      </ns0:c>
    </ns0:row>
    <ns0:row r="421" ht="21" customHeight="1">
      <ns0:c r="A421" s="150" t="n">
        <ns0:v>67</ns0:v>
      </ns0:c>
      <ns0:c r="B421" s="147" t="str">
        <ns0:v>开局</ns0:v>
      </ns0:c>
      <ns0:c r="C421" s="147" t="str">
        <ns0:v>W7-067-07</ns0:v>
      </ns0:c>
      <ns0:c r="D421" s="147" t="str">
        <ns0:v>广告锁定周转盒</ns0:v>
      </ns0:c>
      <ns0:c r="E421" s="152" t="n">
        <ns0:v>2</ns0:v>
      </ns0:c>
      <ns0:c r="F421" s="152" t="n">
        <ns0:v>4</ns0:v>
      </ns0:c>
      <ns0:c r="G421" s="152" t="n">
        <ns0:v>0</ns0:v>
      </ns0:c>
      <ns0:c r="H421" s="152" t="n">
        <ns0:v>0</ns0:v>
      </ns0:c>
      <ns0:c r="I421" s="150" t="n">
        <ns0:f>E421*G421</ns0:f>
        <ns0:v>0</ns0:v>
      </ns0:c>
      <ns0:c r="J421" s="150" t="n">
        <ns0:f>E421*(F421-G421)</ns0:f>
        <ns0:v>8</ns0:v>
      </ns0:c>
      <ns0:c r="K421" s="150" t="n">
        <ns0:f>IF(AND(B421="开局",G421=0,OR(D421="普通盒",D421="单颗暂存盒")),J421,0)</ns0:f>
        <ns0:v>0</ns0:v>
      </ns0:c>
      <ns0:c r="L421" s="150" t="n">
        <ns0:f>IF(AND(B421="开局",G421&gt;0,OR(D421="普通盒",D421="底部置顶盒",D421="炸弹盒")),J421,0)</ns0:f>
        <ns0:v>0</ns0:v>
      </ns0:c>
      <ns0:c r="M421" s="150" t="n">
        <ns0:f>IF(AND(B421="开局",OR(D421="固定颜色盒",D421="单向收纳盒")),J421,0)</ns0:f>
        <ns0:v>0</ns0:v>
      </ns0:c>
      <ns0:c r="N421" s="150" t="n">
        <ns0:f>IF(AND(B421="开局",OR(D421="数字盖盒",D421="普通冰冻盒",D421="数字冰冻盒",D421="数字冰冻单颗暂存盒")),J421,0)</ns0:f>
        <ns0:v>0</ns0:v>
      </ns0:c>
      <ns0:c r="O421" s="147" t="str">
        <ns0:f>IF(AND(E421&gt;0,E421=INT(E421),G421&gt;=0,G421&lt;=F421,G421=INT(G421),OR(AND(F421=1,OR(D421="单颗暂存盒",D421="数字冰冻单颗暂存盒")),AND(F421=4,NOT(OR(D421="单颗暂存盒",D421="数字冰冻单颗暂存盒")))),IF(OR(D421="数字盖盒",D421="数字冰冻盒",D421="数字冰冻单颗暂存盒"),AND(H421&gt;=1,H421=INT(H421)),H421=0),IF(B421="开局",AND(IF(OR(D421="数字盖盒",D421="普通冰冻盒",D421="数字冰冻盒",D421="炸弹盒",D421="底部置顶盒"),OR(G421=3,G421=4),TRUE),IF(OR(D421="单向收纳盒",D421="单颗暂存盒",D421="数字冰冻单颗暂存盒"),OR(G421=0,G421=1),TRUE),IF(OR(D421="固定颜色盒",D421="广告锁定周转盒"),G421=0,TRUE)),TRUE)),"通过","需调整")</ns0:f>
        <ns0:v>通过</ns0:v>
      </ns0:c>
      <ns0:c r="P421" s="147" t="str">
        <ns0:v>双广告锁位</ns0:v>
      </ns0:c>
      <ns0:c r="Q421" s="147" t="str">
        <ns0:v>固定层序见本关首行</ns0:v>
      </ns0:c>
      <ns0:c r="R421" s="150" t="n">
        <ns0:f>E421*H421</ns0:f>
        <ns0:v>0</ns0:v>
      </ns0:c>
    </ns0:row>
    <ns0:row r="422" ht="21" customHeight="1">
      <ns0:c r="A422" s="149" t="n">
        <ns0:v>68</ns0:v>
      </ns0:c>
      <ns0:c r="B422" s="145" t="str">
        <ns0:v>开局</ns0:v>
      </ns0:c>
      <ns0:c r="C422" s="145" t="str">
        <ns0:v>W7-068-01</ns0:v>
      </ns0:c>
      <ns0:c r="D422" s="145" t="str">
        <ns0:v>普通盒</ns0:v>
      </ns0:c>
      <ns0:c r="E422" s="152" t="n">
        <ns0:v>11</ns0:v>
      </ns0:c>
      <ns0:c r="F422" s="152" t="n">
        <ns0:v>4</ns0:v>
      </ns0:c>
      <ns0:c r="G422" s="152" t="n">
        <ns0:v>4</ns0:v>
      </ns0:c>
      <ns0:c r="H422" s="152" t="n">
        <ns0:v>0</ns0:v>
      </ns0:c>
      <ns0:c r="I422" s="149" t="n">
        <ns0:f>E422*G422</ns0:f>
        <ns0:v>44</ns0:v>
      </ns0:c>
      <ns0:c r="J422" s="149" t="n">
        <ns0:f>E422*(F422-G422)</ns0:f>
        <ns0:v>0</ns0:v>
      </ns0:c>
      <ns0:c r="K422" s="149" t="n">
        <ns0:f>IF(AND(B422="开局",G422=0,OR(D422="普通盒",D422="单颗暂存盒")),J422,0)</ns0:f>
        <ns0:v>0</ns0:v>
      </ns0:c>
      <ns0:c r="L422" s="149" t="n">
        <ns0:f>IF(AND(B422="开局",G422&gt;0,OR(D422="普通盒",D422="底部置顶盒",D422="炸弹盒")),J422,0)</ns0:f>
        <ns0:v>0</ns0:v>
      </ns0:c>
      <ns0:c r="M422" s="149" t="n">
        <ns0:f>IF(AND(B422="开局",OR(D422="固定颜色盒",D422="单向收纳盒")),J422,0)</ns0:f>
        <ns0:v>0</ns0:v>
      </ns0:c>
      <ns0:c r="N422" s="149" t="n">
        <ns0:f>IF(AND(B422="开局",OR(D422="数字盖盒",D422="普通冰冻盒",D422="数字冰冻盒",D422="数字冰冻单颗暂存盒")),J422,0)</ns0:f>
        <ns0:v>0</ns0:v>
      </ns0:c>
      <ns0:c r="O422" s="145" t="str">
        <ns0:f>IF(AND(E422&gt;0,E422=INT(E422),G422&gt;=0,G422&lt;=F422,G422=INT(G422),OR(AND(F422=1,OR(D422="单颗暂存盒",D422="数字冰冻单颗暂存盒")),AND(F422=4,NOT(OR(D422="单颗暂存盒",D422="数字冰冻单颗暂存盒")))),IF(OR(D422="数字盖盒",D422="数字冰冻盒",D422="数字冰冻单颗暂存盒"),AND(H422&gt;=1,H422=INT(H422)),H422=0),IF(B422="开局",AND(IF(OR(D422="数字盖盒",D422="普通冰冻盒",D422="数字冰冻盒",D422="炸弹盒",D422="底部置顶盒"),OR(G422=3,G422=4),TRUE),IF(OR(D422="单向收纳盒",D422="单颗暂存盒",D422="数字冰冻单颗暂存盒"),OR(G422=0,G422=1),TRUE),IF(OR(D422="固定颜色盒",D422="广告锁定周转盒"),G422=0,TRUE)),TRUE)),"通过","需调整")</ns0:f>
        <ns0:v>通过</ns0:v>
      </ns0:c>
      <ns0:c r="P422" s="145" t="str">
        <ns0:v>普通盒</ns0:v>
      </ns0:c>
      <ns0:c r="Q422" s="145" t="str">
        <ns0:v>层序JSON:{"reference":"2026-10-12 第61至70关续接设计；自主层序与循环取料节奏","slots":[{"group_id":"W7-068-02","layers":[6,5,2]},{"group_id":"W7-068-01","layers":[12,0,0,3]},{"group_id":"W7-068-01","layers":[6,5,3,8]},{"group_id":"W7-068-01","layers":[0,4,2,12],"hidden":[1,2,3]},{"group_id":"W7-068-01","layers":[8,12,2,4]},{"group_id":"W7-068-01","layers":[3,4,2,12]},{"group_id":"W7-068-01","layers":[3,4,5,0]},{"group_id":"W7-068-01","layers":[6,3,5,8]},{"group_id":"W7-068-02","layers":[8,12,6]},{"group_id":"W7-068-01","layers":[6,8,0,5]},{"group_id":"W7-068-04","layers":[5,0,8,6]},{"group_id":"W7-068-01","layers":[4,12,0,4]},{"group_id":"W7-068-01","layers":[2,5,2,6]},{"group_id":"W7-068-02","layers":[12,3,4]},{"group_id":"W7-068-05","layers":[3,6,4,5]},{"group_id":"W7-068-01","layers":[2,3,8,0]},{"group_id":"W7-068-02","layers":[2,12,8]},{"group_id":"W7-068-03","layers":[]}],"stock":[],"demand_sequences":[[6,5,4,3,12,2,5,8],[8,2,0,12,4,6,3,0]]}</ns0:v>
      </ns0:c>
      <ns0:c r="R422" s="149" t="n">
        <ns0:f>E422*H422</ns0:f>
        <ns0:v>0</ns0:v>
      </ns0:c>
    </ns0:row>
    <ns0:row r="423" ht="21" customHeight="1">
      <ns0:c r="A423" s="150" t="n">
        <ns0:v>68</ns0:v>
      </ns0:c>
      <ns0:c r="B423" s="147" t="str">
        <ns0:v>开局</ns0:v>
      </ns0:c>
      <ns0:c r="C423" s="147" t="str">
        <ns0:v>W7-068-02</ns0:v>
      </ns0:c>
      <ns0:c r="D423" s="147" t="str">
        <ns0:v>普通盒</ns0:v>
      </ns0:c>
      <ns0:c r="E423" s="152" t="n">
        <ns0:v>4</ns0:v>
      </ns0:c>
      <ns0:c r="F423" s="152" t="n">
        <ns0:v>4</ns0:v>
      </ns0:c>
      <ns0:c r="G423" s="152" t="n">
        <ns0:v>3</ns0:v>
      </ns0:c>
      <ns0:c r="H423" s="152" t="n">
        <ns0:v>0</ns0:v>
      </ns0:c>
      <ns0:c r="I423" s="150" t="n">
        <ns0:f>E423*G423</ns0:f>
        <ns0:v>12</ns0:v>
      </ns0:c>
      <ns0:c r="J423" s="150" t="n">
        <ns0:f>E423*(F423-G423)</ns0:f>
        <ns0:v>4</ns0:v>
      </ns0:c>
      <ns0:c r="K423" s="150" t="n">
        <ns0:f>IF(AND(B423="开局",G423=0,OR(D423="普通盒",D423="单颗暂存盒")),J423,0)</ns0:f>
        <ns0:v>0</ns0:v>
      </ns0:c>
      <ns0:c r="L423" s="150" t="n">
        <ns0:f>IF(AND(B423="开局",G423&gt;0,OR(D423="普通盒",D423="底部置顶盒",D423="炸弹盒")),J423,0)</ns0:f>
        <ns0:v>4</ns0:v>
      </ns0:c>
      <ns0:c r="M423" s="150" t="n">
        <ns0:f>IF(AND(B423="开局",OR(D423="固定颜色盒",D423="单向收纳盒")),J423,0)</ns0:f>
        <ns0:v>0</ns0:v>
      </ns0:c>
      <ns0:c r="N423" s="150" t="n">
        <ns0:f>IF(AND(B423="开局",OR(D423="数字盖盒",D423="普通冰冻盒",D423="数字冰冻盒",D423="数字冰冻单颗暂存盒")),J423,0)</ns0:f>
        <ns0:v>0</ns0:v>
      </ns0:c>
      <ns0:c r="O423" s="147" t="str">
        <ns0:f>IF(AND(E423&gt;0,E423=INT(E423),G423&gt;=0,G423&lt;=F423,G423=INT(G423),OR(AND(F423=1,OR(D423="单颗暂存盒",D423="数字冰冻单颗暂存盒")),AND(F423=4,NOT(OR(D423="单颗暂存盒",D423="数字冰冻单颗暂存盒")))),IF(OR(D423="数字盖盒",D423="数字冰冻盒",D423="数字冰冻单颗暂存盒"),AND(H423&gt;=1,H423=INT(H423)),H423=0),IF(B423="开局",AND(IF(OR(D423="数字盖盒",D423="普通冰冻盒",D423="数字冰冻盒",D423="炸弹盒",D423="底部置顶盒"),OR(G423=3,G423=4),TRUE),IF(OR(D423="单向收纳盒",D423="单颗暂存盒",D423="数字冰冻单颗暂存盒"),OR(G423=0,G423=1),TRUE),IF(OR(D423="固定颜色盒",D423="广告锁定周转盒"),G423=0,TRUE)),TRUE)),"通过","需调整")</ns0:f>
        <ns0:v>通过</ns0:v>
      </ns0:c>
      <ns0:c r="P423" s="147" t="str">
        <ns0:v>普通盒</ns0:v>
      </ns0:c>
      <ns0:c r="Q423" s="147" t="str">
        <ns0:v>固定层序见本关首行</ns0:v>
      </ns0:c>
      <ns0:c r="R423" s="150" t="n">
        <ns0:f>E423*H423</ns0:f>
        <ns0:v>0</ns0:v>
      </ns0:c>
    </ns0:row>
    <ns0:row r="424" ht="21" customHeight="1">
      <ns0:c r="A424" s="149" t="n">
        <ns0:v>68</ns0:v>
      </ns0:c>
      <ns0:c r="B424" s="145" t="str">
        <ns0:v>开局</ns0:v>
      </ns0:c>
      <ns0:c r="C424" s="145" t="str">
        <ns0:v>W7-068-03</ns0:v>
      </ns0:c>
      <ns0:c r="D424" s="145" t="str">
        <ns0:v>普通盒</ns0:v>
      </ns0:c>
      <ns0:c r="E424" s="152" t="n">
        <ns0:v>1</ns0:v>
      </ns0:c>
      <ns0:c r="F424" s="152" t="n">
        <ns0:v>4</ns0:v>
      </ns0:c>
      <ns0:c r="G424" s="152" t="n">
        <ns0:v>0</ns0:v>
      </ns0:c>
      <ns0:c r="H424" s="152" t="n">
        <ns0:v>0</ns0:v>
      </ns0:c>
      <ns0:c r="I424" s="149" t="n">
        <ns0:f>E424*G424</ns0:f>
        <ns0:v>0</ns0:v>
      </ns0:c>
      <ns0:c r="J424" s="149" t="n">
        <ns0:f>E424*(F424-G424)</ns0:f>
        <ns0:v>4</ns0:v>
      </ns0:c>
      <ns0:c r="K424" s="149" t="n">
        <ns0:f>IF(AND(B424="开局",G424=0,OR(D424="普通盒",D424="单颗暂存盒")),J424,0)</ns0:f>
        <ns0:v>4</ns0:v>
      </ns0:c>
      <ns0:c r="L424" s="149" t="n">
        <ns0:f>IF(AND(B424="开局",G424&gt;0,OR(D424="普通盒",D424="底部置顶盒",D424="炸弹盒")),J424,0)</ns0:f>
        <ns0:v>0</ns0:v>
      </ns0:c>
      <ns0:c r="M424" s="149" t="n">
        <ns0:f>IF(AND(B424="开局",OR(D424="固定颜色盒",D424="单向收纳盒")),J424,0)</ns0:f>
        <ns0:v>0</ns0:v>
      </ns0:c>
      <ns0:c r="N424" s="149" t="n">
        <ns0:f>IF(AND(B424="开局",OR(D424="数字盖盒",D424="普通冰冻盒",D424="数字冰冻盒",D424="数字冰冻单颗暂存盒")),J424,0)</ns0:f>
        <ns0:v>0</ns0:v>
      </ns0:c>
      <ns0:c r="O424" s="145" t="str">
        <ns0:f>IF(AND(E424&gt;0,E424=INT(E424),G424&gt;=0,G424&lt;=F424,G424=INT(G424),OR(AND(F424=1,OR(D424="单颗暂存盒",D424="数字冰冻单颗暂存盒")),AND(F424=4,NOT(OR(D424="单颗暂存盒",D424="数字冰冻单颗暂存盒")))),IF(OR(D424="数字盖盒",D424="数字冰冻盒",D424="数字冰冻单颗暂存盒"),AND(H424&gt;=1,H424=INT(H424)),H424=0),IF(B424="开局",AND(IF(OR(D424="数字盖盒",D424="普通冰冻盒",D424="数字冰冻盒",D424="炸弹盒",D424="底部置顶盒"),OR(G424=3,G424=4),TRUE),IF(OR(D424="单向收纳盒",D424="单颗暂存盒",D424="数字冰冻单颗暂存盒"),OR(G424=0,G424=1),TRUE),IF(OR(D424="固定颜色盒",D424="广告锁定周转盒"),G424=0,TRUE)),TRUE)),"通过","需调整")</ns0:f>
        <ns0:v>通过</ns0:v>
      </ns0:c>
      <ns0:c r="P424" s="145" t="str">
        <ns0:v>普通盒</ns0:v>
      </ns0:c>
      <ns0:c r="Q424" s="145" t="str">
        <ns0:v>固定层序见本关首行</ns0:v>
      </ns0:c>
      <ns0:c r="R424" s="149" t="n">
        <ns0:f>E424*H424</ns0:f>
        <ns0:v>0</ns0:v>
      </ns0:c>
    </ns0:row>
    <ns0:row r="425" ht="21" customHeight="1">
      <ns0:c r="A425" s="150" t="n">
        <ns0:v>68</ns0:v>
      </ns0:c>
      <ns0:c r="B425" s="147" t="str">
        <ns0:v>开局</ns0:v>
      </ns0:c>
      <ns0:c r="C425" s="147" t="str">
        <ns0:v>W7-068-04</ns0:v>
      </ns0:c>
      <ns0:c r="D425" s="147" t="str">
        <ns0:v>底部置顶盒</ns0:v>
      </ns0:c>
      <ns0:c r="E425" s="152" t="n">
        <ns0:v>1</ns0:v>
      </ns0:c>
      <ns0:c r="F425" s="152" t="n">
        <ns0:v>4</ns0:v>
      </ns0:c>
      <ns0:c r="G425" s="152" t="n">
        <ns0:v>4</ns0:v>
      </ns0:c>
      <ns0:c r="H425" s="152" t="n">
        <ns0:v>0</ns0:v>
      </ns0:c>
      <ns0:c r="I425" s="150" t="n">
        <ns0:f>E425*G425</ns0:f>
        <ns0:v>4</ns0:v>
      </ns0:c>
      <ns0:c r="J425" s="150" t="n">
        <ns0:f>E425*(F425-G425)</ns0:f>
        <ns0:v>0</ns0:v>
      </ns0:c>
      <ns0:c r="K425" s="150" t="n">
        <ns0:f>IF(AND(B425="开局",G425=0,OR(D425="普通盒",D425="单颗暂存盒")),J425,0)</ns0:f>
        <ns0:v>0</ns0:v>
      </ns0:c>
      <ns0:c r="L425" s="150" t="n">
        <ns0:f>IF(AND(B425="开局",G425&gt;0,OR(D425="普通盒",D425="底部置顶盒",D425="炸弹盒")),J425,0)</ns0:f>
        <ns0:v>0</ns0:v>
      </ns0:c>
      <ns0:c r="M425" s="150" t="n">
        <ns0:f>IF(AND(B425="开局",OR(D425="固定颜色盒",D425="单向收纳盒")),J425,0)</ns0:f>
        <ns0:v>0</ns0:v>
      </ns0:c>
      <ns0:c r="N425" s="150" t="n">
        <ns0:f>IF(AND(B425="开局",OR(D425="数字盖盒",D425="普通冰冻盒",D425="数字冰冻盒",D425="数字冰冻单颗暂存盒")),J425,0)</ns0:f>
        <ns0:v>0</ns0:v>
      </ns0:c>
      <ns0:c r="O425" s="147" t="str">
        <ns0:f>IF(AND(E425&gt;0,E425=INT(E425),G425&gt;=0,G425&lt;=F425,G425=INT(G425),OR(AND(F425=1,OR(D425="单颗暂存盒",D425="数字冰冻单颗暂存盒")),AND(F425=4,NOT(OR(D425="单颗暂存盒",D425="数字冰冻单颗暂存盒")))),IF(OR(D425="数字盖盒",D425="数字冰冻盒",D425="数字冰冻单颗暂存盒"),AND(H425&gt;=1,H425=INT(H425)),H425=0),IF(B425="开局",AND(IF(OR(D425="数字盖盒",D425="普通冰冻盒",D425="数字冰冻盒",D425="炸弹盒",D425="底部置顶盒"),OR(G425=3,G425=4),TRUE),IF(OR(D425="单向收纳盒",D425="单颗暂存盒",D425="数字冰冻单颗暂存盒"),OR(G425=0,G425=1),TRUE),IF(OR(D425="固定颜色盒",D425="广告锁定周转盒"),G425=0,TRUE)),TRUE)),"通过","需调整")</ns0:f>
        <ns0:v>通过</ns0:v>
      </ns0:c>
      <ns0:c r="P425" s="147" t="str">
        <ns0:v>底部置顶盒</ns0:v>
      </ns0:c>
      <ns0:c r="Q425" s="147" t="str">
        <ns0:v>固定层序见本关首行</ns0:v>
      </ns0:c>
      <ns0:c r="R425" s="150" t="n">
        <ns0:f>E425*H425</ns0:f>
        <ns0:v>0</ns0:v>
      </ns0:c>
    </ns0:row>
    <ns0:row r="426" ht="21" customHeight="1">
      <ns0:c r="A426" s="149" t="n">
        <ns0:v>68</ns0:v>
      </ns0:c>
      <ns0:c r="B426" s="145" t="str">
        <ns0:v>开局</ns0:v>
      </ns0:c>
      <ns0:c r="C426" s="145" t="str">
        <ns0:v>W7-068-05</ns0:v>
      </ns0:c>
      <ns0:c r="D426" s="145" t="str">
        <ns0:v>数字冰冻盒</ns0:v>
      </ns0:c>
      <ns0:c r="E426" s="152" t="n">
        <ns0:v>1</ns0:v>
      </ns0:c>
      <ns0:c r="F426" s="152" t="n">
        <ns0:v>4</ns0:v>
      </ns0:c>
      <ns0:c r="G426" s="152" t="n">
        <ns0:v>4</ns0:v>
      </ns0:c>
      <ns0:c r="H426" s="152" t="n">
        <ns0:v>1</ns0:v>
      </ns0:c>
      <ns0:c r="I426" s="149" t="n">
        <ns0:f>E426*G426</ns0:f>
        <ns0:v>4</ns0:v>
      </ns0:c>
      <ns0:c r="J426" s="149" t="n">
        <ns0:f>E426*(F426-G426)</ns0:f>
        <ns0:v>0</ns0:v>
      </ns0:c>
      <ns0:c r="K426" s="149" t="n">
        <ns0:f>IF(AND(B426="开局",G426=0,OR(D426="普通盒",D426="单颗暂存盒")),J426,0)</ns0:f>
        <ns0:v>0</ns0:v>
      </ns0:c>
      <ns0:c r="L426" s="149" t="n">
        <ns0:f>IF(AND(B426="开局",G426&gt;0,OR(D426="普通盒",D426="底部置顶盒",D426="炸弹盒")),J426,0)</ns0:f>
        <ns0:v>0</ns0:v>
      </ns0:c>
      <ns0:c r="M426" s="149" t="n">
        <ns0:f>IF(AND(B426="开局",OR(D426="固定颜色盒",D426="单向收纳盒")),J426,0)</ns0:f>
        <ns0:v>0</ns0:v>
      </ns0:c>
      <ns0:c r="N426" s="149" t="n">
        <ns0:f>IF(AND(B426="开局",OR(D426="数字盖盒",D426="普通冰冻盒",D426="数字冰冻盒",D426="数字冰冻单颗暂存盒")),J426,0)</ns0:f>
        <ns0:v>0</ns0:v>
      </ns0:c>
      <ns0:c r="O426" s="145" t="str">
        <ns0:f>IF(AND(E426&gt;0,E426=INT(E426),G426&gt;=0,G426&lt;=F426,G426=INT(G426),OR(AND(F426=1,OR(D426="单颗暂存盒",D426="数字冰冻单颗暂存盒")),AND(F426=4,NOT(OR(D426="单颗暂存盒",D426="数字冰冻单颗暂存盒")))),IF(OR(D426="数字盖盒",D426="数字冰冻盒",D426="数字冰冻单颗暂存盒"),AND(H426&gt;=1,H426=INT(H426)),H426=0),IF(B426="开局",AND(IF(OR(D426="数字盖盒",D426="普通冰冻盒",D426="数字冰冻盒",D426="炸弹盒",D426="底部置顶盒"),OR(G426=3,G426=4),TRUE),IF(OR(D426="单向收纳盒",D426="单颗暂存盒",D426="数字冰冻单颗暂存盒"),OR(G426=0,G426=1),TRUE),IF(OR(D426="固定颜色盒",D426="广告锁定周转盒"),G426=0,TRUE)),TRUE)),"通过","需调整")</ns0:f>
        <ns0:v>通过</ns0:v>
      </ns0:c>
      <ns0:c r="P426" s="145" t="str">
        <ns0:v>数字冰冻盒</ns0:v>
      </ns0:c>
      <ns0:c r="Q426" s="145" t="str">
        <ns0:v>固定层序见本关首行</ns0:v>
      </ns0:c>
      <ns0:c r="R426" s="149" t="n">
        <ns0:f>E426*H426</ns0:f>
        <ns0:v>1</ns0:v>
      </ns0:c>
    </ns0:row>
    <ns0:row r="427" ht="21" customHeight="1">
      <ns0:c r="A427" s="150" t="n">
        <ns0:v>68</ns0:v>
      </ns0:c>
      <ns0:c r="B427" s="147" t="str">
        <ns0:v>开局</ns0:v>
      </ns0:c>
      <ns0:c r="C427" s="147" t="str">
        <ns0:v>W7-068-06</ns0:v>
      </ns0:c>
      <ns0:c r="D427" s="147" t="str">
        <ns0:v>广告锁定周转盒</ns0:v>
      </ns0:c>
      <ns0:c r="E427" s="152" t="n">
        <ns0:v>2</ns0:v>
      </ns0:c>
      <ns0:c r="F427" s="152" t="n">
        <ns0:v>4</ns0:v>
      </ns0:c>
      <ns0:c r="G427" s="152" t="n">
        <ns0:v>0</ns0:v>
      </ns0:c>
      <ns0:c r="H427" s="152" t="n">
        <ns0:v>0</ns0:v>
      </ns0:c>
      <ns0:c r="I427" s="150" t="n">
        <ns0:f>E427*G427</ns0:f>
        <ns0:v>0</ns0:v>
      </ns0:c>
      <ns0:c r="J427" s="150" t="n">
        <ns0:f>E427*(F427-G427)</ns0:f>
        <ns0:v>8</ns0:v>
      </ns0:c>
      <ns0:c r="K427" s="150" t="n">
        <ns0:f>IF(AND(B427="开局",G427=0,OR(D427="普通盒",D427="单颗暂存盒")),J427,0)</ns0:f>
        <ns0:v>0</ns0:v>
      </ns0:c>
      <ns0:c r="L427" s="150" t="n">
        <ns0:f>IF(AND(B427="开局",G427&gt;0,OR(D427="普通盒",D427="底部置顶盒",D427="炸弹盒")),J427,0)</ns0:f>
        <ns0:v>0</ns0:v>
      </ns0:c>
      <ns0:c r="M427" s="150" t="n">
        <ns0:f>IF(AND(B427="开局",OR(D427="固定颜色盒",D427="单向收纳盒")),J427,0)</ns0:f>
        <ns0:v>0</ns0:v>
      </ns0:c>
      <ns0:c r="N427" s="150" t="n">
        <ns0:f>IF(AND(B427="开局",OR(D427="数字盖盒",D427="普通冰冻盒",D427="数字冰冻盒",D427="数字冰冻单颗暂存盒")),J427,0)</ns0:f>
        <ns0:v>0</ns0:v>
      </ns0:c>
      <ns0:c r="O427" s="147" t="str">
        <ns0:f>IF(AND(E427&gt;0,E427=INT(E427),G427&gt;=0,G427&lt;=F427,G427=INT(G427),OR(AND(F427=1,OR(D427="单颗暂存盒",D427="数字冰冻单颗暂存盒")),AND(F427=4,NOT(OR(D427="单颗暂存盒",D427="数字冰冻单颗暂存盒")))),IF(OR(D427="数字盖盒",D427="数字冰冻盒",D427="数字冰冻单颗暂存盒"),AND(H427&gt;=1,H427=INT(H427)),H427=0),IF(B427="开局",AND(IF(OR(D427="数字盖盒",D427="普通冰冻盒",D427="数字冰冻盒",D427="炸弹盒",D427="底部置顶盒"),OR(G427=3,G427=4),TRUE),IF(OR(D427="单向收纳盒",D427="单颗暂存盒",D427="数字冰冻单颗暂存盒"),OR(G427=0,G427=1),TRUE),IF(OR(D427="固定颜色盒",D427="广告锁定周转盒"),G427=0,TRUE)),TRUE)),"通过","需调整")</ns0:f>
        <ns0:v>通过</ns0:v>
      </ns0:c>
      <ns0:c r="P427" s="147" t="str">
        <ns0:v>双广告锁位</ns0:v>
      </ns0:c>
      <ns0:c r="Q427" s="147" t="str">
        <ns0:v>固定层序见本关首行</ns0:v>
      </ns0:c>
      <ns0:c r="R427" s="150" t="n">
        <ns0:f>E427*H427</ns0:f>
        <ns0:v>0</ns0:v>
      </ns0:c>
    </ns0:row>
    <ns0:row r="428" ht="21" customHeight="1">
      <ns0:c r="A428" s="149" t="n">
        <ns0:v>69</ns0:v>
      </ns0:c>
      <ns0:c r="B428" s="145" t="str">
        <ns0:v>开局</ns0:v>
      </ns0:c>
      <ns0:c r="C428" s="145" t="str">
        <ns0:v>W7-069-01</ns0:v>
      </ns0:c>
      <ns0:c r="D428" s="145" t="str">
        <ns0:v>普通盒</ns0:v>
      </ns0:c>
      <ns0:c r="E428" s="152" t="n">
        <ns0:v>9</ns0:v>
      </ns0:c>
      <ns0:c r="F428" s="152" t="n">
        <ns0:v>4</ns0:v>
      </ns0:c>
      <ns0:c r="G428" s="152" t="n">
        <ns0:v>4</ns0:v>
      </ns0:c>
      <ns0:c r="H428" s="152" t="n">
        <ns0:v>0</ns0:v>
      </ns0:c>
      <ns0:c r="I428" s="149" t="n">
        <ns0:f>E428*G428</ns0:f>
        <ns0:v>36</ns0:v>
      </ns0:c>
      <ns0:c r="J428" s="149" t="n">
        <ns0:f>E428*(F428-G428)</ns0:f>
        <ns0:v>0</ns0:v>
      </ns0:c>
      <ns0:c r="K428" s="149" t="n">
        <ns0:f>IF(AND(B428="开局",G428=0,OR(D428="普通盒",D428="单颗暂存盒")),J428,0)</ns0:f>
        <ns0:v>0</ns0:v>
      </ns0:c>
      <ns0:c r="L428" s="149" t="n">
        <ns0:f>IF(AND(B428="开局",G428&gt;0,OR(D428="普通盒",D428="底部置顶盒",D428="炸弹盒")),J428,0)</ns0:f>
        <ns0:v>0</ns0:v>
      </ns0:c>
      <ns0:c r="M428" s="149" t="n">
        <ns0:f>IF(AND(B428="开局",OR(D428="固定颜色盒",D428="单向收纳盒")),J428,0)</ns0:f>
        <ns0:v>0</ns0:v>
      </ns0:c>
      <ns0:c r="N428" s="149" t="n">
        <ns0:f>IF(AND(B428="开局",OR(D428="数字盖盒",D428="普通冰冻盒",D428="数字冰冻盒",D428="数字冰冻单颗暂存盒")),J428,0)</ns0:f>
        <ns0:v>0</ns0:v>
      </ns0:c>
      <ns0:c r="O428" s="145" t="str">
        <ns0:f>IF(AND(E428&gt;0,E428=INT(E428),G428&gt;=0,G428&lt;=F428,G428=INT(G428),OR(AND(F428=1,OR(D428="单颗暂存盒",D428="数字冰冻单颗暂存盒")),AND(F428=4,NOT(OR(D428="单颗暂存盒",D428="数字冰冻单颗暂存盒")))),IF(OR(D428="数字盖盒",D428="数字冰冻盒",D428="数字冰冻单颗暂存盒"),AND(H428&gt;=1,H428=INT(H428)),H428=0),IF(B428="开局",AND(IF(OR(D428="数字盖盒",D428="普通冰冻盒",D428="数字冰冻盒",D428="炸弹盒",D428="底部置顶盒"),OR(G428=3,G428=4),TRUE),IF(OR(D428="单向收纳盒",D428="单颗暂存盒",D428="数字冰冻单颗暂存盒"),OR(G428=0,G428=1),TRUE),IF(OR(D428="固定颜色盒",D428="广告锁定周转盒"),G428=0,TRUE)),TRUE)),"通过","需调整")</ns0:f>
        <ns0:v>通过</ns0:v>
      </ns0:c>
      <ns0:c r="P428" s="145" t="str">
        <ns0:v>普通盒</ns0:v>
      </ns0:c>
      <ns0:c r="Q428" s="145" t="str">
        <ns0:v>层序JSON:{"reference":"2026-10-12 第61至70关续接设计；自主层序与循环取料节奏","slots":[{"group_id":"W7-069-01","layers":[2,12,6,8],"hidden":[1,2,3]},{"group_id":"W7-069-01","layers":[3,8,12,3]},{"group_id":"W7-069-02","layers":[2,6,12]},{"group_id":"W7-069-01","layers":[12,0,4,8]},{"group_id":"W7-069-01","layers":[12,3,6,5]},{"group_id":"W7-069-06","layers":[5]},{"group_id":"W7-069-01","layers":[0,5,8,2]},{"group_id":"W7-069-01","layers":[6,0,8,0]},{"group_id":"W7-069-02","layers":[12,0,5]},{"group_id":"W7-069-01","layers":[0,0,4,3]},{"group_id":"W7-069-01","layers":[5,5,2,6]},{"group_id":"W7-069-01","layers":[12,4,0,4]},{"group_id":"W7-069-03","layers":[6,3]},{"group_id":"W7-069-05","layers":[5,2,6,0]},{"group_id":"W7-069-03","layers":[8,2]},{"group_id":"W7-069-04","layers":[4,2,0,3]},{"group_id":"W7-069-03","layers":[3,0]},{"group_id":"W7-069-02","layers":[8,2,4]}],"stock":[{"group_id":"W7-069-08","layers":[8,4,6,4]},{"group_id":"W7-069-08","layers":[12,0,3,5]}],"demand_sequences":[[0,12,3,5,0,3,2,8,5],[8,2,4,12,6,4,6,0]]}</ns0:v>
      </ns0:c>
      <ns0:c r="R428" s="149" t="n">
        <ns0:f>E428*H428</ns0:f>
        <ns0:v>0</ns0:v>
      </ns0:c>
    </ns0:row>
    <ns0:row r="429" ht="21" customHeight="1">
      <ns0:c r="A429" s="150" t="n">
        <ns0:v>69</ns0:v>
      </ns0:c>
      <ns0:c r="B429" s="147" t="str">
        <ns0:v>开局</ns0:v>
      </ns0:c>
      <ns0:c r="C429" s="147" t="str">
        <ns0:v>W7-069-02</ns0:v>
      </ns0:c>
      <ns0:c r="D429" s="147" t="str">
        <ns0:v>普通盒</ns0:v>
      </ns0:c>
      <ns0:c r="E429" s="152" t="n">
        <ns0:v>3</ns0:v>
      </ns0:c>
      <ns0:c r="F429" s="152" t="n">
        <ns0:v>4</ns0:v>
      </ns0:c>
      <ns0:c r="G429" s="152" t="n">
        <ns0:v>3</ns0:v>
      </ns0:c>
      <ns0:c r="H429" s="152" t="n">
        <ns0:v>0</ns0:v>
      </ns0:c>
      <ns0:c r="I429" s="150" t="n">
        <ns0:f>E429*G429</ns0:f>
        <ns0:v>9</ns0:v>
      </ns0:c>
      <ns0:c r="J429" s="150" t="n">
        <ns0:f>E429*(F429-G429)</ns0:f>
        <ns0:v>3</ns0:v>
      </ns0:c>
      <ns0:c r="K429" s="150" t="n">
        <ns0:f>IF(AND(B429="开局",G429=0,OR(D429="普通盒",D429="单颗暂存盒")),J429,0)</ns0:f>
        <ns0:v>0</ns0:v>
      </ns0:c>
      <ns0:c r="L429" s="150" t="n">
        <ns0:f>IF(AND(B429="开局",G429&gt;0,OR(D429="普通盒",D429="底部置顶盒",D429="炸弹盒")),J429,0)</ns0:f>
        <ns0:v>3</ns0:v>
      </ns0:c>
      <ns0:c r="M429" s="150" t="n">
        <ns0:f>IF(AND(B429="开局",OR(D429="固定颜色盒",D429="单向收纳盒")),J429,0)</ns0:f>
        <ns0:v>0</ns0:v>
      </ns0:c>
      <ns0:c r="N429" s="150" t="n">
        <ns0:f>IF(AND(B429="开局",OR(D429="数字盖盒",D429="普通冰冻盒",D429="数字冰冻盒",D429="数字冰冻单颗暂存盒")),J429,0)</ns0:f>
        <ns0:v>0</ns0:v>
      </ns0:c>
      <ns0:c r="O429" s="147" t="str">
        <ns0:f>IF(AND(E429&gt;0,E429=INT(E429),G429&gt;=0,G429&lt;=F429,G429=INT(G429),OR(AND(F429=1,OR(D429="单颗暂存盒",D429="数字冰冻单颗暂存盒")),AND(F429=4,NOT(OR(D429="单颗暂存盒",D429="数字冰冻单颗暂存盒")))),IF(OR(D429="数字盖盒",D429="数字冰冻盒",D429="数字冰冻单颗暂存盒"),AND(H429&gt;=1,H429=INT(H429)),H429=0),IF(B429="开局",AND(IF(OR(D429="数字盖盒",D429="普通冰冻盒",D429="数字冰冻盒",D429="炸弹盒",D429="底部置顶盒"),OR(G429=3,G429=4),TRUE),IF(OR(D429="单向收纳盒",D429="单颗暂存盒",D429="数字冰冻单颗暂存盒"),OR(G429=0,G429=1),TRUE),IF(OR(D429="固定颜色盒",D429="广告锁定周转盒"),G429=0,TRUE)),TRUE)),"通过","需调整")</ns0:f>
        <ns0:v>通过</ns0:v>
      </ns0:c>
      <ns0:c r="P429" s="147" t="str">
        <ns0:v>普通盒</ns0:v>
      </ns0:c>
      <ns0:c r="Q429" s="147" t="str">
        <ns0:v>固定层序见本关首行</ns0:v>
      </ns0:c>
      <ns0:c r="R429" s="150" t="n">
        <ns0:f>E429*H429</ns0:f>
        <ns0:v>0</ns0:v>
      </ns0:c>
    </ns0:row>
    <ns0:row r="430" ht="21" customHeight="1">
      <ns0:c r="A430" s="149" t="n">
        <ns0:v>69</ns0:v>
      </ns0:c>
      <ns0:c r="B430" s="145" t="str">
        <ns0:v>开局</ns0:v>
      </ns0:c>
      <ns0:c r="C430" s="145" t="str">
        <ns0:v>W7-069-03</ns0:v>
      </ns0:c>
      <ns0:c r="D430" s="145" t="str">
        <ns0:v>普通盒</ns0:v>
      </ns0:c>
      <ns0:c r="E430" s="152" t="n">
        <ns0:v>3</ns0:v>
      </ns0:c>
      <ns0:c r="F430" s="152" t="n">
        <ns0:v>4</ns0:v>
      </ns0:c>
      <ns0:c r="G430" s="152" t="n">
        <ns0:v>2</ns0:v>
      </ns0:c>
      <ns0:c r="H430" s="152" t="n">
        <ns0:v>0</ns0:v>
      </ns0:c>
      <ns0:c r="I430" s="149" t="n">
        <ns0:f>E430*G430</ns0:f>
        <ns0:v>6</ns0:v>
      </ns0:c>
      <ns0:c r="J430" s="149" t="n">
        <ns0:f>E430*(F430-G430)</ns0:f>
        <ns0:v>6</ns0:v>
      </ns0:c>
      <ns0:c r="K430" s="149" t="n">
        <ns0:f>IF(AND(B430="开局",G430=0,OR(D430="普通盒",D430="单颗暂存盒")),J430,0)</ns0:f>
        <ns0:v>0</ns0:v>
      </ns0:c>
      <ns0:c r="L430" s="149" t="n">
        <ns0:f>IF(AND(B430="开局",G430&gt;0,OR(D430="普通盒",D430="底部置顶盒",D430="炸弹盒")),J430,0)</ns0:f>
        <ns0:v>6</ns0:v>
      </ns0:c>
      <ns0:c r="M430" s="149" t="n">
        <ns0:f>IF(AND(B430="开局",OR(D430="固定颜色盒",D430="单向收纳盒")),J430,0)</ns0:f>
        <ns0:v>0</ns0:v>
      </ns0:c>
      <ns0:c r="N430" s="149" t="n">
        <ns0:f>IF(AND(B430="开局",OR(D430="数字盖盒",D430="普通冰冻盒",D430="数字冰冻盒",D430="数字冰冻单颗暂存盒")),J430,0)</ns0:f>
        <ns0:v>0</ns0:v>
      </ns0:c>
      <ns0:c r="O430" s="145" t="str">
        <ns0:f>IF(AND(E430&gt;0,E430=INT(E430),G430&gt;=0,G430&lt;=F430,G430=INT(G430),OR(AND(F430=1,OR(D430="单颗暂存盒",D430="数字冰冻单颗暂存盒")),AND(F430=4,NOT(OR(D430="单颗暂存盒",D430="数字冰冻单颗暂存盒")))),IF(OR(D430="数字盖盒",D430="数字冰冻盒",D430="数字冰冻单颗暂存盒"),AND(H430&gt;=1,H430=INT(H430)),H430=0),IF(B430="开局",AND(IF(OR(D430="数字盖盒",D430="普通冰冻盒",D430="数字冰冻盒",D430="炸弹盒",D430="底部置顶盒"),OR(G430=3,G430=4),TRUE),IF(OR(D430="单向收纳盒",D430="单颗暂存盒",D430="数字冰冻单颗暂存盒"),OR(G430=0,G430=1),TRUE),IF(OR(D430="固定颜色盒",D430="广告锁定周转盒"),G430=0,TRUE)),TRUE)),"通过","需调整")</ns0:f>
        <ns0:v>通过</ns0:v>
      </ns0:c>
      <ns0:c r="P430" s="145" t="str">
        <ns0:v>普通盒</ns0:v>
      </ns0:c>
      <ns0:c r="Q430" s="145" t="str">
        <ns0:v>固定层序见本关首行</ns0:v>
      </ns0:c>
      <ns0:c r="R430" s="149" t="n">
        <ns0:f>E430*H430</ns0:f>
        <ns0:v>0</ns0:v>
      </ns0:c>
    </ns0:row>
    <ns0:row r="431" ht="21" customHeight="1">
      <ns0:c r="A431" s="150" t="n">
        <ns0:v>69</ns0:v>
      </ns0:c>
      <ns0:c r="B431" s="147" t="str">
        <ns0:v>开局</ns0:v>
      </ns0:c>
      <ns0:c r="C431" s="147" t="str">
        <ns0:v>W7-069-04</ns0:v>
      </ns0:c>
      <ns0:c r="D431" s="147" t="str">
        <ns0:v>底部置顶盒</ns0:v>
      </ns0:c>
      <ns0:c r="E431" s="152" t="n">
        <ns0:v>1</ns0:v>
      </ns0:c>
      <ns0:c r="F431" s="152" t="n">
        <ns0:v>4</ns0:v>
      </ns0:c>
      <ns0:c r="G431" s="152" t="n">
        <ns0:v>4</ns0:v>
      </ns0:c>
      <ns0:c r="H431" s="152" t="n">
        <ns0:v>0</ns0:v>
      </ns0:c>
      <ns0:c r="I431" s="150" t="n">
        <ns0:f>E431*G431</ns0:f>
        <ns0:v>4</ns0:v>
      </ns0:c>
      <ns0:c r="J431" s="150" t="n">
        <ns0:f>E431*(F431-G431)</ns0:f>
        <ns0:v>0</ns0:v>
      </ns0:c>
      <ns0:c r="K431" s="150" t="n">
        <ns0:f>IF(AND(B431="开局",G431=0,OR(D431="普通盒",D431="单颗暂存盒")),J431,0)</ns0:f>
        <ns0:v>0</ns0:v>
      </ns0:c>
      <ns0:c r="L431" s="150" t="n">
        <ns0:f>IF(AND(B431="开局",G431&gt;0,OR(D431="普通盒",D431="底部置顶盒",D431="炸弹盒")),J431,0)</ns0:f>
        <ns0:v>0</ns0:v>
      </ns0:c>
      <ns0:c r="M431" s="150" t="n">
        <ns0:f>IF(AND(B431="开局",OR(D431="固定颜色盒",D431="单向收纳盒")),J431,0)</ns0:f>
        <ns0:v>0</ns0:v>
      </ns0:c>
      <ns0:c r="N431" s="150" t="n">
        <ns0:f>IF(AND(B431="开局",OR(D431="数字盖盒",D431="普通冰冻盒",D431="数字冰冻盒",D431="数字冰冻单颗暂存盒")),J431,0)</ns0:f>
        <ns0:v>0</ns0:v>
      </ns0:c>
      <ns0:c r="O431" s="147" t="str">
        <ns0:f>IF(AND(E431&gt;0,E431=INT(E431),G431&gt;=0,G431&lt;=F431,G431=INT(G431),OR(AND(F431=1,OR(D431="单颗暂存盒",D431="数字冰冻单颗暂存盒")),AND(F431=4,NOT(OR(D431="单颗暂存盒",D431="数字冰冻单颗暂存盒")))),IF(OR(D431="数字盖盒",D431="数字冰冻盒",D431="数字冰冻单颗暂存盒"),AND(H431&gt;=1,H431=INT(H431)),H431=0),IF(B431="开局",AND(IF(OR(D431="数字盖盒",D431="普通冰冻盒",D431="数字冰冻盒",D431="炸弹盒",D431="底部置顶盒"),OR(G431=3,G431=4),TRUE),IF(OR(D431="单向收纳盒",D431="单颗暂存盒",D431="数字冰冻单颗暂存盒"),OR(G431=0,G431=1),TRUE),IF(OR(D431="固定颜色盒",D431="广告锁定周转盒"),G431=0,TRUE)),TRUE)),"通过","需调整")</ns0:f>
        <ns0:v>通过</ns0:v>
      </ns0:c>
      <ns0:c r="P431" s="147" t="str">
        <ns0:v>底部置顶盒</ns0:v>
      </ns0:c>
      <ns0:c r="Q431" s="147" t="str">
        <ns0:v>固定层序见本关首行</ns0:v>
      </ns0:c>
      <ns0:c r="R431" s="150" t="n">
        <ns0:f>E431*H431</ns0:f>
        <ns0:v>0</ns0:v>
      </ns0:c>
    </ns0:row>
    <ns0:row r="432" ht="21" customHeight="1">
      <ns0:c r="A432" s="149" t="n">
        <ns0:v>69</ns0:v>
      </ns0:c>
      <ns0:c r="B432" s="145" t="str">
        <ns0:v>开局</ns0:v>
      </ns0:c>
      <ns0:c r="C432" s="145" t="str">
        <ns0:v>W7-069-05</ns0:v>
      </ns0:c>
      <ns0:c r="D432" s="145" t="str">
        <ns0:v>数字冰冻盒</ns0:v>
      </ns0:c>
      <ns0:c r="E432" s="152" t="n">
        <ns0:v>1</ns0:v>
      </ns0:c>
      <ns0:c r="F432" s="152" t="n">
        <ns0:v>4</ns0:v>
      </ns0:c>
      <ns0:c r="G432" s="152" t="n">
        <ns0:v>4</ns0:v>
      </ns0:c>
      <ns0:c r="H432" s="152" t="n">
        <ns0:v>2</ns0:v>
      </ns0:c>
      <ns0:c r="I432" s="149" t="n">
        <ns0:f>E432*G432</ns0:f>
        <ns0:v>4</ns0:v>
      </ns0:c>
      <ns0:c r="J432" s="149" t="n">
        <ns0:f>E432*(F432-G432)</ns0:f>
        <ns0:v>0</ns0:v>
      </ns0:c>
      <ns0:c r="K432" s="149" t="n">
        <ns0:f>IF(AND(B432="开局",G432=0,OR(D432="普通盒",D432="单颗暂存盒")),J432,0)</ns0:f>
        <ns0:v>0</ns0:v>
      </ns0:c>
      <ns0:c r="L432" s="149" t="n">
        <ns0:f>IF(AND(B432="开局",G432&gt;0,OR(D432="普通盒",D432="底部置顶盒",D432="炸弹盒")),J432,0)</ns0:f>
        <ns0:v>0</ns0:v>
      </ns0:c>
      <ns0:c r="M432" s="149" t="n">
        <ns0:f>IF(AND(B432="开局",OR(D432="固定颜色盒",D432="单向收纳盒")),J432,0)</ns0:f>
        <ns0:v>0</ns0:v>
      </ns0:c>
      <ns0:c r="N432" s="149" t="n">
        <ns0:f>IF(AND(B432="开局",OR(D432="数字盖盒",D432="普通冰冻盒",D432="数字冰冻盒",D432="数字冰冻单颗暂存盒")),J432,0)</ns0:f>
        <ns0:v>0</ns0:v>
      </ns0:c>
      <ns0:c r="O432" s="145" t="str">
        <ns0:f>IF(AND(E432&gt;0,E432=INT(E432),G432&gt;=0,G432&lt;=F432,G432=INT(G432),OR(AND(F432=1,OR(D432="单颗暂存盒",D432="数字冰冻单颗暂存盒")),AND(F432=4,NOT(OR(D432="单颗暂存盒",D432="数字冰冻单颗暂存盒")))),IF(OR(D432="数字盖盒",D432="数字冰冻盒",D432="数字冰冻单颗暂存盒"),AND(H432&gt;=1,H432=INT(H432)),H432=0),IF(B432="开局",AND(IF(OR(D432="数字盖盒",D432="普通冰冻盒",D432="数字冰冻盒",D432="炸弹盒",D432="底部置顶盒"),OR(G432=3,G432=4),TRUE),IF(OR(D432="单向收纳盒",D432="单颗暂存盒",D432="数字冰冻单颗暂存盒"),OR(G432=0,G432=1),TRUE),IF(OR(D432="固定颜色盒",D432="广告锁定周转盒"),G432=0,TRUE)),TRUE)),"通过","需调整")</ns0:f>
        <ns0:v>通过</ns0:v>
      </ns0:c>
      <ns0:c r="P432" s="145" t="str">
        <ns0:v>数字冰冻盒</ns0:v>
      </ns0:c>
      <ns0:c r="Q432" s="145" t="str">
        <ns0:v>固定层序见本关首行</ns0:v>
      </ns0:c>
      <ns0:c r="R432" s="149" t="n">
        <ns0:f>E432*H432</ns0:f>
        <ns0:v>2</ns0:v>
      </ns0:c>
    </ns0:row>
    <ns0:row r="433" ht="21" customHeight="1">
      <ns0:c r="A433" s="150" t="n">
        <ns0:v>69</ns0:v>
      </ns0:c>
      <ns0:c r="B433" s="147" t="str">
        <ns0:v>开局</ns0:v>
      </ns0:c>
      <ns0:c r="C433" s="147" t="str">
        <ns0:v>W7-069-06</ns0:v>
      </ns0:c>
      <ns0:c r="D433" s="147" t="str">
        <ns0:v>单颗暂存盒</ns0:v>
      </ns0:c>
      <ns0:c r="E433" s="152" t="n">
        <ns0:v>1</ns0:v>
      </ns0:c>
      <ns0:c r="F433" s="152" t="n">
        <ns0:v>1</ns0:v>
      </ns0:c>
      <ns0:c r="G433" s="152" t="n">
        <ns0:v>1</ns0:v>
      </ns0:c>
      <ns0:c r="H433" s="152" t="n">
        <ns0:v>0</ns0:v>
      </ns0:c>
      <ns0:c r="I433" s="150" t="n">
        <ns0:f>E433*G433</ns0:f>
        <ns0:v>1</ns0:v>
      </ns0:c>
      <ns0:c r="J433" s="150" t="n">
        <ns0:f>E433*(F433-G433)</ns0:f>
        <ns0:v>0</ns0:v>
      </ns0:c>
      <ns0:c r="K433" s="150" t="n">
        <ns0:f>IF(AND(B433="开局",G433=0,OR(D433="普通盒",D433="单颗暂存盒")),J433,0)</ns0:f>
        <ns0:v>0</ns0:v>
      </ns0:c>
      <ns0:c r="L433" s="150" t="n">
        <ns0:f>IF(AND(B433="开局",G433&gt;0,OR(D433="普通盒",D433="底部置顶盒",D433="炸弹盒")),J433,0)</ns0:f>
        <ns0:v>0</ns0:v>
      </ns0:c>
      <ns0:c r="M433" s="150" t="n">
        <ns0:f>IF(AND(B433="开局",OR(D433="固定颜色盒",D433="单向收纳盒")),J433,0)</ns0:f>
        <ns0:v>0</ns0:v>
      </ns0:c>
      <ns0:c r="N433" s="150" t="n">
        <ns0:f>IF(AND(B433="开局",OR(D433="数字盖盒",D433="普通冰冻盒",D433="数字冰冻盒",D433="数字冰冻单颗暂存盒")),J433,0)</ns0:f>
        <ns0:v>0</ns0:v>
      </ns0:c>
      <ns0:c r="O433" s="147" t="str">
        <ns0:f>IF(AND(E433&gt;0,E433=INT(E433),G433&gt;=0,G433&lt;=F433,G433=INT(G433),OR(AND(F433=1,OR(D433="单颗暂存盒",D433="数字冰冻单颗暂存盒")),AND(F433=4,NOT(OR(D433="单颗暂存盒",D433="数字冰冻单颗暂存盒")))),IF(OR(D433="数字盖盒",D433="数字冰冻盒",D433="数字冰冻单颗暂存盒"),AND(H433&gt;=1,H433=INT(H433)),H433=0),IF(B433="开局",AND(IF(OR(D433="数字盖盒",D433="普通冰冻盒",D433="数字冰冻盒",D433="炸弹盒",D433="底部置顶盒"),OR(G433=3,G433=4),TRUE),IF(OR(D433="单向收纳盒",D433="单颗暂存盒",D433="数字冰冻单颗暂存盒"),OR(G433=0,G433=1),TRUE),IF(OR(D433="固定颜色盒",D433="广告锁定周转盒"),G433=0,TRUE)),TRUE)),"通过","需调整")</ns0:f>
        <ns0:v>通过</ns0:v>
      </ns0:c>
      <ns0:c r="P433" s="147" t="str">
        <ns0:v>单颗暂存盒</ns0:v>
      </ns0:c>
      <ns0:c r="Q433" s="147" t="str">
        <ns0:v>固定层序见本关首行</ns0:v>
      </ns0:c>
      <ns0:c r="R433" s="150" t="n">
        <ns0:f>E433*H433</ns0:f>
        <ns0:v>0</ns0:v>
      </ns0:c>
    </ns0:row>
    <ns0:row r="434" ht="21" customHeight="1">
      <ns0:c r="A434" s="149" t="n">
        <ns0:v>69</ns0:v>
      </ns0:c>
      <ns0:c r="B434" s="145" t="str">
        <ns0:v>开局</ns0:v>
      </ns0:c>
      <ns0:c r="C434" s="145" t="str">
        <ns0:v>W7-069-07</ns0:v>
      </ns0:c>
      <ns0:c r="D434" s="145" t="str">
        <ns0:v>广告锁定周转盒</ns0:v>
      </ns0:c>
      <ns0:c r="E434" s="152" t="n">
        <ns0:v>2</ns0:v>
      </ns0:c>
      <ns0:c r="F434" s="152" t="n">
        <ns0:v>4</ns0:v>
      </ns0:c>
      <ns0:c r="G434" s="152" t="n">
        <ns0:v>0</ns0:v>
      </ns0:c>
      <ns0:c r="H434" s="152" t="n">
        <ns0:v>0</ns0:v>
      </ns0:c>
      <ns0:c r="I434" s="149" t="n">
        <ns0:f>E434*G434</ns0:f>
        <ns0:v>0</ns0:v>
      </ns0:c>
      <ns0:c r="J434" s="149" t="n">
        <ns0:f>E434*(F434-G434)</ns0:f>
        <ns0:v>8</ns0:v>
      </ns0:c>
      <ns0:c r="K434" s="149" t="n">
        <ns0:f>IF(AND(B434="开局",G434=0,OR(D434="普通盒",D434="单颗暂存盒")),J434,0)</ns0:f>
        <ns0:v>0</ns0:v>
      </ns0:c>
      <ns0:c r="L434" s="149" t="n">
        <ns0:f>IF(AND(B434="开局",G434&gt;0,OR(D434="普通盒",D434="底部置顶盒",D434="炸弹盒")),J434,0)</ns0:f>
        <ns0:v>0</ns0:v>
      </ns0:c>
      <ns0:c r="M434" s="149" t="n">
        <ns0:f>IF(AND(B434="开局",OR(D434="固定颜色盒",D434="单向收纳盒")),J434,0)</ns0:f>
        <ns0:v>0</ns0:v>
      </ns0:c>
      <ns0:c r="N434" s="149" t="n">
        <ns0:f>IF(AND(B434="开局",OR(D434="数字盖盒",D434="普通冰冻盒",D434="数字冰冻盒",D434="数字冰冻单颗暂存盒")),J434,0)</ns0:f>
        <ns0:v>0</ns0:v>
      </ns0:c>
      <ns0:c r="O434" s="145" t="str">
        <ns0:f>IF(AND(E434&gt;0,E434=INT(E434),G434&gt;=0,G434&lt;=F434,G434=INT(G434),OR(AND(F434=1,OR(D434="单颗暂存盒",D434="数字冰冻单颗暂存盒")),AND(F434=4,NOT(OR(D434="单颗暂存盒",D434="数字冰冻单颗暂存盒")))),IF(OR(D434="数字盖盒",D434="数字冰冻盒",D434="数字冰冻单颗暂存盒"),AND(H434&gt;=1,H434=INT(H434)),H434=0),IF(B434="开局",AND(IF(OR(D434="数字盖盒",D434="普通冰冻盒",D434="数字冰冻盒",D434="炸弹盒",D434="底部置顶盒"),OR(G434=3,G434=4),TRUE),IF(OR(D434="单向收纳盒",D434="单颗暂存盒",D434="数字冰冻单颗暂存盒"),OR(G434=0,G434=1),TRUE),IF(OR(D434="固定颜色盒",D434="广告锁定周转盒"),G434=0,TRUE)),TRUE)),"通过","需调整")</ns0:f>
        <ns0:v>通过</ns0:v>
      </ns0:c>
      <ns0:c r="P434" s="145" t="str">
        <ns0:v>双广告锁位</ns0:v>
      </ns0:c>
      <ns0:c r="Q434" s="145" t="str">
        <ns0:v>固定层序见本关首行</ns0:v>
      </ns0:c>
      <ns0:c r="R434" s="149" t="n">
        <ns0:f>E434*H434</ns0:f>
        <ns0:v>0</ns0:v>
      </ns0:c>
    </ns0:row>
    <ns0:row r="435" ht="21" customHeight="1">
      <ns0:c r="A435" s="150" t="n">
        <ns0:v>69</ns0:v>
      </ns0:c>
      <ns0:c r="B435" s="147" t="str">
        <ns0:v>备货</ns0:v>
      </ns0:c>
      <ns0:c r="C435" s="147" t="str">
        <ns0:v>W7-069-08</ns0:v>
      </ns0:c>
      <ns0:c r="D435" s="147" t="str">
        <ns0:v>普通盒</ns0:v>
      </ns0:c>
      <ns0:c r="E435" s="152" t="n">
        <ns0:v>2</ns0:v>
      </ns0:c>
      <ns0:c r="F435" s="152" t="n">
        <ns0:v>4</ns0:v>
      </ns0:c>
      <ns0:c r="G435" s="152" t="n">
        <ns0:v>4</ns0:v>
      </ns0:c>
      <ns0:c r="H435" s="152" t="n">
        <ns0:v>0</ns0:v>
      </ns0:c>
      <ns0:c r="I435" s="150" t="n">
        <ns0:f>E435*G435</ns0:f>
        <ns0:v>8</ns0:v>
      </ns0:c>
      <ns0:c r="J435" s="150" t="n">
        <ns0:f>E435*(F435-G435)</ns0:f>
        <ns0:v>0</ns0:v>
      </ns0:c>
      <ns0:c r="K435" s="150" t="n">
        <ns0:f>IF(AND(B435="开局",G435=0,OR(D435="普通盒",D435="单颗暂存盒")),J435,0)</ns0:f>
        <ns0:v>0</ns0:v>
      </ns0:c>
      <ns0:c r="L435" s="150" t="n">
        <ns0:f>IF(AND(B435="开局",G435&gt;0,OR(D435="普通盒",D435="底部置顶盒",D435="炸弹盒")),J435,0)</ns0:f>
        <ns0:v>0</ns0:v>
      </ns0:c>
      <ns0:c r="M435" s="150" t="n">
        <ns0:f>IF(AND(B435="开局",OR(D435="固定颜色盒",D435="单向收纳盒")),J435,0)</ns0:f>
        <ns0:v>0</ns0:v>
      </ns0:c>
      <ns0:c r="N435" s="150" t="n">
        <ns0:f>IF(AND(B435="开局",OR(D435="数字盖盒",D435="普通冰冻盒",D435="数字冰冻盒",D435="数字冰冻单颗暂存盒")),J435,0)</ns0:f>
        <ns0:v>0</ns0:v>
      </ns0:c>
      <ns0:c r="O435" s="147" t="str">
        <ns0:f>IF(AND(E435&gt;0,E435=INT(E435),G435&gt;=0,G435&lt;=F435,G435=INT(G435),OR(AND(F435=1,OR(D435="单颗暂存盒",D435="数字冰冻单颗暂存盒")),AND(F435=4,NOT(OR(D435="单颗暂存盒",D435="数字冰冻单颗暂存盒")))),IF(OR(D435="数字盖盒",D435="数字冰冻盒",D435="数字冰冻单颗暂存盒"),AND(H435&gt;=1,H435=INT(H435)),H435=0),IF(B435="开局",AND(IF(OR(D435="数字盖盒",D435="普通冰冻盒",D435="数字冰冻盒",D435="炸弹盒",D435="底部置顶盒"),OR(G435=3,G435=4),TRUE),IF(OR(D435="单向收纳盒",D435="单颗暂存盒",D435="数字冰冻单颗暂存盒"),OR(G435=0,G435=1),TRUE),IF(OR(D435="固定颜色盒",D435="广告锁定周转盒"),G435=0,TRUE)),TRUE)),"通过","需调整")</ns0:f>
        <ns0:v>通过</ns0:v>
      </ns0:c>
      <ns0:c r="P435" s="147" t="str">
        <ns0:v>连续侧边补货</ns0:v>
      </ns0:c>
      <ns0:c r="Q435" s="147" t="str">
        <ns0:v>固定层序见本关首行</ns0:v>
      </ns0:c>
      <ns0:c r="R435" s="150" t="n">
        <ns0:f>E435*H435</ns0:f>
        <ns0:v>0</ns0:v>
      </ns0:c>
    </ns0:row>
    <ns0:row r="436" ht="21" customHeight="1">
      <ns0:c r="A436" s="149" t="n">
        <ns0:v>70</ns0:v>
      </ns0:c>
      <ns0:c r="B436" s="145" t="str">
        <ns0:v>开局</ns0:v>
      </ns0:c>
      <ns0:c r="C436" s="145" t="str">
        <ns0:v>W7-070-01</ns0:v>
      </ns0:c>
      <ns0:c r="D436" s="145" t="str">
        <ns0:v>普通盒</ns0:v>
      </ns0:c>
      <ns0:c r="E436" s="152" t="n">
        <ns0:v>12</ns0:v>
      </ns0:c>
      <ns0:c r="F436" s="152" t="n">
        <ns0:v>4</ns0:v>
      </ns0:c>
      <ns0:c r="G436" s="152" t="n">
        <ns0:v>4</ns0:v>
      </ns0:c>
      <ns0:c r="H436" s="152" t="n">
        <ns0:v>0</ns0:v>
      </ns0:c>
      <ns0:c r="I436" s="149" t="n">
        <ns0:f>E436*G436</ns0:f>
        <ns0:v>48</ns0:v>
      </ns0:c>
      <ns0:c r="J436" s="149" t="n">
        <ns0:f>E436*(F436-G436)</ns0:f>
        <ns0:v>0</ns0:v>
      </ns0:c>
      <ns0:c r="K436" s="149" t="n">
        <ns0:f>IF(AND(B436="开局",G436=0,OR(D436="普通盒",D436="单颗暂存盒")),J436,0)</ns0:f>
        <ns0:v>0</ns0:v>
      </ns0:c>
      <ns0:c r="L436" s="149" t="n">
        <ns0:f>IF(AND(B436="开局",G436&gt;0,OR(D436="普通盒",D436="底部置顶盒",D436="炸弹盒")),J436,0)</ns0:f>
        <ns0:v>0</ns0:v>
      </ns0:c>
      <ns0:c r="M436" s="149" t="n">
        <ns0:f>IF(AND(B436="开局",OR(D436="固定颜色盒",D436="单向收纳盒")),J436,0)</ns0:f>
        <ns0:v>0</ns0:v>
      </ns0:c>
      <ns0:c r="N436" s="149" t="n">
        <ns0:f>IF(AND(B436="开局",OR(D436="数字盖盒",D436="普通冰冻盒",D436="数字冰冻盒",D436="数字冰冻单颗暂存盒")),J436,0)</ns0:f>
        <ns0:v>0</ns0:v>
      </ns0:c>
      <ns0:c r="O436" s="145" t="str">
        <ns0:f>IF(AND(E436&gt;0,E436=INT(E436),G436&gt;=0,G436&lt;=F436,G436=INT(G436),OR(AND(F436=1,OR(D436="单颗暂存盒",D436="数字冰冻单颗暂存盒")),AND(F436=4,NOT(OR(D436="单颗暂存盒",D436="数字冰冻单颗暂存盒")))),IF(OR(D436="数字盖盒",D436="数字冰冻盒",D436="数字冰冻单颗暂存盒"),AND(H436&gt;=1,H436=INT(H436)),H436=0),IF(B436="开局",AND(IF(OR(D436="数字盖盒",D436="普通冰冻盒",D436="数字冰冻盒",D436="炸弹盒",D436="底部置顶盒"),OR(G436=3,G436=4),TRUE),IF(OR(D436="单向收纳盒",D436="单颗暂存盒",D436="数字冰冻单颗暂存盒"),OR(G436=0,G436=1),TRUE),IF(OR(D436="固定颜色盒",D436="广告锁定周转盒"),G436=0,TRUE)),TRUE)),"通过","需调整")</ns0:f>
        <ns0:v>通过</ns0:v>
      </ns0:c>
      <ns0:c r="P436" s="145" t="str">
        <ns0:v>普通盒</ns0:v>
      </ns0:c>
      <ns0:c r="Q436" s="145" t="str">
        <ns0:v>层序JSON:{"reference":"2026-10-12 第61至70关续接设计；自主层序与循环取料节奏","slots":[{"group_id":"W7-070-02","layers":[0,4,4]},{"group_id":"W7-070-03","layers":[5,6]},{"group_id":"W7-070-01","layers":[6,4,5,2]},{"group_id":"W7-070-01","layers":[12,2,3,2]},{"group_id":"W7-070-06","layers":[8,0,3,8]},{"group_id":"W7-070-01","layers":[0,5,12,3]},{"group_id":"W7-070-01","layers":[8,0,8,12]},{"group_id":"W7-070-01","layers":[4,3,0,4]},{"group_id":"W7-070-02","layers":[0,6,6]},{"group_id":"W7-070-01","layers":[8,3,6,12]},{"group_id":"W7-070-01","layers":[3,12,5,8]},{"group_id":"W7-070-01","layers":[2,6,4,5]},{"group_id":"W7-070-01","layers":[0,3,8,5]},{"group_id":"W7-070-01","layers":[2,6,2,12]},{"group_id":"W7-070-01","layers":[8,3,5,4]},{"group_id":"W7-070-01","layers":[2,0,5,6]},{"group_id":"W7-070-05","layers":[12,2,4,12]},{"group_id":"W7-070-04","layers":[]}],"stock":[],"demand_sequences":[[4,8,2,0,3,3,0,6],[12,5,6,2,8,4,5,12]]}</ns0:v>
      </ns0:c>
      <ns0:c r="R436" s="149" t="n">
        <ns0:f>E436*H436</ns0:f>
        <ns0:v>0</ns0:v>
      </ns0:c>
    </ns0:row>
    <ns0:row r="437" ht="21" customHeight="1">
      <ns0:c r="A437" s="150" t="n">
        <ns0:v>70</ns0:v>
      </ns0:c>
      <ns0:c r="B437" s="147" t="str">
        <ns0:v>开局</ns0:v>
      </ns0:c>
      <ns0:c r="C437" s="147" t="str">
        <ns0:v>W7-070-02</ns0:v>
      </ns0:c>
      <ns0:c r="D437" s="147" t="str">
        <ns0:v>普通盒</ns0:v>
      </ns0:c>
      <ns0:c r="E437" s="152" t="n">
        <ns0:v>2</ns0:v>
      </ns0:c>
      <ns0:c r="F437" s="152" t="n">
        <ns0:v>4</ns0:v>
      </ns0:c>
      <ns0:c r="G437" s="152" t="n">
        <ns0:v>3</ns0:v>
      </ns0:c>
      <ns0:c r="H437" s="152" t="n">
        <ns0:v>0</ns0:v>
      </ns0:c>
      <ns0:c r="I437" s="150" t="n">
        <ns0:f>E437*G437</ns0:f>
        <ns0:v>6</ns0:v>
      </ns0:c>
      <ns0:c r="J437" s="150" t="n">
        <ns0:f>E437*(F437-G437)</ns0:f>
        <ns0:v>2</ns0:v>
      </ns0:c>
      <ns0:c r="K437" s="150" t="n">
        <ns0:f>IF(AND(B437="开局",G437=0,OR(D437="普通盒",D437="单颗暂存盒")),J437,0)</ns0:f>
        <ns0:v>0</ns0:v>
      </ns0:c>
      <ns0:c r="L437" s="150" t="n">
        <ns0:f>IF(AND(B437="开局",G437&gt;0,OR(D437="普通盒",D437="底部置顶盒",D437="炸弹盒")),J437,0)</ns0:f>
        <ns0:v>2</ns0:v>
      </ns0:c>
      <ns0:c r="M437" s="150" t="n">
        <ns0:f>IF(AND(B437="开局",OR(D437="固定颜色盒",D437="单向收纳盒")),J437,0)</ns0:f>
        <ns0:v>0</ns0:v>
      </ns0:c>
      <ns0:c r="N437" s="150" t="n">
        <ns0:f>IF(AND(B437="开局",OR(D437="数字盖盒",D437="普通冰冻盒",D437="数字冰冻盒",D437="数字冰冻单颗暂存盒")),J437,0)</ns0:f>
        <ns0:v>0</ns0:v>
      </ns0:c>
      <ns0:c r="O437" s="147" t="str">
        <ns0:f>IF(AND(E437&gt;0,E437=INT(E437),G437&gt;=0,G437&lt;=F437,G437=INT(G437),OR(AND(F437=1,OR(D437="单颗暂存盒",D437="数字冰冻单颗暂存盒")),AND(F437=4,NOT(OR(D437="单颗暂存盒",D437="数字冰冻单颗暂存盒")))),IF(OR(D437="数字盖盒",D437="数字冰冻盒",D437="数字冰冻单颗暂存盒"),AND(H437&gt;=1,H437=INT(H437)),H437=0),IF(B437="开局",AND(IF(OR(D437="数字盖盒",D437="普通冰冻盒",D437="数字冰冻盒",D437="炸弹盒",D437="底部置顶盒"),OR(G437=3,G437=4),TRUE),IF(OR(D437="单向收纳盒",D437="单颗暂存盒",D437="数字冰冻单颗暂存盒"),OR(G437=0,G437=1),TRUE),IF(OR(D437="固定颜色盒",D437="广告锁定周转盒"),G437=0,TRUE)),TRUE)),"通过","需调整")</ns0:f>
        <ns0:v>通过</ns0:v>
      </ns0:c>
      <ns0:c r="P437" s="147" t="str">
        <ns0:v>普通盒</ns0:v>
      </ns0:c>
      <ns0:c r="Q437" s="147" t="str">
        <ns0:v>固定层序见本关首行</ns0:v>
      </ns0:c>
      <ns0:c r="R437" s="150" t="n">
        <ns0:f>E437*H437</ns0:f>
        <ns0:v>0</ns0:v>
      </ns0:c>
    </ns0:row>
    <ns0:row r="438" ht="21" customHeight="1">
      <ns0:c r="A438" s="149" t="n">
        <ns0:v>70</ns0:v>
      </ns0:c>
      <ns0:c r="B438" s="145" t="str">
        <ns0:v>开局</ns0:v>
      </ns0:c>
      <ns0:c r="C438" s="145" t="str">
        <ns0:v>W7-070-03</ns0:v>
      </ns0:c>
      <ns0:c r="D438" s="145" t="str">
        <ns0:v>普通盒</ns0:v>
      </ns0:c>
      <ns0:c r="E438" s="152" t="n">
        <ns0:v>1</ns0:v>
      </ns0:c>
      <ns0:c r="F438" s="152" t="n">
        <ns0:v>4</ns0:v>
      </ns0:c>
      <ns0:c r="G438" s="152" t="n">
        <ns0:v>2</ns0:v>
      </ns0:c>
      <ns0:c r="H438" s="152" t="n">
        <ns0:v>0</ns0:v>
      </ns0:c>
      <ns0:c r="I438" s="149" t="n">
        <ns0:f>E438*G438</ns0:f>
        <ns0:v>2</ns0:v>
      </ns0:c>
      <ns0:c r="J438" s="149" t="n">
        <ns0:f>E438*(F438-G438)</ns0:f>
        <ns0:v>2</ns0:v>
      </ns0:c>
      <ns0:c r="K438" s="149" t="n">
        <ns0:f>IF(AND(B438="开局",G438=0,OR(D438="普通盒",D438="单颗暂存盒")),J438,0)</ns0:f>
        <ns0:v>0</ns0:v>
      </ns0:c>
      <ns0:c r="L438" s="149" t="n">
        <ns0:f>IF(AND(B438="开局",G438&gt;0,OR(D438="普通盒",D438="底部置顶盒",D438="炸弹盒")),J438,0)</ns0:f>
        <ns0:v>2</ns0:v>
      </ns0:c>
      <ns0:c r="M438" s="149" t="n">
        <ns0:f>IF(AND(B438="开局",OR(D438="固定颜色盒",D438="单向收纳盒")),J438,0)</ns0:f>
        <ns0:v>0</ns0:v>
      </ns0:c>
      <ns0:c r="N438" s="149" t="n">
        <ns0:f>IF(AND(B438="开局",OR(D438="数字盖盒",D438="普通冰冻盒",D438="数字冰冻盒",D438="数字冰冻单颗暂存盒")),J438,0)</ns0:f>
        <ns0:v>0</ns0:v>
      </ns0:c>
      <ns0:c r="O438" s="145" t="str">
        <ns0:f>IF(AND(E438&gt;0,E438=INT(E438),G438&gt;=0,G438&lt;=F438,G438=INT(G438),OR(AND(F438=1,OR(D438="单颗暂存盒",D438="数字冰冻单颗暂存盒")),AND(F438=4,NOT(OR(D438="单颗暂存盒",D438="数字冰冻单颗暂存盒")))),IF(OR(D438="数字盖盒",D438="数字冰冻盒",D438="数字冰冻单颗暂存盒"),AND(H438&gt;=1,H438=INT(H438)),H438=0),IF(B438="开局",AND(IF(OR(D438="数字盖盒",D438="普通冰冻盒",D438="数字冰冻盒",D438="炸弹盒",D438="底部置顶盒"),OR(G438=3,G438=4),TRUE),IF(OR(D438="单向收纳盒",D438="单颗暂存盒",D438="数字冰冻单颗暂存盒"),OR(G438=0,G438=1),TRUE),IF(OR(D438="固定颜色盒",D438="广告锁定周转盒"),G438=0,TRUE)),TRUE)),"通过","需调整")</ns0:f>
        <ns0:v>通过</ns0:v>
      </ns0:c>
      <ns0:c r="P438" s="145" t="str">
        <ns0:v>普通盒</ns0:v>
      </ns0:c>
      <ns0:c r="Q438" s="145" t="str">
        <ns0:v>固定层序见本关首行</ns0:v>
      </ns0:c>
      <ns0:c r="R438" s="149" t="n">
        <ns0:f>E438*H438</ns0:f>
        <ns0:v>0</ns0:v>
      </ns0:c>
    </ns0:row>
    <ns0:row r="439" ht="21" customHeight="1">
      <ns0:c r="A439" s="150" t="n">
        <ns0:v>70</ns0:v>
      </ns0:c>
      <ns0:c r="B439" s="147" t="str">
        <ns0:v>开局</ns0:v>
      </ns0:c>
      <ns0:c r="C439" s="147" t="str">
        <ns0:v>W7-070-04</ns0:v>
      </ns0:c>
      <ns0:c r="D439" s="147" t="str">
        <ns0:v>普通盒</ns0:v>
      </ns0:c>
      <ns0:c r="E439" s="152" t="n">
        <ns0:v>1</ns0:v>
      </ns0:c>
      <ns0:c r="F439" s="152" t="n">
        <ns0:v>4</ns0:v>
      </ns0:c>
      <ns0:c r="G439" s="152" t="n">
        <ns0:v>0</ns0:v>
      </ns0:c>
      <ns0:c r="H439" s="152" t="n">
        <ns0:v>0</ns0:v>
      </ns0:c>
      <ns0:c r="I439" s="150" t="n">
        <ns0:f>E439*G439</ns0:f>
        <ns0:v>0</ns0:v>
      </ns0:c>
      <ns0:c r="J439" s="150" t="n">
        <ns0:f>E439*(F439-G439)</ns0:f>
        <ns0:v>4</ns0:v>
      </ns0:c>
      <ns0:c r="K439" s="150" t="n">
        <ns0:f>IF(AND(B439="开局",G439=0,OR(D439="普通盒",D439="单颗暂存盒")),J439,0)</ns0:f>
        <ns0:v>4</ns0:v>
      </ns0:c>
      <ns0:c r="L439" s="150" t="n">
        <ns0:f>IF(AND(B439="开局",G439&gt;0,OR(D439="普通盒",D439="底部置顶盒",D439="炸弹盒")),J439,0)</ns0:f>
        <ns0:v>0</ns0:v>
      </ns0:c>
      <ns0:c r="M439" s="150" t="n">
        <ns0:f>IF(AND(B439="开局",OR(D439="固定颜色盒",D439="单向收纳盒")),J439,0)</ns0:f>
        <ns0:v>0</ns0:v>
      </ns0:c>
      <ns0:c r="N439" s="150" t="n">
        <ns0:f>IF(AND(B439="开局",OR(D439="数字盖盒",D439="普通冰冻盒",D439="数字冰冻盒",D439="数字冰冻单颗暂存盒")),J439,0)</ns0:f>
        <ns0:v>0</ns0:v>
      </ns0:c>
      <ns0:c r="O439" s="147" t="str">
        <ns0:f>IF(AND(E439&gt;0,E439=INT(E439),G439&gt;=0,G439&lt;=F439,G439=INT(G439),OR(AND(F439=1,OR(D439="单颗暂存盒",D439="数字冰冻单颗暂存盒")),AND(F439=4,NOT(OR(D439="单颗暂存盒",D439="数字冰冻单颗暂存盒")))),IF(OR(D439="数字盖盒",D439="数字冰冻盒",D439="数字冰冻单颗暂存盒"),AND(H439&gt;=1,H439=INT(H439)),H439=0),IF(B439="开局",AND(IF(OR(D439="数字盖盒",D439="普通冰冻盒",D439="数字冰冻盒",D439="炸弹盒",D439="底部置顶盒"),OR(G439=3,G439=4),TRUE),IF(OR(D439="单向收纳盒",D439="单颗暂存盒",D439="数字冰冻单颗暂存盒"),OR(G439=0,G439=1),TRUE),IF(OR(D439="固定颜色盒",D439="广告锁定周转盒"),G439=0,TRUE)),TRUE)),"通过","需调整")</ns0:f>
        <ns0:v>通过</ns0:v>
      </ns0:c>
      <ns0:c r="P439" s="147" t="str">
        <ns0:v>普通盒</ns0:v>
      </ns0:c>
      <ns0:c r="Q439" s="147" t="str">
        <ns0:v>固定层序见本关首行</ns0:v>
      </ns0:c>
      <ns0:c r="R439" s="150" t="n">
        <ns0:f>E439*H439</ns0:f>
        <ns0:v>0</ns0:v>
      </ns0:c>
    </ns0:row>
    <ns0:row r="440" ht="21" customHeight="1">
      <ns0:c r="A440" s="149" t="n">
        <ns0:v>70</ns0:v>
      </ns0:c>
      <ns0:c r="B440" s="145" t="str">
        <ns0:v>开局</ns0:v>
      </ns0:c>
      <ns0:c r="C440" s="145" t="str">
        <ns0:v>W7-070-05</ns0:v>
      </ns0:c>
      <ns0:c r="D440" s="145" t="str">
        <ns0:v>底部置顶盒</ns0:v>
      </ns0:c>
      <ns0:c r="E440" s="152" t="n">
        <ns0:v>1</ns0:v>
      </ns0:c>
      <ns0:c r="F440" s="152" t="n">
        <ns0:v>4</ns0:v>
      </ns0:c>
      <ns0:c r="G440" s="152" t="n">
        <ns0:v>4</ns0:v>
      </ns0:c>
      <ns0:c r="H440" s="152" t="n">
        <ns0:v>0</ns0:v>
      </ns0:c>
      <ns0:c r="I440" s="149" t="n">
        <ns0:f>E440*G440</ns0:f>
        <ns0:v>4</ns0:v>
      </ns0:c>
      <ns0:c r="J440" s="149" t="n">
        <ns0:f>E440*(F440-G440)</ns0:f>
        <ns0:v>0</ns0:v>
      </ns0:c>
      <ns0:c r="K440" s="149" t="n">
        <ns0:f>IF(AND(B440="开局",G440=0,OR(D440="普通盒",D440="单颗暂存盒")),J440,0)</ns0:f>
        <ns0:v>0</ns0:v>
      </ns0:c>
      <ns0:c r="L440" s="149" t="n">
        <ns0:f>IF(AND(B440="开局",G440&gt;0,OR(D440="普通盒",D440="底部置顶盒",D440="炸弹盒")),J440,0)</ns0:f>
        <ns0:v>0</ns0:v>
      </ns0:c>
      <ns0:c r="M440" s="149" t="n">
        <ns0:f>IF(AND(B440="开局",OR(D440="固定颜色盒",D440="单向收纳盒")),J440,0)</ns0:f>
        <ns0:v>0</ns0:v>
      </ns0:c>
      <ns0:c r="N440" s="149" t="n">
        <ns0:f>IF(AND(B440="开局",OR(D440="数字盖盒",D440="普通冰冻盒",D440="数字冰冻盒",D440="数字冰冻单颗暂存盒")),J440,0)</ns0:f>
        <ns0:v>0</ns0:v>
      </ns0:c>
      <ns0:c r="O440" s="145" t="str">
        <ns0:f>IF(AND(E440&gt;0,E440=INT(E440),G440&gt;=0,G440&lt;=F440,G440=INT(G440),OR(AND(F440=1,OR(D440="单颗暂存盒",D440="数字冰冻单颗暂存盒")),AND(F440=4,NOT(OR(D440="单颗暂存盒",D440="数字冰冻单颗暂存盒")))),IF(OR(D440="数字盖盒",D440="数字冰冻盒",D440="数字冰冻单颗暂存盒"),AND(H440&gt;=1,H440=INT(H440)),H440=0),IF(B440="开局",AND(IF(OR(D440="数字盖盒",D440="普通冰冻盒",D440="数字冰冻盒",D440="炸弹盒",D440="底部置顶盒"),OR(G440=3,G440=4),TRUE),IF(OR(D440="单向收纳盒",D440="单颗暂存盒",D440="数字冰冻单颗暂存盒"),OR(G440=0,G440=1),TRUE),IF(OR(D440="固定颜色盒",D440="广告锁定周转盒"),G440=0,TRUE)),TRUE)),"通过","需调整")</ns0:f>
        <ns0:v>通过</ns0:v>
      </ns0:c>
      <ns0:c r="P440" s="145" t="str">
        <ns0:v>底部置顶盒</ns0:v>
      </ns0:c>
      <ns0:c r="Q440" s="145" t="str">
        <ns0:v>固定层序见本关首行</ns0:v>
      </ns0:c>
      <ns0:c r="R440" s="149" t="n">
        <ns0:f>E440*H440</ns0:f>
        <ns0:v>0</ns0:v>
      </ns0:c>
    </ns0:row>
    <ns0:row r="441" ht="21" customHeight="1">
      <ns0:c r="A441" s="150" t="n">
        <ns0:v>70</ns0:v>
      </ns0:c>
      <ns0:c r="B441" s="147" t="str">
        <ns0:v>开局</ns0:v>
      </ns0:c>
      <ns0:c r="C441" s="147" t="str">
        <ns0:v>W7-070-06</ns0:v>
      </ns0:c>
      <ns0:c r="D441" s="147" t="str">
        <ns0:v>普通冰冻盒</ns0:v>
      </ns0:c>
      <ns0:c r="E441" s="152" t="n">
        <ns0:v>1</ns0:v>
      </ns0:c>
      <ns0:c r="F441" s="152" t="n">
        <ns0:v>4</ns0:v>
      </ns0:c>
      <ns0:c r="G441" s="152" t="n">
        <ns0:v>4</ns0:v>
      </ns0:c>
      <ns0:c r="H441" s="152" t="n">
        <ns0:v>0</ns0:v>
      </ns0:c>
      <ns0:c r="I441" s="150" t="n">
        <ns0:f>E441*G441</ns0:f>
        <ns0:v>4</ns0:v>
      </ns0:c>
      <ns0:c r="J441" s="150" t="n">
        <ns0:f>E441*(F441-G441)</ns0:f>
        <ns0:v>0</ns0:v>
      </ns0:c>
      <ns0:c r="K441" s="150" t="n">
        <ns0:f>IF(AND(B441="开局",G441=0,OR(D441="普通盒",D441="单颗暂存盒")),J441,0)</ns0:f>
        <ns0:v>0</ns0:v>
      </ns0:c>
      <ns0:c r="L441" s="150" t="n">
        <ns0:f>IF(AND(B441="开局",G441&gt;0,OR(D441="普通盒",D441="底部置顶盒",D441="炸弹盒")),J441,0)</ns0:f>
        <ns0:v>0</ns0:v>
      </ns0:c>
      <ns0:c r="M441" s="150" t="n">
        <ns0:f>IF(AND(B441="开局",OR(D441="固定颜色盒",D441="单向收纳盒")),J441,0)</ns0:f>
        <ns0:v>0</ns0:v>
      </ns0:c>
      <ns0:c r="N441" s="150" t="n">
        <ns0:f>IF(AND(B441="开局",OR(D441="数字盖盒",D441="普通冰冻盒",D441="数字冰冻盒",D441="数字冰冻单颗暂存盒")),J441,0)</ns0:f>
        <ns0:v>0</ns0:v>
      </ns0:c>
      <ns0:c r="O441" s="147" t="str">
        <ns0:f>IF(AND(E441&gt;0,E441=INT(E441),G441&gt;=0,G441&lt;=F441,G441=INT(G441),OR(AND(F441=1,OR(D441="单颗暂存盒",D441="数字冰冻单颗暂存盒")),AND(F441=4,NOT(OR(D441="单颗暂存盒",D441="数字冰冻单颗暂存盒")))),IF(OR(D441="数字盖盒",D441="数字冰冻盒",D441="数字冰冻单颗暂存盒"),AND(H441&gt;=1,H441=INT(H441)),H441=0),IF(B441="开局",AND(IF(OR(D441="数字盖盒",D441="普通冰冻盒",D441="数字冰冻盒",D441="炸弹盒",D441="底部置顶盒"),OR(G441=3,G441=4),TRUE),IF(OR(D441="单向收纳盒",D441="单颗暂存盒",D441="数字冰冻单颗暂存盒"),OR(G441=0,G441=1),TRUE),IF(OR(D441="固定颜色盒",D441="广告锁定周转盒"),G441=0,TRUE)),TRUE)),"通过","需调整")</ns0:f>
        <ns0:v>通过</ns0:v>
      </ns0:c>
      <ns0:c r="P441" s="147" t="str">
        <ns0:v>普通冰冻盒</ns0:v>
      </ns0:c>
      <ns0:c r="Q441" s="147" t="str">
        <ns0:v>固定层序见本关首行</ns0:v>
      </ns0:c>
      <ns0:c r="R441" s="150" t="n">
        <ns0:f>E441*H441</ns0:f>
        <ns0:v>0</ns0:v>
      </ns0:c>
    </ns0:row>
    <ns0:row r="442" ht="21" customHeight="1">
      <ns0:c r="A442" s="149" t="n">
        <ns0:v>70</ns0:v>
      </ns0:c>
      <ns0:c r="B442" s="145" t="str">
        <ns0:v>开局</ns0:v>
      </ns0:c>
      <ns0:c r="C442" s="145" t="str">
        <ns0:v>W7-070-07</ns0:v>
      </ns0:c>
      <ns0:c r="D442" s="145" t="str">
        <ns0:v>广告锁定周转盒</ns0:v>
      </ns0:c>
      <ns0:c r="E442" s="152" t="n">
        <ns0:v>2</ns0:v>
      </ns0:c>
      <ns0:c r="F442" s="152" t="n">
        <ns0:v>4</ns0:v>
      </ns0:c>
      <ns0:c r="G442" s="152" t="n">
        <ns0:v>0</ns0:v>
      </ns0:c>
      <ns0:c r="H442" s="152" t="n">
        <ns0:v>0</ns0:v>
      </ns0:c>
      <ns0:c r="I442" s="149" t="n">
        <ns0:f>E442*G442</ns0:f>
        <ns0:v>0</ns0:v>
      </ns0:c>
      <ns0:c r="J442" s="149" t="n">
        <ns0:f>E442*(F442-G442)</ns0:f>
        <ns0:v>8</ns0:v>
      </ns0:c>
      <ns0:c r="K442" s="149" t="n">
        <ns0:f>IF(AND(B442="开局",G442=0,OR(D442="普通盒",D442="单颗暂存盒")),J442,0)</ns0:f>
        <ns0:v>0</ns0:v>
      </ns0:c>
      <ns0:c r="L442" s="149" t="n">
        <ns0:f>IF(AND(B442="开局",G442&gt;0,OR(D442="普通盒",D442="底部置顶盒",D442="炸弹盒")),J442,0)</ns0:f>
        <ns0:v>0</ns0:v>
      </ns0:c>
      <ns0:c r="M442" s="149" t="n">
        <ns0:f>IF(AND(B442="开局",OR(D442="固定颜色盒",D442="单向收纳盒")),J442,0)</ns0:f>
        <ns0:v>0</ns0:v>
      </ns0:c>
      <ns0:c r="N442" s="149" t="n">
        <ns0:f>IF(AND(B442="开局",OR(D442="数字盖盒",D442="普通冰冻盒",D442="数字冰冻盒",D442="数字冰冻单颗暂存盒")),J442,0)</ns0:f>
        <ns0:v>0</ns0:v>
      </ns0:c>
      <ns0:c r="O442" s="145" t="str">
        <ns0:f>IF(AND(E442&gt;0,E442=INT(E442),G442&gt;=0,G442&lt;=F442,G442=INT(G442),OR(AND(F442=1,OR(D442="单颗暂存盒",D442="数字冰冻单颗暂存盒")),AND(F442=4,NOT(OR(D442="单颗暂存盒",D442="数字冰冻单颗暂存盒")))),IF(OR(D442="数字盖盒",D442="数字冰冻盒",D442="数字冰冻单颗暂存盒"),AND(H442&gt;=1,H442=INT(H442)),H442=0),IF(B442="开局",AND(IF(OR(D442="数字盖盒",D442="普通冰冻盒",D442="数字冰冻盒",D442="炸弹盒",D442="底部置顶盒"),OR(G442=3,G442=4),TRUE),IF(OR(D442="单向收纳盒",D442="单颗暂存盒",D442="数字冰冻单颗暂存盒"),OR(G442=0,G442=1),TRUE),IF(OR(D442="固定颜色盒",D442="广告锁定周转盒"),G442=0,TRUE)),TRUE)),"通过","需调整")</ns0:f>
        <ns0:v>通过</ns0:v>
      </ns0:c>
      <ns0:c r="P442" s="145" t="str">
        <ns0:v>双广告锁位</ns0:v>
      </ns0:c>
      <ns0:c r="Q442" s="145" t="str">
        <ns0:v>固定层序见本关首行</ns0:v>
      </ns0:c>
      <ns0:c r="R442" s="149" t="n">
        <ns0:f>E442*H442</ns0:f>
        <ns0:v>0</ns0:v>
      </ns0:c>
    </ns0:row>
    <ns0:row r="443" ht="21" customHeight="1">
      <ns0:c r="A443" s="150"/>
      <ns0:c r="B443" s="147"/>
      <ns0:c r="C443" s="147"/>
      <ns0:c r="D443" s="147"/>
      <ns0:c r="E443" s="152"/>
      <ns0:c r="F443" s="152"/>
      <ns0:c r="G443" s="152"/>
      <ns0:c r="H443" s="152"/>
      <ns0:c r="I443" s="150"/>
      <ns0:c r="J443" s="150"/>
      <ns0:c r="K443" s="150"/>
      <ns0:c r="L443" s="150"/>
      <ns0:c r="M443" s="150"/>
      <ns0:c r="N443" s="150"/>
      <ns0:c r="O443" s="147"/>
      <ns0:c r="P443" s="147"/>
      <ns0:c r="Q443" s="147"/>
      <ns0:c r="R443" s="150"/>
    </ns0:row>
    <ns0:row r="444" ht="21" customHeight="1">
      <ns0:c r="A444" s="149"/>
      <ns0:c r="B444" s="145"/>
      <ns0:c r="C444" s="145"/>
      <ns0:c r="D444" s="145"/>
      <ns0:c r="E444" s="152"/>
      <ns0:c r="F444" s="152"/>
      <ns0:c r="G444" s="152"/>
      <ns0:c r="H444" s="152"/>
      <ns0:c r="I444" s="149"/>
      <ns0:c r="J444" s="149"/>
      <ns0:c r="K444" s="149"/>
      <ns0:c r="L444" s="149"/>
      <ns0:c r="M444" s="149"/>
      <ns0:c r="N444" s="149"/>
      <ns0:c r="O444" s="145"/>
      <ns0:c r="P444" s="145"/>
      <ns0:c r="Q444" s="145"/>
      <ns0:c r="R444" s="149"/>
    </ns0:row>
    <ns0:row r="445" ht="21" customHeight="1">
      <ns0:c r="A445" s="150"/>
      <ns0:c r="B445" s="147"/>
      <ns0:c r="C445" s="147"/>
      <ns0:c r="D445" s="147"/>
      <ns0:c r="E445" s="152"/>
      <ns0:c r="F445" s="152"/>
      <ns0:c r="G445" s="152"/>
      <ns0:c r="H445" s="152"/>
      <ns0:c r="I445" s="150"/>
      <ns0:c r="J445" s="150"/>
      <ns0:c r="K445" s="150"/>
      <ns0:c r="L445" s="150"/>
      <ns0:c r="M445" s="150"/>
      <ns0:c r="N445" s="150"/>
      <ns0:c r="O445" s="147"/>
      <ns0:c r="P445" s="147"/>
      <ns0:c r="Q445" s="147"/>
      <ns0:c r="R445" s="150"/>
    </ns0:row>
    <ns0:row r="446" ht="21" customHeight="1">
      <ns0:c r="A446" s="149"/>
      <ns0:c r="B446" s="145"/>
      <ns0:c r="C446" s="145"/>
      <ns0:c r="D446" s="145"/>
      <ns0:c r="E446" s="152"/>
      <ns0:c r="F446" s="152"/>
      <ns0:c r="G446" s="152"/>
      <ns0:c r="H446" s="152"/>
      <ns0:c r="I446" s="149"/>
      <ns0:c r="J446" s="149"/>
      <ns0:c r="K446" s="149"/>
      <ns0:c r="L446" s="149"/>
      <ns0:c r="M446" s="149"/>
      <ns0:c r="N446" s="149"/>
      <ns0:c r="O446" s="145"/>
      <ns0:c r="P446" s="145"/>
      <ns0:c r="Q446" s="145"/>
      <ns0:c r="R446" s="149"/>
    </ns0:row>
    <ns0:row r="447" ht="21" customHeight="1">
      <ns0:c r="A447" s="150"/>
      <ns0:c r="B447" s="147"/>
      <ns0:c r="C447" s="147"/>
      <ns0:c r="D447" s="147"/>
      <ns0:c r="E447" s="152"/>
      <ns0:c r="F447" s="152"/>
      <ns0:c r="G447" s="152"/>
      <ns0:c r="H447" s="152"/>
      <ns0:c r="I447" s="150"/>
      <ns0:c r="J447" s="150"/>
      <ns0:c r="K447" s="150"/>
      <ns0:c r="L447" s="150"/>
      <ns0:c r="M447" s="150"/>
      <ns0:c r="N447" s="150"/>
      <ns0:c r="O447" s="147"/>
      <ns0:c r="P447" s="147"/>
      <ns0:c r="Q447" s="147"/>
      <ns0:c r="R447" s="150"/>
    </ns0:row>
    <ns0:row r="448" ht="21" customHeight="1">
      <ns0:c r="A448" s="149"/>
      <ns0:c r="B448" s="145"/>
      <ns0:c r="C448" s="145"/>
      <ns0:c r="D448" s="145"/>
      <ns0:c r="E448" s="152"/>
      <ns0:c r="F448" s="152"/>
      <ns0:c r="G448" s="152"/>
      <ns0:c r="H448" s="152"/>
      <ns0:c r="I448" s="149"/>
      <ns0:c r="J448" s="149"/>
      <ns0:c r="K448" s="149"/>
      <ns0:c r="L448" s="149"/>
      <ns0:c r="M448" s="149"/>
      <ns0:c r="N448" s="149"/>
      <ns0:c r="O448" s="145"/>
      <ns0:c r="P448" s="145"/>
      <ns0:c r="Q448" s="145"/>
      <ns0:c r="R448" s="149"/>
    </ns0:row>
    <ns0:row r="449" ht="21" customHeight="1">
      <ns0:c r="A449" s="150"/>
      <ns0:c r="B449" s="147"/>
      <ns0:c r="C449" s="147"/>
      <ns0:c r="D449" s="147"/>
      <ns0:c r="E449" s="152"/>
      <ns0:c r="F449" s="152"/>
      <ns0:c r="G449" s="152"/>
      <ns0:c r="H449" s="152"/>
      <ns0:c r="I449" s="150"/>
      <ns0:c r="J449" s="150"/>
      <ns0:c r="K449" s="150"/>
      <ns0:c r="L449" s="150"/>
      <ns0:c r="M449" s="150"/>
      <ns0:c r="N449" s="150"/>
      <ns0:c r="O449" s="147"/>
      <ns0:c r="P449" s="147"/>
      <ns0:c r="Q449" s="147"/>
      <ns0:c r="R449" s="150"/>
    </ns0:row>
    <ns0:row r="450" ht="21" customHeight="1">
      <ns0:c r="A450" s="149"/>
      <ns0:c r="B450" s="145"/>
      <ns0:c r="C450" s="145"/>
      <ns0:c r="D450" s="145"/>
      <ns0:c r="E450" s="152"/>
      <ns0:c r="F450" s="152"/>
      <ns0:c r="G450" s="152"/>
      <ns0:c r="H450" s="152"/>
      <ns0:c r="I450" s="149"/>
      <ns0:c r="J450" s="149"/>
      <ns0:c r="K450" s="149"/>
      <ns0:c r="L450" s="149"/>
      <ns0:c r="M450" s="149"/>
      <ns0:c r="N450" s="149"/>
      <ns0:c r="O450" s="145"/>
      <ns0:c r="P450" s="145"/>
      <ns0:c r="Q450" s="145"/>
      <ns0:c r="R450" s="149"/>
    </ns0:row>
    <ns0:row r="451" ht="21" customHeight="1">
      <ns0:c r="A451" s="150"/>
      <ns0:c r="B451" s="147"/>
      <ns0:c r="C451" s="147"/>
      <ns0:c r="D451" s="147"/>
      <ns0:c r="E451" s="152"/>
      <ns0:c r="F451" s="152"/>
      <ns0:c r="G451" s="152"/>
      <ns0:c r="H451" s="152"/>
      <ns0:c r="I451" s="150"/>
      <ns0:c r="J451" s="150"/>
      <ns0:c r="K451" s="150"/>
      <ns0:c r="L451" s="150"/>
      <ns0:c r="M451" s="150"/>
      <ns0:c r="N451" s="150"/>
      <ns0:c r="O451" s="147"/>
      <ns0:c r="P451" s="147"/>
      <ns0:c r="Q451" s="147"/>
      <ns0:c r="R451" s="150"/>
    </ns0:row>
    <ns0:row r="452" ht="21" customHeight="1">
      <ns0:c r="A452" s="149"/>
      <ns0:c r="B452" s="145"/>
      <ns0:c r="C452" s="145"/>
      <ns0:c r="D452" s="145"/>
      <ns0:c r="E452" s="152"/>
      <ns0:c r="F452" s="152"/>
      <ns0:c r="G452" s="152"/>
      <ns0:c r="H452" s="152"/>
      <ns0:c r="I452" s="149"/>
      <ns0:c r="J452" s="149"/>
      <ns0:c r="K452" s="149"/>
      <ns0:c r="L452" s="149"/>
      <ns0:c r="M452" s="149"/>
      <ns0:c r="N452" s="149"/>
      <ns0:c r="O452" s="145"/>
      <ns0:c r="P452" s="145"/>
      <ns0:c r="Q452" s="145"/>
      <ns0:c r="R452" s="149"/>
    </ns0:row>
    <ns0:row r="453" ht="21" customHeight="1">
      <ns0:c r="A453" s="150"/>
      <ns0:c r="B453" s="147"/>
      <ns0:c r="C453" s="147"/>
      <ns0:c r="D453" s="147"/>
      <ns0:c r="E453" s="152"/>
      <ns0:c r="F453" s="152"/>
      <ns0:c r="G453" s="152"/>
      <ns0:c r="H453" s="152"/>
      <ns0:c r="I453" s="150"/>
      <ns0:c r="J453" s="150"/>
      <ns0:c r="K453" s="150"/>
      <ns0:c r="L453" s="150"/>
      <ns0:c r="M453" s="150"/>
      <ns0:c r="N453" s="150"/>
      <ns0:c r="O453" s="147"/>
      <ns0:c r="P453" s="147"/>
      <ns0:c r="Q453" s="147"/>
      <ns0:c r="R453" s="150"/>
    </ns0:row>
    <ns0:row r="454" ht="21" customHeight="1">
      <ns0:c r="A454" s="149"/>
      <ns0:c r="B454" s="145"/>
      <ns0:c r="C454" s="145"/>
      <ns0:c r="D454" s="145"/>
      <ns0:c r="E454" s="152"/>
      <ns0:c r="F454" s="152"/>
      <ns0:c r="G454" s="152"/>
      <ns0:c r="H454" s="152"/>
      <ns0:c r="I454" s="149"/>
      <ns0:c r="J454" s="149"/>
      <ns0:c r="K454" s="149"/>
      <ns0:c r="L454" s="149"/>
      <ns0:c r="M454" s="149"/>
      <ns0:c r="N454" s="149"/>
      <ns0:c r="O454" s="145"/>
      <ns0:c r="P454" s="145"/>
      <ns0:c r="Q454" s="145"/>
      <ns0:c r="R454" s="149"/>
    </ns0:row>
    <ns0:row r="455" ht="21" customHeight="1">
      <ns0:c r="A455" s="150"/>
      <ns0:c r="B455" s="147"/>
      <ns0:c r="C455" s="147"/>
      <ns0:c r="D455" s="147"/>
      <ns0:c r="E455" s="152"/>
      <ns0:c r="F455" s="152"/>
      <ns0:c r="G455" s="152"/>
      <ns0:c r="H455" s="152"/>
      <ns0:c r="I455" s="150"/>
      <ns0:c r="J455" s="150"/>
      <ns0:c r="K455" s="150"/>
      <ns0:c r="L455" s="150"/>
      <ns0:c r="M455" s="150"/>
      <ns0:c r="N455" s="150"/>
      <ns0:c r="O455" s="147"/>
      <ns0:c r="P455" s="147"/>
      <ns0:c r="Q455" s="147"/>
      <ns0:c r="R455" s="150"/>
    </ns0:row>
    <ns0:row r="456" ht="21" customHeight="1">
      <ns0:c r="A456" s="149"/>
      <ns0:c r="B456" s="145"/>
      <ns0:c r="C456" s="145"/>
      <ns0:c r="D456" s="145"/>
      <ns0:c r="E456" s="152"/>
      <ns0:c r="F456" s="152"/>
      <ns0:c r="G456" s="152"/>
      <ns0:c r="H456" s="152"/>
      <ns0:c r="I456" s="149"/>
      <ns0:c r="J456" s="149"/>
      <ns0:c r="K456" s="149"/>
      <ns0:c r="L456" s="149"/>
      <ns0:c r="M456" s="149"/>
      <ns0:c r="N456" s="149"/>
      <ns0:c r="O456" s="145"/>
      <ns0:c r="P456" s="145"/>
      <ns0:c r="Q456" s="145"/>
      <ns0:c r="R456" s="149"/>
    </ns0:row>
    <ns0:row r="457" ht="21" customHeight="1">
      <ns0:c r="A457" s="150" t="n">
        <ns0:v>71</ns0:v>
      </ns0:c>
      <ns0:c r="B457" s="147" t="str">
        <ns0:v>开局</ns0:v>
      </ns0:c>
      <ns0:c r="C457" s="147" t="str">
        <ns0:v>W8-071-01</ns0:v>
      </ns0:c>
      <ns0:c r="D457" s="147" t="str">
        <ns0:v>普通盒</ns0:v>
      </ns0:c>
      <ns0:c r="E457" s="152" t="n">
        <ns0:v>11</ns0:v>
      </ns0:c>
      <ns0:c r="F457" s="152" t="n">
        <ns0:v>4</ns0:v>
      </ns0:c>
      <ns0:c r="G457" s="152" t="n">
        <ns0:v>4</ns0:v>
      </ns0:c>
      <ns0:c r="H457" s="152" t="n">
        <ns0:v>0</ns0:v>
      </ns0:c>
      <ns0:c r="I457" s="150" t="n">
        <ns0:f>E457*G457</ns0:f>
        <ns0:v>44</ns0:v>
      </ns0:c>
      <ns0:c r="J457" s="150" t="n">
        <ns0:f>E457*(F457-G457)</ns0:f>
        <ns0:v>0</ns0:v>
      </ns0:c>
      <ns0:c r="K457" s="150" t="n">
        <ns0:f>IF(AND(B457="开局",G457=0,OR(D457="普通盒",D457="单颗暂存盒")),J457,0)</ns0:f>
        <ns0:v>0</ns0:v>
      </ns0:c>
      <ns0:c r="L457" s="150" t="n">
        <ns0:f>IF(AND(B457="开局",G457&gt;0,OR(D457="普通盒",D457="底部置顶盒",D457="炸弹盒")),J457,0)</ns0:f>
        <ns0:v>0</ns0:v>
      </ns0:c>
      <ns0:c r="M457" s="150" t="n">
        <ns0:f>IF(AND(B457="开局",OR(D457="固定颜色盒",D457="单向收纳盒")),J457,0)</ns0:f>
        <ns0:v>0</ns0:v>
      </ns0:c>
      <ns0:c r="N457" s="150" t="n">
        <ns0:f>IF(AND(B457="开局",OR(D457="数字盖盒",D457="普通冰冻盒",D457="数字冰冻盒",D457="数字冰冻单颗暂存盒")),J457,0)</ns0:f>
        <ns0:v>0</ns0:v>
      </ns0:c>
      <ns0:c r="O457" s="147" t="str">
        <ns0:f>IF(AND(E457&gt;0,E457=INT(E457),G457&gt;=0,G457&lt;=F457,G457=INT(G457),OR(AND(F457=1,OR(D457="单颗暂存盒",D457="数字冰冻单颗暂存盒")),AND(F457=4,NOT(OR(D457="单颗暂存盒",D457="数字冰冻单颗暂存盒")))),IF(OR(D457="数字盖盒",D457="数字冰冻盒",D457="数字冰冻单颗暂存盒"),AND(H457&gt;=1,H457=INT(H457)),H457=0),IF(B457="开局",AND(IF(OR(D457="数字盖盒",D457="普通冰冻盒",D457="数字冰冻盒",D457="炸弹盒",D457="底部置顶盒"),OR(G457=3,G457=4),TRUE),IF(OR(D457="单向收纳盒",D457="单颗暂存盒",D457="数字冰冻单颗暂存盒"),OR(G457=0,G457=1),TRUE),IF(OR(D457="固定颜色盒",D457="广告锁定周转盒"),G457=0,TRUE)),TRUE)),"通过","需调整")</ns0:f>
        <ns0:v>通过</ns0:v>
      </ns0:c>
      <ns0:c r="P457" s="147" t="str">
        <ns0:v>普通盒</ns0:v>
      </ns0:c>
      <ns0:c r="Q457" s="147" t="str">
        <ns0:v>层序JSON:{"reference":"2026-10-12 第71至80关续接设计；自主层序、双循环分工与组合机关波动","slots":[{"group_id":"W8-071-01","layers":[0,8,0,5]},{"group_id":"W8-071-01","layers":[0,5,3,3]},{"group_id":"W8-071-01","layers":[2,8,6,5]},{"group_id":"W8-071-01","layers":[2,5,0,4]},{"group_id":"W8-071-02","layers":[8,4,2]},{"group_id":"W8-071-01","layers":[6,8,3,2]},{"group_id":"W8-071-05","layers":[4,5,3,6]},{"group_id":"W8-071-01","layers":[4,4,5,4]},{"group_id":"W8-071-01","layers":[6,2,0,4]},{"group_id":"W8-071-02","layers":[3,0,8]},{"group_id":"W8-071-05","layers":[3,8,6,0]},{"group_id":"W8-071-01","layers":[2,0,8,3]},{"group_id":"W8-071-01","layers":[6,0,5,4]},{"group_id":"W8-071-03","layers":[0,5]},{"group_id":"W8-071-01","layers":[6,0,6,0]},{"group_id":"W8-071-01","layers":[8,2,3,2]},{"group_id":"W8-071-04","layers":[]}],"stock":[],"demand_sequences":[[3,5,2,2,6,6,0,5],[4,8,0,3,8,4,0]]}</ns0:v>
      </ns0:c>
      <ns0:c r="R457" s="150" t="n">
        <ns0:f>E457*H457</ns0:f>
        <ns0:v>0</ns0:v>
      </ns0:c>
    </ns0:row>
    <ns0:row r="458" ht="21" customHeight="1">
      <ns0:c r="A458" s="149" t="n">
        <ns0:v>71</ns0:v>
      </ns0:c>
      <ns0:c r="B458" s="145" t="str">
        <ns0:v>开局</ns0:v>
      </ns0:c>
      <ns0:c r="C458" s="145" t="str">
        <ns0:v>W8-071-02</ns0:v>
      </ns0:c>
      <ns0:c r="D458" s="145" t="str">
        <ns0:v>普通盒</ns0:v>
      </ns0:c>
      <ns0:c r="E458" s="152" t="n">
        <ns0:v>2</ns0:v>
      </ns0:c>
      <ns0:c r="F458" s="152" t="n">
        <ns0:v>4</ns0:v>
      </ns0:c>
      <ns0:c r="G458" s="152" t="n">
        <ns0:v>3</ns0:v>
      </ns0:c>
      <ns0:c r="H458" s="152" t="n">
        <ns0:v>0</ns0:v>
      </ns0:c>
      <ns0:c r="I458" s="149" t="n">
        <ns0:f>E458*G458</ns0:f>
        <ns0:v>6</ns0:v>
      </ns0:c>
      <ns0:c r="J458" s="149" t="n">
        <ns0:f>E458*(F458-G458)</ns0:f>
        <ns0:v>2</ns0:v>
      </ns0:c>
      <ns0:c r="K458" s="149" t="n">
        <ns0:f>IF(AND(B458="开局",G458=0,OR(D458="普通盒",D458="单颗暂存盒")),J458,0)</ns0:f>
        <ns0:v>0</ns0:v>
      </ns0:c>
      <ns0:c r="L458" s="149" t="n">
        <ns0:f>IF(AND(B458="开局",G458&gt;0,OR(D458="普通盒",D458="底部置顶盒",D458="炸弹盒")),J458,0)</ns0:f>
        <ns0:v>2</ns0:v>
      </ns0:c>
      <ns0:c r="M458" s="149" t="n">
        <ns0:f>IF(AND(B458="开局",OR(D458="固定颜色盒",D458="单向收纳盒")),J458,0)</ns0:f>
        <ns0:v>0</ns0:v>
      </ns0:c>
      <ns0:c r="N458" s="149" t="n">
        <ns0:f>IF(AND(B458="开局",OR(D458="数字盖盒",D458="普通冰冻盒",D458="数字冰冻盒",D458="数字冰冻单颗暂存盒")),J458,0)</ns0:f>
        <ns0:v>0</ns0:v>
      </ns0:c>
      <ns0:c r="O458" s="145" t="str">
        <ns0:f>IF(AND(E458&gt;0,E458=INT(E458),G458&gt;=0,G458&lt;=F458,G458=INT(G458),OR(AND(F458=1,OR(D458="单颗暂存盒",D458="数字冰冻单颗暂存盒")),AND(F458=4,NOT(OR(D458="单颗暂存盒",D458="数字冰冻单颗暂存盒")))),IF(OR(D458="数字盖盒",D458="数字冰冻盒",D458="数字冰冻单颗暂存盒"),AND(H458&gt;=1,H458=INT(H458)),H458=0),IF(B458="开局",AND(IF(OR(D458="数字盖盒",D458="普通冰冻盒",D458="数字冰冻盒",D458="炸弹盒",D458="底部置顶盒"),OR(G458=3,G458=4),TRUE),IF(OR(D458="单向收纳盒",D458="单颗暂存盒",D458="数字冰冻单颗暂存盒"),OR(G458=0,G458=1),TRUE),IF(OR(D458="固定颜色盒",D458="广告锁定周转盒"),G458=0,TRUE)),TRUE)),"通过","需调整")</ns0:f>
        <ns0:v>通过</ns0:v>
      </ns0:c>
      <ns0:c r="P458" s="145" t="str">
        <ns0:v>普通盒</ns0:v>
      </ns0:c>
      <ns0:c r="Q458" s="145" t="str">
        <ns0:v>固定层序见本关首行</ns0:v>
      </ns0:c>
      <ns0:c r="R458" s="149" t="n">
        <ns0:f>E458*H458</ns0:f>
        <ns0:v>0</ns0:v>
      </ns0:c>
    </ns0:row>
    <ns0:row r="459" ht="21" customHeight="1">
      <ns0:c r="A459" s="150" t="n">
        <ns0:v>71</ns0:v>
      </ns0:c>
      <ns0:c r="B459" s="147" t="str">
        <ns0:v>开局</ns0:v>
      </ns0:c>
      <ns0:c r="C459" s="147" t="str">
        <ns0:v>W8-071-03</ns0:v>
      </ns0:c>
      <ns0:c r="D459" s="147" t="str">
        <ns0:v>普通盒</ns0:v>
      </ns0:c>
      <ns0:c r="E459" s="152" t="n">
        <ns0:v>1</ns0:v>
      </ns0:c>
      <ns0:c r="F459" s="152" t="n">
        <ns0:v>4</ns0:v>
      </ns0:c>
      <ns0:c r="G459" s="152" t="n">
        <ns0:v>2</ns0:v>
      </ns0:c>
      <ns0:c r="H459" s="152" t="n">
        <ns0:v>0</ns0:v>
      </ns0:c>
      <ns0:c r="I459" s="150" t="n">
        <ns0:f>E459*G459</ns0:f>
        <ns0:v>2</ns0:v>
      </ns0:c>
      <ns0:c r="J459" s="150" t="n">
        <ns0:f>E459*(F459-G459)</ns0:f>
        <ns0:v>2</ns0:v>
      </ns0:c>
      <ns0:c r="K459" s="150" t="n">
        <ns0:f>IF(AND(B459="开局",G459=0,OR(D459="普通盒",D459="单颗暂存盒")),J459,0)</ns0:f>
        <ns0:v>0</ns0:v>
      </ns0:c>
      <ns0:c r="L459" s="150" t="n">
        <ns0:f>IF(AND(B459="开局",G459&gt;0,OR(D459="普通盒",D459="底部置顶盒",D459="炸弹盒")),J459,0)</ns0:f>
        <ns0:v>2</ns0:v>
      </ns0:c>
      <ns0:c r="M459" s="150" t="n">
        <ns0:f>IF(AND(B459="开局",OR(D459="固定颜色盒",D459="单向收纳盒")),J459,0)</ns0:f>
        <ns0:v>0</ns0:v>
      </ns0:c>
      <ns0:c r="N459" s="150" t="n">
        <ns0:f>IF(AND(B459="开局",OR(D459="数字盖盒",D459="普通冰冻盒",D459="数字冰冻盒",D459="数字冰冻单颗暂存盒")),J459,0)</ns0:f>
        <ns0:v>0</ns0:v>
      </ns0:c>
      <ns0:c r="O459" s="147" t="str">
        <ns0:f>IF(AND(E459&gt;0,E459=INT(E459),G459&gt;=0,G459&lt;=F459,G459=INT(G459),OR(AND(F459=1,OR(D459="单颗暂存盒",D459="数字冰冻单颗暂存盒")),AND(F459=4,NOT(OR(D459="单颗暂存盒",D459="数字冰冻单颗暂存盒")))),IF(OR(D459="数字盖盒",D459="数字冰冻盒",D459="数字冰冻单颗暂存盒"),AND(H459&gt;=1,H459=INT(H459)),H459=0),IF(B459="开局",AND(IF(OR(D459="数字盖盒",D459="普通冰冻盒",D459="数字冰冻盒",D459="炸弹盒",D459="底部置顶盒"),OR(G459=3,G459=4),TRUE),IF(OR(D459="单向收纳盒",D459="单颗暂存盒",D459="数字冰冻单颗暂存盒"),OR(G459=0,G459=1),TRUE),IF(OR(D459="固定颜色盒",D459="广告锁定周转盒"),G459=0,TRUE)),TRUE)),"通过","需调整")</ns0:f>
        <ns0:v>通过</ns0:v>
      </ns0:c>
      <ns0:c r="P459" s="147" t="str">
        <ns0:v>普通盒</ns0:v>
      </ns0:c>
      <ns0:c r="Q459" s="147" t="str">
        <ns0:v>固定层序见本关首行</ns0:v>
      </ns0:c>
      <ns0:c r="R459" s="150" t="n">
        <ns0:f>E459*H459</ns0:f>
        <ns0:v>0</ns0:v>
      </ns0:c>
    </ns0:row>
    <ns0:row r="460" ht="21" customHeight="1">
      <ns0:c r="A460" s="149" t="n">
        <ns0:v>71</ns0:v>
      </ns0:c>
      <ns0:c r="B460" s="145" t="str">
        <ns0:v>开局</ns0:v>
      </ns0:c>
      <ns0:c r="C460" s="145" t="str">
        <ns0:v>W8-071-04</ns0:v>
      </ns0:c>
      <ns0:c r="D460" s="145" t="str">
        <ns0:v>普通盒</ns0:v>
      </ns0:c>
      <ns0:c r="E460" s="152" t="n">
        <ns0:v>1</ns0:v>
      </ns0:c>
      <ns0:c r="F460" s="152" t="n">
        <ns0:v>4</ns0:v>
      </ns0:c>
      <ns0:c r="G460" s="152" t="n">
        <ns0:v>0</ns0:v>
      </ns0:c>
      <ns0:c r="H460" s="152" t="n">
        <ns0:v>0</ns0:v>
      </ns0:c>
      <ns0:c r="I460" s="149" t="n">
        <ns0:f>E460*G460</ns0:f>
        <ns0:v>0</ns0:v>
      </ns0:c>
      <ns0:c r="J460" s="149" t="n">
        <ns0:f>E460*(F460-G460)</ns0:f>
        <ns0:v>4</ns0:v>
      </ns0:c>
      <ns0:c r="K460" s="149" t="n">
        <ns0:f>IF(AND(B460="开局",G460=0,OR(D460="普通盒",D460="单颗暂存盒")),J460,0)</ns0:f>
        <ns0:v>4</ns0:v>
      </ns0:c>
      <ns0:c r="L460" s="149" t="n">
        <ns0:f>IF(AND(B460="开局",G460&gt;0,OR(D460="普通盒",D460="底部置顶盒",D460="炸弹盒")),J460,0)</ns0:f>
        <ns0:v>0</ns0:v>
      </ns0:c>
      <ns0:c r="M460" s="149" t="n">
        <ns0:f>IF(AND(B460="开局",OR(D460="固定颜色盒",D460="单向收纳盒")),J460,0)</ns0:f>
        <ns0:v>0</ns0:v>
      </ns0:c>
      <ns0:c r="N460" s="149" t="n">
        <ns0:f>IF(AND(B460="开局",OR(D460="数字盖盒",D460="普通冰冻盒",D460="数字冰冻盒",D460="数字冰冻单颗暂存盒")),J460,0)</ns0:f>
        <ns0:v>0</ns0:v>
      </ns0:c>
      <ns0:c r="O460" s="145" t="str">
        <ns0:f>IF(AND(E460&gt;0,E460=INT(E460),G460&gt;=0,G460&lt;=F460,G460=INT(G460),OR(AND(F460=1,OR(D460="单颗暂存盒",D460="数字冰冻单颗暂存盒")),AND(F460=4,NOT(OR(D460="单颗暂存盒",D460="数字冰冻单颗暂存盒")))),IF(OR(D460="数字盖盒",D460="数字冰冻盒",D460="数字冰冻单颗暂存盒"),AND(H460&gt;=1,H460=INT(H460)),H460=0),IF(B460="开局",AND(IF(OR(D460="数字盖盒",D460="普通冰冻盒",D460="数字冰冻盒",D460="炸弹盒",D460="底部置顶盒"),OR(G460=3,G460=4),TRUE),IF(OR(D460="单向收纳盒",D460="单颗暂存盒",D460="数字冰冻单颗暂存盒"),OR(G460=0,G460=1),TRUE),IF(OR(D460="固定颜色盒",D460="广告锁定周转盒"),G460=0,TRUE)),TRUE)),"通过","需调整")</ns0:f>
        <ns0:v>通过</ns0:v>
      </ns0:c>
      <ns0:c r="P460" s="145" t="str">
        <ns0:v>普通盒</ns0:v>
      </ns0:c>
      <ns0:c r="Q460" s="145" t="str">
        <ns0:v>固定层序见本关首行</ns0:v>
      </ns0:c>
      <ns0:c r="R460" s="149" t="n">
        <ns0:f>E460*H460</ns0:f>
        <ns0:v>0</ns0:v>
      </ns0:c>
    </ns0:row>
    <ns0:row r="461" ht="21" customHeight="1">
      <ns0:c r="A461" s="150" t="n">
        <ns0:v>71</ns0:v>
      </ns0:c>
      <ns0:c r="B461" s="147" t="str">
        <ns0:v>开局</ns0:v>
      </ns0:c>
      <ns0:c r="C461" s="147" t="str">
        <ns0:v>W8-071-05</ns0:v>
      </ns0:c>
      <ns0:c r="D461" s="147" t="str">
        <ns0:v>底部置顶盒</ns0:v>
      </ns0:c>
      <ns0:c r="E461" s="152" t="n">
        <ns0:v>2</ns0:v>
      </ns0:c>
      <ns0:c r="F461" s="152" t="n">
        <ns0:v>4</ns0:v>
      </ns0:c>
      <ns0:c r="G461" s="152" t="n">
        <ns0:v>4</ns0:v>
      </ns0:c>
      <ns0:c r="H461" s="152" t="n">
        <ns0:v>0</ns0:v>
      </ns0:c>
      <ns0:c r="I461" s="150" t="n">
        <ns0:f>E461*G461</ns0:f>
        <ns0:v>8</ns0:v>
      </ns0:c>
      <ns0:c r="J461" s="150" t="n">
        <ns0:f>E461*(F461-G461)</ns0:f>
        <ns0:v>0</ns0:v>
      </ns0:c>
      <ns0:c r="K461" s="150" t="n">
        <ns0:f>IF(AND(B461="开局",G461=0,OR(D461="普通盒",D461="单颗暂存盒")),J461,0)</ns0:f>
        <ns0:v>0</ns0:v>
      </ns0:c>
      <ns0:c r="L461" s="150" t="n">
        <ns0:f>IF(AND(B461="开局",G461&gt;0,OR(D461="普通盒",D461="底部置顶盒",D461="炸弹盒")),J461,0)</ns0:f>
        <ns0:v>0</ns0:v>
      </ns0:c>
      <ns0:c r="M461" s="150" t="n">
        <ns0:f>IF(AND(B461="开局",OR(D461="固定颜色盒",D461="单向收纳盒")),J461,0)</ns0:f>
        <ns0:v>0</ns0:v>
      </ns0:c>
      <ns0:c r="N461" s="150" t="n">
        <ns0:f>IF(AND(B461="开局",OR(D461="数字盖盒",D461="普通冰冻盒",D461="数字冰冻盒",D461="数字冰冻单颗暂存盒")),J461,0)</ns0:f>
        <ns0:v>0</ns0:v>
      </ns0:c>
      <ns0:c r="O461" s="147" t="str">
        <ns0:f>IF(AND(E461&gt;0,E461=INT(E461),G461&gt;=0,G461&lt;=F461,G461=INT(G461),OR(AND(F461=1,OR(D461="单颗暂存盒",D461="数字冰冻单颗暂存盒")),AND(F461=4,NOT(OR(D461="单颗暂存盒",D461="数字冰冻单颗暂存盒")))),IF(OR(D461="数字盖盒",D461="数字冰冻盒",D461="数字冰冻单颗暂存盒"),AND(H461&gt;=1,H461=INT(H461)),H461=0),IF(B461="开局",AND(IF(OR(D461="数字盖盒",D461="普通冰冻盒",D461="数字冰冻盒",D461="炸弹盒",D461="底部置顶盒"),OR(G461=3,G461=4),TRUE),IF(OR(D461="单向收纳盒",D461="单颗暂存盒",D461="数字冰冻单颗暂存盒"),OR(G461=0,G461=1),TRUE),IF(OR(D461="固定颜色盒",D461="广告锁定周转盒"),G461=0,TRUE)),TRUE)),"通过","需调整")</ns0:f>
        <ns0:v>通过</ns0:v>
      </ns0:c>
      <ns0:c r="P461" s="147" t="str">
        <ns0:v>底部置顶盒</ns0:v>
      </ns0:c>
      <ns0:c r="Q461" s="147" t="str">
        <ns0:v>固定层序见本关首行</ns0:v>
      </ns0:c>
      <ns0:c r="R461" s="150" t="n">
        <ns0:f>E461*H461</ns0:f>
        <ns0:v>0</ns0:v>
      </ns0:c>
    </ns0:row>
    <ns0:row r="462" ht="21" customHeight="1">
      <ns0:c r="A462" s="149" t="n">
        <ns0:v>71</ns0:v>
      </ns0:c>
      <ns0:c r="B462" s="145" t="str">
        <ns0:v>开局</ns0:v>
      </ns0:c>
      <ns0:c r="C462" s="145" t="str">
        <ns0:v>W8-071-06</ns0:v>
      </ns0:c>
      <ns0:c r="D462" s="145" t="str">
        <ns0:v>广告锁定周转盒</ns0:v>
      </ns0:c>
      <ns0:c r="E462" s="152" t="n">
        <ns0:v>2</ns0:v>
      </ns0:c>
      <ns0:c r="F462" s="152" t="n">
        <ns0:v>4</ns0:v>
      </ns0:c>
      <ns0:c r="G462" s="152" t="n">
        <ns0:v>0</ns0:v>
      </ns0:c>
      <ns0:c r="H462" s="152" t="n">
        <ns0:v>0</ns0:v>
      </ns0:c>
      <ns0:c r="I462" s="149" t="n">
        <ns0:f>E462*G462</ns0:f>
        <ns0:v>0</ns0:v>
      </ns0:c>
      <ns0:c r="J462" s="149" t="n">
        <ns0:f>E462*(F462-G462)</ns0:f>
        <ns0:v>8</ns0:v>
      </ns0:c>
      <ns0:c r="K462" s="149" t="n">
        <ns0:f>IF(AND(B462="开局",G462=0,OR(D462="普通盒",D462="单颗暂存盒")),J462,0)</ns0:f>
        <ns0:v>0</ns0:v>
      </ns0:c>
      <ns0:c r="L462" s="149" t="n">
        <ns0:f>IF(AND(B462="开局",G462&gt;0,OR(D462="普通盒",D462="底部置顶盒",D462="炸弹盒")),J462,0)</ns0:f>
        <ns0:v>0</ns0:v>
      </ns0:c>
      <ns0:c r="M462" s="149" t="n">
        <ns0:f>IF(AND(B462="开局",OR(D462="固定颜色盒",D462="单向收纳盒")),J462,0)</ns0:f>
        <ns0:v>0</ns0:v>
      </ns0:c>
      <ns0:c r="N462" s="149" t="n">
        <ns0:f>IF(AND(B462="开局",OR(D462="数字盖盒",D462="普通冰冻盒",D462="数字冰冻盒",D462="数字冰冻单颗暂存盒")),J462,0)</ns0:f>
        <ns0:v>0</ns0:v>
      </ns0:c>
      <ns0:c r="O462" s="145" t="str">
        <ns0:f>IF(AND(E462&gt;0,E462=INT(E462),G462&gt;=0,G462&lt;=F462,G462=INT(G462),OR(AND(F462=1,OR(D462="单颗暂存盒",D462="数字冰冻单颗暂存盒")),AND(F462=4,NOT(OR(D462="单颗暂存盒",D462="数字冰冻单颗暂存盒")))),IF(OR(D462="数字盖盒",D462="数字冰冻盒",D462="数字冰冻单颗暂存盒"),AND(H462&gt;=1,H462=INT(H462)),H462=0),IF(B462="开局",AND(IF(OR(D462="数字盖盒",D462="普通冰冻盒",D462="数字冰冻盒",D462="炸弹盒",D462="底部置顶盒"),OR(G462=3,G462=4),TRUE),IF(OR(D462="单向收纳盒",D462="单颗暂存盒",D462="数字冰冻单颗暂存盒"),OR(G462=0,G462=1),TRUE),IF(OR(D462="固定颜色盒",D462="广告锁定周转盒"),G462=0,TRUE)),TRUE)),"通过","需调整")</ns0:f>
        <ns0:v>通过</ns0:v>
      </ns0:c>
      <ns0:c r="P462" s="145" t="str">
        <ns0:v>双广告锁位</ns0:v>
      </ns0:c>
      <ns0:c r="Q462" s="145" t="str">
        <ns0:v>固定层序见本关首行</ns0:v>
      </ns0:c>
      <ns0:c r="R462" s="149" t="n">
        <ns0:f>E462*H462</ns0:f>
        <ns0:v>0</ns0:v>
      </ns0:c>
    </ns0:row>
    <ns0:row r="463" ht="21" customHeight="1">
      <ns0:c r="A463" s="150" t="n">
        <ns0:v>72</ns0:v>
      </ns0:c>
      <ns0:c r="B463" s="147" t="str">
        <ns0:v>开局</ns0:v>
      </ns0:c>
      <ns0:c r="C463" s="147" t="str">
        <ns0:v>W8-072-01</ns0:v>
      </ns0:c>
      <ns0:c r="D463" s="147" t="str">
        <ns0:v>普通盒</ns0:v>
      </ns0:c>
      <ns0:c r="E463" s="152" t="n">
        <ns0:v>13</ns0:v>
      </ns0:c>
      <ns0:c r="F463" s="152" t="n">
        <ns0:v>4</ns0:v>
      </ns0:c>
      <ns0:c r="G463" s="152" t="n">
        <ns0:v>4</ns0:v>
      </ns0:c>
      <ns0:c r="H463" s="152" t="n">
        <ns0:v>0</ns0:v>
      </ns0:c>
      <ns0:c r="I463" s="150" t="n">
        <ns0:f>E463*G463</ns0:f>
        <ns0:v>52</ns0:v>
      </ns0:c>
      <ns0:c r="J463" s="150" t="n">
        <ns0:f>E463*(F463-G463)</ns0:f>
        <ns0:v>0</ns0:v>
      </ns0:c>
      <ns0:c r="K463" s="150" t="n">
        <ns0:f>IF(AND(B463="开局",G463=0,OR(D463="普通盒",D463="单颗暂存盒")),J463,0)</ns0:f>
        <ns0:v>0</ns0:v>
      </ns0:c>
      <ns0:c r="L463" s="150" t="n">
        <ns0:f>IF(AND(B463="开局",G463&gt;0,OR(D463="普通盒",D463="底部置顶盒",D463="炸弹盒")),J463,0)</ns0:f>
        <ns0:v>0</ns0:v>
      </ns0:c>
      <ns0:c r="M463" s="150" t="n">
        <ns0:f>IF(AND(B463="开局",OR(D463="固定颜色盒",D463="单向收纳盒")),J463,0)</ns0:f>
        <ns0:v>0</ns0:v>
      </ns0:c>
      <ns0:c r="N463" s="150" t="n">
        <ns0:f>IF(AND(B463="开局",OR(D463="数字盖盒",D463="普通冰冻盒",D463="数字冰冻盒",D463="数字冰冻单颗暂存盒")),J463,0)</ns0:f>
        <ns0:v>0</ns0:v>
      </ns0:c>
      <ns0:c r="O463" s="147" t="str">
        <ns0:f>IF(AND(E463&gt;0,E463=INT(E463),G463&gt;=0,G463&lt;=F463,G463=INT(G463),OR(AND(F463=1,OR(D463="单颗暂存盒",D463="数字冰冻单颗暂存盒")),AND(F463=4,NOT(OR(D463="单颗暂存盒",D463="数字冰冻单颗暂存盒")))),IF(OR(D463="数字盖盒",D463="数字冰冻盒",D463="数字冰冻单颗暂存盒"),AND(H463&gt;=1,H463=INT(H463)),H463=0),IF(B463="开局",AND(IF(OR(D463="数字盖盒",D463="普通冰冻盒",D463="数字冰冻盒",D463="炸弹盒",D463="底部置顶盒"),OR(G463=3,G463=4),TRUE),IF(OR(D463="单向收纳盒",D463="单颗暂存盒",D463="数字冰冻单颗暂存盒"),OR(G463=0,G463=1),TRUE),IF(OR(D463="固定颜色盒",D463="广告锁定周转盒"),G463=0,TRUE)),TRUE)),"通过","需调整")</ns0:f>
        <ns0:v>通过</ns0:v>
      </ns0:c>
      <ns0:c r="P463" s="147" t="str">
        <ns0:v>普通盒</ns0:v>
      </ns0:c>
      <ns0:c r="Q463" s="147" t="str">
        <ns0:v>层序JSON:{"reference":"2026-10-12 第71至80关续接设计；自主层序、双循环分工与组合机关波动","slots":[{"group_id":"W8-072-01","layers":[8,8,12,3]},{"group_id":"W8-072-01","layers":[4,3,12,4]},{"group_id":"W8-072-01","layers":[0,3,2,6]},{"group_id":"W8-072-01","layers":[8,6,12,4]},{"group_id":"W8-072-01","layers":[3,0,3,0]},{"group_id":"W8-072-02","layers":[8,5,6]},{"group_id":"W8-072-01","layers":[0,6,2,5]},{"group_id":"W8-072-01","layers":[8,0,2,4]},{"group_id":"W8-072-03","layers":[12,12]},{"group_id":"W8-072-01","layers":[12,6,0,12]},{"group_id":"W8-072-03","layers":[4,3]},{"group_id":"W8-072-01","layers":[2,0,5,4]},{"group_id":"W8-072-01","layers":[6,6,12,2]},{"group_id":"W8-072-01","layers":[6,4,3,5]},{"group_id":"W8-072-01","layers":[5,8,8,2]},{"group_id":"W8-072-04","layers":[8,4,2,5]},{"group_id":"W8-072-01","layers":[3,2,5,5]},{"group_id":"W8-072-05","layers":[0]}],"stock":[],"demand_sequences":[[0,4,5,8,8,3,6,12],[12,3,2,0,2,5,6,4]]}</ns0:v>
      </ns0:c>
      <ns0:c r="R463" s="150" t="n">
        <ns0:f>E463*H463</ns0:f>
        <ns0:v>0</ns0:v>
      </ns0:c>
    </ns0:row>
    <ns0:row r="464" ht="21" customHeight="1">
      <ns0:c r="A464" s="149" t="n">
        <ns0:v>72</ns0:v>
      </ns0:c>
      <ns0:c r="B464" s="145" t="str">
        <ns0:v>开局</ns0:v>
      </ns0:c>
      <ns0:c r="C464" s="145" t="str">
        <ns0:v>W8-072-02</ns0:v>
      </ns0:c>
      <ns0:c r="D464" s="145" t="str">
        <ns0:v>普通盒</ns0:v>
      </ns0:c>
      <ns0:c r="E464" s="152" t="n">
        <ns0:v>1</ns0:v>
      </ns0:c>
      <ns0:c r="F464" s="152" t="n">
        <ns0:v>4</ns0:v>
      </ns0:c>
      <ns0:c r="G464" s="152" t="n">
        <ns0:v>3</ns0:v>
      </ns0:c>
      <ns0:c r="H464" s="152" t="n">
        <ns0:v>0</ns0:v>
      </ns0:c>
      <ns0:c r="I464" s="149" t="n">
        <ns0:f>E464*G464</ns0:f>
        <ns0:v>3</ns0:v>
      </ns0:c>
      <ns0:c r="J464" s="149" t="n">
        <ns0:f>E464*(F464-G464)</ns0:f>
        <ns0:v>1</ns0:v>
      </ns0:c>
      <ns0:c r="K464" s="149" t="n">
        <ns0:f>IF(AND(B464="开局",G464=0,OR(D464="普通盒",D464="单颗暂存盒")),J464,0)</ns0:f>
        <ns0:v>0</ns0:v>
      </ns0:c>
      <ns0:c r="L464" s="149" t="n">
        <ns0:f>IF(AND(B464="开局",G464&gt;0,OR(D464="普通盒",D464="底部置顶盒",D464="炸弹盒")),J464,0)</ns0:f>
        <ns0:v>1</ns0:v>
      </ns0:c>
      <ns0:c r="M464" s="149" t="n">
        <ns0:f>IF(AND(B464="开局",OR(D464="固定颜色盒",D464="单向收纳盒")),J464,0)</ns0:f>
        <ns0:v>0</ns0:v>
      </ns0:c>
      <ns0:c r="N464" s="149" t="n">
        <ns0:f>IF(AND(B464="开局",OR(D464="数字盖盒",D464="普通冰冻盒",D464="数字冰冻盒",D464="数字冰冻单颗暂存盒")),J464,0)</ns0:f>
        <ns0:v>0</ns0:v>
      </ns0:c>
      <ns0:c r="O464" s="145" t="str">
        <ns0:f>IF(AND(E464&gt;0,E464=INT(E464),G464&gt;=0,G464&lt;=F464,G464=INT(G464),OR(AND(F464=1,OR(D464="单颗暂存盒",D464="数字冰冻单颗暂存盒")),AND(F464=4,NOT(OR(D464="单颗暂存盒",D464="数字冰冻单颗暂存盒")))),IF(OR(D464="数字盖盒",D464="数字冰冻盒",D464="数字冰冻单颗暂存盒"),AND(H464&gt;=1,H464=INT(H464)),H464=0),IF(B464="开局",AND(IF(OR(D464="数字盖盒",D464="普通冰冻盒",D464="数字冰冻盒",D464="炸弹盒",D464="底部置顶盒"),OR(G464=3,G464=4),TRUE),IF(OR(D464="单向收纳盒",D464="单颗暂存盒",D464="数字冰冻单颗暂存盒"),OR(G464=0,G464=1),TRUE),IF(OR(D464="固定颜色盒",D464="广告锁定周转盒"),G464=0,TRUE)),TRUE)),"通过","需调整")</ns0:f>
        <ns0:v>通过</ns0:v>
      </ns0:c>
      <ns0:c r="P464" s="145" t="str">
        <ns0:v>普通盒</ns0:v>
      </ns0:c>
      <ns0:c r="Q464" s="145" t="str">
        <ns0:v>固定层序见本关首行</ns0:v>
      </ns0:c>
      <ns0:c r="R464" s="149" t="n">
        <ns0:f>E464*H464</ns0:f>
        <ns0:v>0</ns0:v>
      </ns0:c>
    </ns0:row>
    <ns0:row r="465" ht="21" customHeight="1">
      <ns0:c r="A465" s="150" t="n">
        <ns0:v>72</ns0:v>
      </ns0:c>
      <ns0:c r="B465" s="147" t="str">
        <ns0:v>开局</ns0:v>
      </ns0:c>
      <ns0:c r="C465" s="147" t="str">
        <ns0:v>W8-072-03</ns0:v>
      </ns0:c>
      <ns0:c r="D465" s="147" t="str">
        <ns0:v>普通盒</ns0:v>
      </ns0:c>
      <ns0:c r="E465" s="152" t="n">
        <ns0:v>2</ns0:v>
      </ns0:c>
      <ns0:c r="F465" s="152" t="n">
        <ns0:v>4</ns0:v>
      </ns0:c>
      <ns0:c r="G465" s="152" t="n">
        <ns0:v>2</ns0:v>
      </ns0:c>
      <ns0:c r="H465" s="152" t="n">
        <ns0:v>0</ns0:v>
      </ns0:c>
      <ns0:c r="I465" s="150" t="n">
        <ns0:f>E465*G465</ns0:f>
        <ns0:v>4</ns0:v>
      </ns0:c>
      <ns0:c r="J465" s="150" t="n">
        <ns0:f>E465*(F465-G465)</ns0:f>
        <ns0:v>4</ns0:v>
      </ns0:c>
      <ns0:c r="K465" s="150" t="n">
        <ns0:f>IF(AND(B465="开局",G465=0,OR(D465="普通盒",D465="单颗暂存盒")),J465,0)</ns0:f>
        <ns0:v>0</ns0:v>
      </ns0:c>
      <ns0:c r="L465" s="150" t="n">
        <ns0:f>IF(AND(B465="开局",G465&gt;0,OR(D465="普通盒",D465="底部置顶盒",D465="炸弹盒")),J465,0)</ns0:f>
        <ns0:v>4</ns0:v>
      </ns0:c>
      <ns0:c r="M465" s="150" t="n">
        <ns0:f>IF(AND(B465="开局",OR(D465="固定颜色盒",D465="单向收纳盒")),J465,0)</ns0:f>
        <ns0:v>0</ns0:v>
      </ns0:c>
      <ns0:c r="N465" s="150" t="n">
        <ns0:f>IF(AND(B465="开局",OR(D465="数字盖盒",D465="普通冰冻盒",D465="数字冰冻盒",D465="数字冰冻单颗暂存盒")),J465,0)</ns0:f>
        <ns0:v>0</ns0:v>
      </ns0:c>
      <ns0:c r="O465" s="147" t="str">
        <ns0:f>IF(AND(E465&gt;0,E465=INT(E465),G465&gt;=0,G465&lt;=F465,G465=INT(G465),OR(AND(F465=1,OR(D465="单颗暂存盒",D465="数字冰冻单颗暂存盒")),AND(F465=4,NOT(OR(D465="单颗暂存盒",D465="数字冰冻单颗暂存盒")))),IF(OR(D465="数字盖盒",D465="数字冰冻盒",D465="数字冰冻单颗暂存盒"),AND(H465&gt;=1,H465=INT(H465)),H465=0),IF(B465="开局",AND(IF(OR(D465="数字盖盒",D465="普通冰冻盒",D465="数字冰冻盒",D465="炸弹盒",D465="底部置顶盒"),OR(G465=3,G465=4),TRUE),IF(OR(D465="单向收纳盒",D465="单颗暂存盒",D465="数字冰冻单颗暂存盒"),OR(G465=0,G465=1),TRUE),IF(OR(D465="固定颜色盒",D465="广告锁定周转盒"),G465=0,TRUE)),TRUE)),"通过","需调整")</ns0:f>
        <ns0:v>通过</ns0:v>
      </ns0:c>
      <ns0:c r="P465" s="147" t="str">
        <ns0:v>普通盒</ns0:v>
      </ns0:c>
      <ns0:c r="Q465" s="147" t="str">
        <ns0:v>固定层序见本关首行</ns0:v>
      </ns0:c>
      <ns0:c r="R465" s="150" t="n">
        <ns0:f>E465*H465</ns0:f>
        <ns0:v>0</ns0:v>
      </ns0:c>
    </ns0:row>
    <ns0:row r="466" ht="21" customHeight="1">
      <ns0:c r="A466" s="149" t="n">
        <ns0:v>72</ns0:v>
      </ns0:c>
      <ns0:c r="B466" s="145" t="str">
        <ns0:v>开局</ns0:v>
      </ns0:c>
      <ns0:c r="C466" s="145" t="str">
        <ns0:v>W8-072-04</ns0:v>
      </ns0:c>
      <ns0:c r="D466" s="145" t="str">
        <ns0:v>数字盖盒</ns0:v>
      </ns0:c>
      <ns0:c r="E466" s="152" t="n">
        <ns0:v>1</ns0:v>
      </ns0:c>
      <ns0:c r="F466" s="152" t="n">
        <ns0:v>4</ns0:v>
      </ns0:c>
      <ns0:c r="G466" s="152" t="n">
        <ns0:v>4</ns0:v>
      </ns0:c>
      <ns0:c r="H466" s="152" t="n">
        <ns0:v>1</ns0:v>
      </ns0:c>
      <ns0:c r="I466" s="149" t="n">
        <ns0:f>E466*G466</ns0:f>
        <ns0:v>4</ns0:v>
      </ns0:c>
      <ns0:c r="J466" s="149" t="n">
        <ns0:f>E466*(F466-G466)</ns0:f>
        <ns0:v>0</ns0:v>
      </ns0:c>
      <ns0:c r="K466" s="149" t="n">
        <ns0:f>IF(AND(B466="开局",G466=0,OR(D466="普通盒",D466="单颗暂存盒")),J466,0)</ns0:f>
        <ns0:v>0</ns0:v>
      </ns0:c>
      <ns0:c r="L466" s="149" t="n">
        <ns0:f>IF(AND(B466="开局",G466&gt;0,OR(D466="普通盒",D466="底部置顶盒",D466="炸弹盒")),J466,0)</ns0:f>
        <ns0:v>0</ns0:v>
      </ns0:c>
      <ns0:c r="M466" s="149" t="n">
        <ns0:f>IF(AND(B466="开局",OR(D466="固定颜色盒",D466="单向收纳盒")),J466,0)</ns0:f>
        <ns0:v>0</ns0:v>
      </ns0:c>
      <ns0:c r="N466" s="149" t="n">
        <ns0:f>IF(AND(B466="开局",OR(D466="数字盖盒",D466="普通冰冻盒",D466="数字冰冻盒",D466="数字冰冻单颗暂存盒")),J466,0)</ns0:f>
        <ns0:v>0</ns0:v>
      </ns0:c>
      <ns0:c r="O466" s="145" t="str">
        <ns0:f>IF(AND(E466&gt;0,E466=INT(E466),G466&gt;=0,G466&lt;=F466,G466=INT(G466),OR(AND(F466=1,OR(D466="单颗暂存盒",D466="数字冰冻单颗暂存盒")),AND(F466=4,NOT(OR(D466="单颗暂存盒",D466="数字冰冻单颗暂存盒")))),IF(OR(D466="数字盖盒",D466="数字冰冻盒",D466="数字冰冻单颗暂存盒"),AND(H466&gt;=1,H466=INT(H466)),H466=0),IF(B466="开局",AND(IF(OR(D466="数字盖盒",D466="普通冰冻盒",D466="数字冰冻盒",D466="炸弹盒",D466="底部置顶盒"),OR(G466=3,G466=4),TRUE),IF(OR(D466="单向收纳盒",D466="单颗暂存盒",D466="数字冰冻单颗暂存盒"),OR(G466=0,G466=1),TRUE),IF(OR(D466="固定颜色盒",D466="广告锁定周转盒"),G466=0,TRUE)),TRUE)),"通过","需调整")</ns0:f>
        <ns0:v>通过</ns0:v>
      </ns0:c>
      <ns0:c r="P466" s="145" t="str">
        <ns0:v>数字盖盒</ns0:v>
      </ns0:c>
      <ns0:c r="Q466" s="145" t="str">
        <ns0:v>固定层序见本关首行</ns0:v>
      </ns0:c>
      <ns0:c r="R466" s="149" t="n">
        <ns0:f>E466*H466</ns0:f>
        <ns0:v>1</ns0:v>
      </ns0:c>
    </ns0:row>
    <ns0:row r="467" ht="21" customHeight="1">
      <ns0:c r="A467" s="150" t="n">
        <ns0:v>72</ns0:v>
      </ns0:c>
      <ns0:c r="B467" s="147" t="str">
        <ns0:v>开局</ns0:v>
      </ns0:c>
      <ns0:c r="C467" s="147" t="str">
        <ns0:v>W8-072-05</ns0:v>
      </ns0:c>
      <ns0:c r="D467" s="147" t="str">
        <ns0:v>单向收纳盒</ns0:v>
      </ns0:c>
      <ns0:c r="E467" s="152" t="n">
        <ns0:v>1</ns0:v>
      </ns0:c>
      <ns0:c r="F467" s="152" t="n">
        <ns0:v>4</ns0:v>
      </ns0:c>
      <ns0:c r="G467" s="152" t="n">
        <ns0:v>1</ns0:v>
      </ns0:c>
      <ns0:c r="H467" s="152" t="n">
        <ns0:v>0</ns0:v>
      </ns0:c>
      <ns0:c r="I467" s="150" t="n">
        <ns0:f>E467*G467</ns0:f>
        <ns0:v>1</ns0:v>
      </ns0:c>
      <ns0:c r="J467" s="150" t="n">
        <ns0:f>E467*(F467-G467)</ns0:f>
        <ns0:v>3</ns0:v>
      </ns0:c>
      <ns0:c r="K467" s="150" t="n">
        <ns0:f>IF(AND(B467="开局",G467=0,OR(D467="普通盒",D467="单颗暂存盒")),J467,0)</ns0:f>
        <ns0:v>0</ns0:v>
      </ns0:c>
      <ns0:c r="L467" s="150" t="n">
        <ns0:f>IF(AND(B467="开局",G467&gt;0,OR(D467="普通盒",D467="底部置顶盒",D467="炸弹盒")),J467,0)</ns0:f>
        <ns0:v>0</ns0:v>
      </ns0:c>
      <ns0:c r="M467" s="150" t="n">
        <ns0:f>IF(AND(B467="开局",OR(D467="固定颜色盒",D467="单向收纳盒")),J467,0)</ns0:f>
        <ns0:v>3</ns0:v>
      </ns0:c>
      <ns0:c r="N467" s="150" t="n">
        <ns0:f>IF(AND(B467="开局",OR(D467="数字盖盒",D467="普通冰冻盒",D467="数字冰冻盒",D467="数字冰冻单颗暂存盒")),J467,0)</ns0:f>
        <ns0:v>0</ns0:v>
      </ns0:c>
      <ns0:c r="O467" s="147" t="str">
        <ns0:f>IF(AND(E467&gt;0,E467=INT(E467),G467&gt;=0,G467&lt;=F467,G467=INT(G467),OR(AND(F467=1,OR(D467="单颗暂存盒",D467="数字冰冻单颗暂存盒")),AND(F467=4,NOT(OR(D467="单颗暂存盒",D467="数字冰冻单颗暂存盒")))),IF(OR(D467="数字盖盒",D467="数字冰冻盒",D467="数字冰冻单颗暂存盒"),AND(H467&gt;=1,H467=INT(H467)),H467=0),IF(B467="开局",AND(IF(OR(D467="数字盖盒",D467="普通冰冻盒",D467="数字冰冻盒",D467="炸弹盒",D467="底部置顶盒"),OR(G467=3,G467=4),TRUE),IF(OR(D467="单向收纳盒",D467="单颗暂存盒",D467="数字冰冻单颗暂存盒"),OR(G467=0,G467=1),TRUE),IF(OR(D467="固定颜色盒",D467="广告锁定周转盒"),G467=0,TRUE)),TRUE)),"通过","需调整")</ns0:f>
        <ns0:v>通过</ns0:v>
      </ns0:c>
      <ns0:c r="P467" s="147" t="str">
        <ns0:v>单向收纳盒</ns0:v>
      </ns0:c>
      <ns0:c r="Q467" s="147" t="str">
        <ns0:v>固定层序见本关首行</ns0:v>
      </ns0:c>
      <ns0:c r="R467" s="150" t="n">
        <ns0:f>E467*H467</ns0:f>
        <ns0:v>0</ns0:v>
      </ns0:c>
    </ns0:row>
    <ns0:row r="468" ht="21" customHeight="1">
      <ns0:c r="A468" s="149" t="n">
        <ns0:v>72</ns0:v>
      </ns0:c>
      <ns0:c r="B468" s="145" t="str">
        <ns0:v>开局</ns0:v>
      </ns0:c>
      <ns0:c r="C468" s="145" t="str">
        <ns0:v>W8-072-06</ns0:v>
      </ns0:c>
      <ns0:c r="D468" s="145" t="str">
        <ns0:v>广告锁定周转盒</ns0:v>
      </ns0:c>
      <ns0:c r="E468" s="152" t="n">
        <ns0:v>2</ns0:v>
      </ns0:c>
      <ns0:c r="F468" s="152" t="n">
        <ns0:v>4</ns0:v>
      </ns0:c>
      <ns0:c r="G468" s="152" t="n">
        <ns0:v>0</ns0:v>
      </ns0:c>
      <ns0:c r="H468" s="152" t="n">
        <ns0:v>0</ns0:v>
      </ns0:c>
      <ns0:c r="I468" s="149" t="n">
        <ns0:f>E468*G468</ns0:f>
        <ns0:v>0</ns0:v>
      </ns0:c>
      <ns0:c r="J468" s="149" t="n">
        <ns0:f>E468*(F468-G468)</ns0:f>
        <ns0:v>8</ns0:v>
      </ns0:c>
      <ns0:c r="K468" s="149" t="n">
        <ns0:f>IF(AND(B468="开局",G468=0,OR(D468="普通盒",D468="单颗暂存盒")),J468,0)</ns0:f>
        <ns0:v>0</ns0:v>
      </ns0:c>
      <ns0:c r="L468" s="149" t="n">
        <ns0:f>IF(AND(B468="开局",G468&gt;0,OR(D468="普通盒",D468="底部置顶盒",D468="炸弹盒")),J468,0)</ns0:f>
        <ns0:v>0</ns0:v>
      </ns0:c>
      <ns0:c r="M468" s="149" t="n">
        <ns0:f>IF(AND(B468="开局",OR(D468="固定颜色盒",D468="单向收纳盒")),J468,0)</ns0:f>
        <ns0:v>0</ns0:v>
      </ns0:c>
      <ns0:c r="N468" s="149" t="n">
        <ns0:f>IF(AND(B468="开局",OR(D468="数字盖盒",D468="普通冰冻盒",D468="数字冰冻盒",D468="数字冰冻单颗暂存盒")),J468,0)</ns0:f>
        <ns0:v>0</ns0:v>
      </ns0:c>
      <ns0:c r="O468" s="145" t="str">
        <ns0:f>IF(AND(E468&gt;0,E468=INT(E468),G468&gt;=0,G468&lt;=F468,G468=INT(G468),OR(AND(F468=1,OR(D468="单颗暂存盒",D468="数字冰冻单颗暂存盒")),AND(F468=4,NOT(OR(D468="单颗暂存盒",D468="数字冰冻单颗暂存盒")))),IF(OR(D468="数字盖盒",D468="数字冰冻盒",D468="数字冰冻单颗暂存盒"),AND(H468&gt;=1,H468=INT(H468)),H468=0),IF(B468="开局",AND(IF(OR(D468="数字盖盒",D468="普通冰冻盒",D468="数字冰冻盒",D468="炸弹盒",D468="底部置顶盒"),OR(G468=3,G468=4),TRUE),IF(OR(D468="单向收纳盒",D468="单颗暂存盒",D468="数字冰冻单颗暂存盒"),OR(G468=0,G468=1),TRUE),IF(OR(D468="固定颜色盒",D468="广告锁定周转盒"),G468=0,TRUE)),TRUE)),"通过","需调整")</ns0:f>
        <ns0:v>通过</ns0:v>
      </ns0:c>
      <ns0:c r="P468" s="145" t="str">
        <ns0:v>双广告锁位</ns0:v>
      </ns0:c>
      <ns0:c r="Q468" s="145" t="str">
        <ns0:v>固定层序见本关首行</ns0:v>
      </ns0:c>
      <ns0:c r="R468" s="149" t="n">
        <ns0:f>E468*H468</ns0:f>
        <ns0:v>0</ns0:v>
      </ns0:c>
    </ns0:row>
    <ns0:row r="469" ht="21" customHeight="1">
      <ns0:c r="A469" s="150" t="n">
        <ns0:v>73</ns0:v>
      </ns0:c>
      <ns0:c r="B469" s="147" t="str">
        <ns0:v>开局</ns0:v>
      </ns0:c>
      <ns0:c r="C469" s="147" t="str">
        <ns0:v>W8-073-01</ns0:v>
      </ns0:c>
      <ns0:c r="D469" s="147" t="str">
        <ns0:v>普通盒</ns0:v>
      </ns0:c>
      <ns0:c r="E469" s="152" t="n">
        <ns0:v>11</ns0:v>
      </ns0:c>
      <ns0:c r="F469" s="152" t="n">
        <ns0:v>4</ns0:v>
      </ns0:c>
      <ns0:c r="G469" s="152" t="n">
        <ns0:v>4</ns0:v>
      </ns0:c>
      <ns0:c r="H469" s="152" t="n">
        <ns0:v>0</ns0:v>
      </ns0:c>
      <ns0:c r="I469" s="150" t="n">
        <ns0:f>E469*G469</ns0:f>
        <ns0:v>44</ns0:v>
      </ns0:c>
      <ns0:c r="J469" s="150" t="n">
        <ns0:f>E469*(F469-G469)</ns0:f>
        <ns0:v>0</ns0:v>
      </ns0:c>
      <ns0:c r="K469" s="150" t="n">
        <ns0:f>IF(AND(B469="开局",G469=0,OR(D469="普通盒",D469="单颗暂存盒")),J469,0)</ns0:f>
        <ns0:v>0</ns0:v>
      </ns0:c>
      <ns0:c r="L469" s="150" t="n">
        <ns0:f>IF(AND(B469="开局",G469&gt;0,OR(D469="普通盒",D469="底部置顶盒",D469="炸弹盒")),J469,0)</ns0:f>
        <ns0:v>0</ns0:v>
      </ns0:c>
      <ns0:c r="M469" s="150" t="n">
        <ns0:f>IF(AND(B469="开局",OR(D469="固定颜色盒",D469="单向收纳盒")),J469,0)</ns0:f>
        <ns0:v>0</ns0:v>
      </ns0:c>
      <ns0:c r="N469" s="150" t="n">
        <ns0:f>IF(AND(B469="开局",OR(D469="数字盖盒",D469="普通冰冻盒",D469="数字冰冻盒",D469="数字冰冻单颗暂存盒")),J469,0)</ns0:f>
        <ns0:v>0</ns0:v>
      </ns0:c>
      <ns0:c r="O469" s="147" t="str">
        <ns0:f>IF(AND(E469&gt;0,E469=INT(E469),G469&gt;=0,G469&lt;=F469,G469=INT(G469),OR(AND(F469=1,OR(D469="单颗暂存盒",D469="数字冰冻单颗暂存盒")),AND(F469=4,NOT(OR(D469="单颗暂存盒",D469="数字冰冻单颗暂存盒")))),IF(OR(D469="数字盖盒",D469="数字冰冻盒",D469="数字冰冻单颗暂存盒"),AND(H469&gt;=1,H469=INT(H469)),H469=0),IF(B469="开局",AND(IF(OR(D469="数字盖盒",D469="普通冰冻盒",D469="数字冰冻盒",D469="炸弹盒",D469="底部置顶盒"),OR(G469=3,G469=4),TRUE),IF(OR(D469="单向收纳盒",D469="单颗暂存盒",D469="数字冰冻单颗暂存盒"),OR(G469=0,G469=1),TRUE),IF(OR(D469="固定颜色盒",D469="广告锁定周转盒"),G469=0,TRUE)),TRUE)),"通过","需调整")</ns0:f>
        <ns0:v>通过</ns0:v>
      </ns0:c>
      <ns0:c r="P469" s="147" t="str">
        <ns0:v>普通盒</ns0:v>
      </ns0:c>
      <ns0:c r="Q469" s="147" t="str">
        <ns0:v>层序JSON:{"reference":"2026-10-12 第71至80关续接设计；自主层序、双循环分工与组合机关波动","slots":[{"group_id":"W8-073-01","layers":[6,0,0,4]},{"group_id":"W8-073-05","layers":[2,2,3,6]},{"group_id":"W8-073-01","layers":[4,2,3,2]},{"group_id":"W8-073-03","layers":[5]},{"group_id":"W8-073-01","layers":[3,6,0,0]},{"group_id":"W8-073-05","layers":[12,0,5,3]},{"group_id":"W8-073-01","layers":[2,8,3,4]},{"group_id":"W8-073-01","layers":[3,4,5,8]},{"group_id":"W8-073-02","layers":[5,2,3]},{"group_id":"W8-073-01","layers":[4,4,3,8]},{"group_id":"W8-073-01","layers":[6,5,0,5]},{"group_id":"W8-073-01","layers":[2,5,4,0]},{"group_id":"W8-073-01","layers":[12,4,6,12]},{"group_id":"W8-073-01","layers":[6,8,2,6]},{"group_id":"W8-073-01","layers":[0,6,12,5]},{"group_id":"W8-073-06","layers":[],"fixed_flavor":0},{"group_id":"W8-073-04","layers":[]}],"stock":[],"demand_sequences":[[4,6,8,2,3,0,6],[0,3,5,2,4,5,12]]}</ns0:v>
      </ns0:c>
      <ns0:c r="R469" s="150" t="n">
        <ns0:f>E469*H469</ns0:f>
        <ns0:v>0</ns0:v>
      </ns0:c>
    </ns0:row>
    <ns0:row r="470" ht="21" customHeight="1">
      <ns0:c r="A470" s="149" t="n">
        <ns0:v>73</ns0:v>
      </ns0:c>
      <ns0:c r="B470" s="145" t="str">
        <ns0:v>开局</ns0:v>
      </ns0:c>
      <ns0:c r="C470" s="145" t="str">
        <ns0:v>W8-073-02</ns0:v>
      </ns0:c>
      <ns0:c r="D470" s="145" t="str">
        <ns0:v>普通盒</ns0:v>
      </ns0:c>
      <ns0:c r="E470" s="152" t="n">
        <ns0:v>1</ns0:v>
      </ns0:c>
      <ns0:c r="F470" s="152" t="n">
        <ns0:v>4</ns0:v>
      </ns0:c>
      <ns0:c r="G470" s="152" t="n">
        <ns0:v>3</ns0:v>
      </ns0:c>
      <ns0:c r="H470" s="152" t="n">
        <ns0:v>0</ns0:v>
      </ns0:c>
      <ns0:c r="I470" s="149" t="n">
        <ns0:f>E470*G470</ns0:f>
        <ns0:v>3</ns0:v>
      </ns0:c>
      <ns0:c r="J470" s="149" t="n">
        <ns0:f>E470*(F470-G470)</ns0:f>
        <ns0:v>1</ns0:v>
      </ns0:c>
      <ns0:c r="K470" s="149" t="n">
        <ns0:f>IF(AND(B470="开局",G470=0,OR(D470="普通盒",D470="单颗暂存盒")),J470,0)</ns0:f>
        <ns0:v>0</ns0:v>
      </ns0:c>
      <ns0:c r="L470" s="149" t="n">
        <ns0:f>IF(AND(B470="开局",G470&gt;0,OR(D470="普通盒",D470="底部置顶盒",D470="炸弹盒")),J470,0)</ns0:f>
        <ns0:v>1</ns0:v>
      </ns0:c>
      <ns0:c r="M470" s="149" t="n">
        <ns0:f>IF(AND(B470="开局",OR(D470="固定颜色盒",D470="单向收纳盒")),J470,0)</ns0:f>
        <ns0:v>0</ns0:v>
      </ns0:c>
      <ns0:c r="N470" s="149" t="n">
        <ns0:f>IF(AND(B470="开局",OR(D470="数字盖盒",D470="普通冰冻盒",D470="数字冰冻盒",D470="数字冰冻单颗暂存盒")),J470,0)</ns0:f>
        <ns0:v>0</ns0:v>
      </ns0:c>
      <ns0:c r="O470" s="145" t="str">
        <ns0:f>IF(AND(E470&gt;0,E470=INT(E470),G470&gt;=0,G470&lt;=F470,G470=INT(G470),OR(AND(F470=1,OR(D470="单颗暂存盒",D470="数字冰冻单颗暂存盒")),AND(F470=4,NOT(OR(D470="单颗暂存盒",D470="数字冰冻单颗暂存盒")))),IF(OR(D470="数字盖盒",D470="数字冰冻盒",D470="数字冰冻单颗暂存盒"),AND(H470&gt;=1,H470=INT(H470)),H470=0),IF(B470="开局",AND(IF(OR(D470="数字盖盒",D470="普通冰冻盒",D470="数字冰冻盒",D470="炸弹盒",D470="底部置顶盒"),OR(G470=3,G470=4),TRUE),IF(OR(D470="单向收纳盒",D470="单颗暂存盒",D470="数字冰冻单颗暂存盒"),OR(G470=0,G470=1),TRUE),IF(OR(D470="固定颜色盒",D470="广告锁定周转盒"),G470=0,TRUE)),TRUE)),"通过","需调整")</ns0:f>
        <ns0:v>通过</ns0:v>
      </ns0:c>
      <ns0:c r="P470" s="145" t="str">
        <ns0:v>普通盒</ns0:v>
      </ns0:c>
      <ns0:c r="Q470" s="145" t="str">
        <ns0:v>固定层序见本关首行</ns0:v>
      </ns0:c>
      <ns0:c r="R470" s="149" t="n">
        <ns0:f>E470*H470</ns0:f>
        <ns0:v>0</ns0:v>
      </ns0:c>
    </ns0:row>
    <ns0:row r="471" ht="21" customHeight="1">
      <ns0:c r="A471" s="150" t="n">
        <ns0:v>73</ns0:v>
      </ns0:c>
      <ns0:c r="B471" s="147" t="str">
        <ns0:v>开局</ns0:v>
      </ns0:c>
      <ns0:c r="C471" s="147" t="str">
        <ns0:v>W8-073-03</ns0:v>
      </ns0:c>
      <ns0:c r="D471" s="147" t="str">
        <ns0:v>普通盒</ns0:v>
      </ns0:c>
      <ns0:c r="E471" s="152" t="n">
        <ns0:v>1</ns0:v>
      </ns0:c>
      <ns0:c r="F471" s="152" t="n">
        <ns0:v>4</ns0:v>
      </ns0:c>
      <ns0:c r="G471" s="152" t="n">
        <ns0:v>1</ns0:v>
      </ns0:c>
      <ns0:c r="H471" s="152" t="n">
        <ns0:v>0</ns0:v>
      </ns0:c>
      <ns0:c r="I471" s="150" t="n">
        <ns0:f>E471*G471</ns0:f>
        <ns0:v>1</ns0:v>
      </ns0:c>
      <ns0:c r="J471" s="150" t="n">
        <ns0:f>E471*(F471-G471)</ns0:f>
        <ns0:v>3</ns0:v>
      </ns0:c>
      <ns0:c r="K471" s="150" t="n">
        <ns0:f>IF(AND(B471="开局",G471=0,OR(D471="普通盒",D471="单颗暂存盒")),J471,0)</ns0:f>
        <ns0:v>0</ns0:v>
      </ns0:c>
      <ns0:c r="L471" s="150" t="n">
        <ns0:f>IF(AND(B471="开局",G471&gt;0,OR(D471="普通盒",D471="底部置顶盒",D471="炸弹盒")),J471,0)</ns0:f>
        <ns0:v>3</ns0:v>
      </ns0:c>
      <ns0:c r="M471" s="150" t="n">
        <ns0:f>IF(AND(B471="开局",OR(D471="固定颜色盒",D471="单向收纳盒")),J471,0)</ns0:f>
        <ns0:v>0</ns0:v>
      </ns0:c>
      <ns0:c r="N471" s="150" t="n">
        <ns0:f>IF(AND(B471="开局",OR(D471="数字盖盒",D471="普通冰冻盒",D471="数字冰冻盒",D471="数字冰冻单颗暂存盒")),J471,0)</ns0:f>
        <ns0:v>0</ns0:v>
      </ns0:c>
      <ns0:c r="O471" s="147" t="str">
        <ns0:f>IF(AND(E471&gt;0,E471=INT(E471),G471&gt;=0,G471&lt;=F471,G471=INT(G471),OR(AND(F471=1,OR(D471="单颗暂存盒",D471="数字冰冻单颗暂存盒")),AND(F471=4,NOT(OR(D471="单颗暂存盒",D471="数字冰冻单颗暂存盒")))),IF(OR(D471="数字盖盒",D471="数字冰冻盒",D471="数字冰冻单颗暂存盒"),AND(H471&gt;=1,H471=INT(H471)),H471=0),IF(B471="开局",AND(IF(OR(D471="数字盖盒",D471="普通冰冻盒",D471="数字冰冻盒",D471="炸弹盒",D471="底部置顶盒"),OR(G471=3,G471=4),TRUE),IF(OR(D471="单向收纳盒",D471="单颗暂存盒",D471="数字冰冻单颗暂存盒"),OR(G471=0,G471=1),TRUE),IF(OR(D471="固定颜色盒",D471="广告锁定周转盒"),G471=0,TRUE)),TRUE)),"通过","需调整")</ns0:f>
        <ns0:v>通过</ns0:v>
      </ns0:c>
      <ns0:c r="P471" s="147" t="str">
        <ns0:v>普通盒</ns0:v>
      </ns0:c>
      <ns0:c r="Q471" s="147" t="str">
        <ns0:v>固定层序见本关首行</ns0:v>
      </ns0:c>
      <ns0:c r="R471" s="150" t="n">
        <ns0:f>E471*H471</ns0:f>
        <ns0:v>0</ns0:v>
      </ns0:c>
    </ns0:row>
    <ns0:row r="472" ht="21" customHeight="1">
      <ns0:c r="A472" s="149" t="n">
        <ns0:v>73</ns0:v>
      </ns0:c>
      <ns0:c r="B472" s="145" t="str">
        <ns0:v>开局</ns0:v>
      </ns0:c>
      <ns0:c r="C472" s="145" t="str">
        <ns0:v>W8-073-04</ns0:v>
      </ns0:c>
      <ns0:c r="D472" s="145" t="str">
        <ns0:v>普通盒</ns0:v>
      </ns0:c>
      <ns0:c r="E472" s="152" t="n">
        <ns0:v>1</ns0:v>
      </ns0:c>
      <ns0:c r="F472" s="152" t="n">
        <ns0:v>4</ns0:v>
      </ns0:c>
      <ns0:c r="G472" s="152" t="n">
        <ns0:v>0</ns0:v>
      </ns0:c>
      <ns0:c r="H472" s="152" t="n">
        <ns0:v>0</ns0:v>
      </ns0:c>
      <ns0:c r="I472" s="149" t="n">
        <ns0:f>E472*G472</ns0:f>
        <ns0:v>0</ns0:v>
      </ns0:c>
      <ns0:c r="J472" s="149" t="n">
        <ns0:f>E472*(F472-G472)</ns0:f>
        <ns0:v>4</ns0:v>
      </ns0:c>
      <ns0:c r="K472" s="149" t="n">
        <ns0:f>IF(AND(B472="开局",G472=0,OR(D472="普通盒",D472="单颗暂存盒")),J472,0)</ns0:f>
        <ns0:v>4</ns0:v>
      </ns0:c>
      <ns0:c r="L472" s="149" t="n">
        <ns0:f>IF(AND(B472="开局",G472&gt;0,OR(D472="普通盒",D472="底部置顶盒",D472="炸弹盒")),J472,0)</ns0:f>
        <ns0:v>0</ns0:v>
      </ns0:c>
      <ns0:c r="M472" s="149" t="n">
        <ns0:f>IF(AND(B472="开局",OR(D472="固定颜色盒",D472="单向收纳盒")),J472,0)</ns0:f>
        <ns0:v>0</ns0:v>
      </ns0:c>
      <ns0:c r="N472" s="149" t="n">
        <ns0:f>IF(AND(B472="开局",OR(D472="数字盖盒",D472="普通冰冻盒",D472="数字冰冻盒",D472="数字冰冻单颗暂存盒")),J472,0)</ns0:f>
        <ns0:v>0</ns0:v>
      </ns0:c>
      <ns0:c r="O472" s="145" t="str">
        <ns0:f>IF(AND(E472&gt;0,E472=INT(E472),G472&gt;=0,G472&lt;=F472,G472=INT(G472),OR(AND(F472=1,OR(D472="单颗暂存盒",D472="数字冰冻单颗暂存盒")),AND(F472=4,NOT(OR(D472="单颗暂存盒",D472="数字冰冻单颗暂存盒")))),IF(OR(D472="数字盖盒",D472="数字冰冻盒",D472="数字冰冻单颗暂存盒"),AND(H472&gt;=1,H472=INT(H472)),H472=0),IF(B472="开局",AND(IF(OR(D472="数字盖盒",D472="普通冰冻盒",D472="数字冰冻盒",D472="炸弹盒",D472="底部置顶盒"),OR(G472=3,G472=4),TRUE),IF(OR(D472="单向收纳盒",D472="单颗暂存盒",D472="数字冰冻单颗暂存盒"),OR(G472=0,G472=1),TRUE),IF(OR(D472="固定颜色盒",D472="广告锁定周转盒"),G472=0,TRUE)),TRUE)),"通过","需调整")</ns0:f>
        <ns0:v>通过</ns0:v>
      </ns0:c>
      <ns0:c r="P472" s="145" t="str">
        <ns0:v>普通盒</ns0:v>
      </ns0:c>
      <ns0:c r="Q472" s="145" t="str">
        <ns0:v>固定层序见本关首行</ns0:v>
      </ns0:c>
      <ns0:c r="R472" s="149" t="n">
        <ns0:f>E472*H472</ns0:f>
        <ns0:v>0</ns0:v>
      </ns0:c>
    </ns0:row>
    <ns0:row r="473" ht="21" customHeight="1">
      <ns0:c r="A473" s="150" t="n">
        <ns0:v>73</ns0:v>
      </ns0:c>
      <ns0:c r="B473" s="147" t="str">
        <ns0:v>开局</ns0:v>
      </ns0:c>
      <ns0:c r="C473" s="147" t="str">
        <ns0:v>W8-073-05</ns0:v>
      </ns0:c>
      <ns0:c r="D473" s="147" t="str">
        <ns0:v>数字冰冻盒</ns0:v>
      </ns0:c>
      <ns0:c r="E473" s="152" t="n">
        <ns0:v>2</ns0:v>
      </ns0:c>
      <ns0:c r="F473" s="152" t="n">
        <ns0:v>4</ns0:v>
      </ns0:c>
      <ns0:c r="G473" s="152" t="n">
        <ns0:v>4</ns0:v>
      </ns0:c>
      <ns0:c r="H473" s="152" t="n">
        <ns0:v>1</ns0:v>
      </ns0:c>
      <ns0:c r="I473" s="150" t="n">
        <ns0:f>E473*G473</ns0:f>
        <ns0:v>8</ns0:v>
      </ns0:c>
      <ns0:c r="J473" s="150" t="n">
        <ns0:f>E473*(F473-G473)</ns0:f>
        <ns0:v>0</ns0:v>
      </ns0:c>
      <ns0:c r="K473" s="150" t="n">
        <ns0:f>IF(AND(B473="开局",G473=0,OR(D473="普通盒",D473="单颗暂存盒")),J473,0)</ns0:f>
        <ns0:v>0</ns0:v>
      </ns0:c>
      <ns0:c r="L473" s="150" t="n">
        <ns0:f>IF(AND(B473="开局",G473&gt;0,OR(D473="普通盒",D473="底部置顶盒",D473="炸弹盒")),J473,0)</ns0:f>
        <ns0:v>0</ns0:v>
      </ns0:c>
      <ns0:c r="M473" s="150" t="n">
        <ns0:f>IF(AND(B473="开局",OR(D473="固定颜色盒",D473="单向收纳盒")),J473,0)</ns0:f>
        <ns0:v>0</ns0:v>
      </ns0:c>
      <ns0:c r="N473" s="150" t="n">
        <ns0:f>IF(AND(B473="开局",OR(D473="数字盖盒",D473="普通冰冻盒",D473="数字冰冻盒",D473="数字冰冻单颗暂存盒")),J473,0)</ns0:f>
        <ns0:v>0</ns0:v>
      </ns0:c>
      <ns0:c r="O473" s="147" t="str">
        <ns0:f>IF(AND(E473&gt;0,E473=INT(E473),G473&gt;=0,G473&lt;=F473,G473=INT(G473),OR(AND(F473=1,OR(D473="单颗暂存盒",D473="数字冰冻单颗暂存盒")),AND(F473=4,NOT(OR(D473="单颗暂存盒",D473="数字冰冻单颗暂存盒")))),IF(OR(D473="数字盖盒",D473="数字冰冻盒",D473="数字冰冻单颗暂存盒"),AND(H473&gt;=1,H473=INT(H473)),H473=0),IF(B473="开局",AND(IF(OR(D473="数字盖盒",D473="普通冰冻盒",D473="数字冰冻盒",D473="炸弹盒",D473="底部置顶盒"),OR(G473=3,G473=4),TRUE),IF(OR(D473="单向收纳盒",D473="单颗暂存盒",D473="数字冰冻单颗暂存盒"),OR(G473=0,G473=1),TRUE),IF(OR(D473="固定颜色盒",D473="广告锁定周转盒"),G473=0,TRUE)),TRUE)),"通过","需调整")</ns0:f>
        <ns0:v>通过</ns0:v>
      </ns0:c>
      <ns0:c r="P473" s="147" t="str">
        <ns0:v>数字冰冻盒</ns0:v>
      </ns0:c>
      <ns0:c r="Q473" s="147" t="str">
        <ns0:v>固定层序见本关首行</ns0:v>
      </ns0:c>
      <ns0:c r="R473" s="150" t="n">
        <ns0:f>E473*H473</ns0:f>
        <ns0:v>2</ns0:v>
      </ns0:c>
    </ns0:row>
    <ns0:row r="474" ht="21" customHeight="1">
      <ns0:c r="A474" s="149" t="n">
        <ns0:v>73</ns0:v>
      </ns0:c>
      <ns0:c r="B474" s="145" t="str">
        <ns0:v>开局</ns0:v>
      </ns0:c>
      <ns0:c r="C474" s="145" t="str">
        <ns0:v>W8-073-06</ns0:v>
      </ns0:c>
      <ns0:c r="D474" s="145" t="str">
        <ns0:v>固定颜色盒</ns0:v>
      </ns0:c>
      <ns0:c r="E474" s="152" t="n">
        <ns0:v>1</ns0:v>
      </ns0:c>
      <ns0:c r="F474" s="152" t="n">
        <ns0:v>4</ns0:v>
      </ns0:c>
      <ns0:c r="G474" s="152" t="n">
        <ns0:v>0</ns0:v>
      </ns0:c>
      <ns0:c r="H474" s="152" t="n">
        <ns0:v>0</ns0:v>
      </ns0:c>
      <ns0:c r="I474" s="149" t="n">
        <ns0:f>E474*G474</ns0:f>
        <ns0:v>0</ns0:v>
      </ns0:c>
      <ns0:c r="J474" s="149" t="n">
        <ns0:f>E474*(F474-G474)</ns0:f>
        <ns0:v>4</ns0:v>
      </ns0:c>
      <ns0:c r="K474" s="149" t="n">
        <ns0:f>IF(AND(B474="开局",G474=0,OR(D474="普通盒",D474="单颗暂存盒")),J474,0)</ns0:f>
        <ns0:v>0</ns0:v>
      </ns0:c>
      <ns0:c r="L474" s="149" t="n">
        <ns0:f>IF(AND(B474="开局",G474&gt;0,OR(D474="普通盒",D474="底部置顶盒",D474="炸弹盒")),J474,0)</ns0:f>
        <ns0:v>0</ns0:v>
      </ns0:c>
      <ns0:c r="M474" s="149" t="n">
        <ns0:f>IF(AND(B474="开局",OR(D474="固定颜色盒",D474="单向收纳盒")),J474,0)</ns0:f>
        <ns0:v>4</ns0:v>
      </ns0:c>
      <ns0:c r="N474" s="149" t="n">
        <ns0:f>IF(AND(B474="开局",OR(D474="数字盖盒",D474="普通冰冻盒",D474="数字冰冻盒",D474="数字冰冻单颗暂存盒")),J474,0)</ns0:f>
        <ns0:v>0</ns0:v>
      </ns0:c>
      <ns0:c r="O474" s="145" t="str">
        <ns0:f>IF(AND(E474&gt;0,E474=INT(E474),G474&gt;=0,G474&lt;=F474,G474=INT(G474),OR(AND(F474=1,OR(D474="单颗暂存盒",D474="数字冰冻单颗暂存盒")),AND(F474=4,NOT(OR(D474="单颗暂存盒",D474="数字冰冻单颗暂存盒")))),IF(OR(D474="数字盖盒",D474="数字冰冻盒",D474="数字冰冻单颗暂存盒"),AND(H474&gt;=1,H474=INT(H474)),H474=0),IF(B474="开局",AND(IF(OR(D474="数字盖盒",D474="普通冰冻盒",D474="数字冰冻盒",D474="炸弹盒",D474="底部置顶盒"),OR(G474=3,G474=4),TRUE),IF(OR(D474="单向收纳盒",D474="单颗暂存盒",D474="数字冰冻单颗暂存盒"),OR(G474=0,G474=1),TRUE),IF(OR(D474="固定颜色盒",D474="广告锁定周转盒"),G474=0,TRUE)),TRUE)),"通过","需调整")</ns0:f>
        <ns0:v>通过</ns0:v>
      </ns0:c>
      <ns0:c r="P474" s="145" t="str">
        <ns0:v>固定颜色盒</ns0:v>
      </ns0:c>
      <ns0:c r="Q474" s="145" t="str">
        <ns0:v>固定层序见本关首行</ns0:v>
      </ns0:c>
      <ns0:c r="R474" s="149" t="n">
        <ns0:f>E474*H474</ns0:f>
        <ns0:v>0</ns0:v>
      </ns0:c>
    </ns0:row>
    <ns0:row r="475" ht="21" customHeight="1">
      <ns0:c r="A475" s="150" t="n">
        <ns0:v>73</ns0:v>
      </ns0:c>
      <ns0:c r="B475" s="147" t="str">
        <ns0:v>开局</ns0:v>
      </ns0:c>
      <ns0:c r="C475" s="147" t="str">
        <ns0:v>W8-073-07</ns0:v>
      </ns0:c>
      <ns0:c r="D475" s="147" t="str">
        <ns0:v>广告锁定周转盒</ns0:v>
      </ns0:c>
      <ns0:c r="E475" s="152" t="n">
        <ns0:v>2</ns0:v>
      </ns0:c>
      <ns0:c r="F475" s="152" t="n">
        <ns0:v>4</ns0:v>
      </ns0:c>
      <ns0:c r="G475" s="152" t="n">
        <ns0:v>0</ns0:v>
      </ns0:c>
      <ns0:c r="H475" s="152" t="n">
        <ns0:v>0</ns0:v>
      </ns0:c>
      <ns0:c r="I475" s="150" t="n">
        <ns0:f>E475*G475</ns0:f>
        <ns0:v>0</ns0:v>
      </ns0:c>
      <ns0:c r="J475" s="150" t="n">
        <ns0:f>E475*(F475-G475)</ns0:f>
        <ns0:v>8</ns0:v>
      </ns0:c>
      <ns0:c r="K475" s="150" t="n">
        <ns0:f>IF(AND(B475="开局",G475=0,OR(D475="普通盒",D475="单颗暂存盒")),J475,0)</ns0:f>
        <ns0:v>0</ns0:v>
      </ns0:c>
      <ns0:c r="L475" s="150" t="n">
        <ns0:f>IF(AND(B475="开局",G475&gt;0,OR(D475="普通盒",D475="底部置顶盒",D475="炸弹盒")),J475,0)</ns0:f>
        <ns0:v>0</ns0:v>
      </ns0:c>
      <ns0:c r="M475" s="150" t="n">
        <ns0:f>IF(AND(B475="开局",OR(D475="固定颜色盒",D475="单向收纳盒")),J475,0)</ns0:f>
        <ns0:v>0</ns0:v>
      </ns0:c>
      <ns0:c r="N475" s="150" t="n">
        <ns0:f>IF(AND(B475="开局",OR(D475="数字盖盒",D475="普通冰冻盒",D475="数字冰冻盒",D475="数字冰冻单颗暂存盒")),J475,0)</ns0:f>
        <ns0:v>0</ns0:v>
      </ns0:c>
      <ns0:c r="O475" s="147" t="str">
        <ns0:f>IF(AND(E475&gt;0,E475=INT(E475),G475&gt;=0,G475&lt;=F475,G475=INT(G475),OR(AND(F475=1,OR(D475="单颗暂存盒",D475="数字冰冻单颗暂存盒")),AND(F475=4,NOT(OR(D475="单颗暂存盒",D475="数字冰冻单颗暂存盒")))),IF(OR(D475="数字盖盒",D475="数字冰冻盒",D475="数字冰冻单颗暂存盒"),AND(H475&gt;=1,H475=INT(H475)),H475=0),IF(B475="开局",AND(IF(OR(D475="数字盖盒",D475="普通冰冻盒",D475="数字冰冻盒",D475="炸弹盒",D475="底部置顶盒"),OR(G475=3,G475=4),TRUE),IF(OR(D475="单向收纳盒",D475="单颗暂存盒",D475="数字冰冻单颗暂存盒"),OR(G475=0,G475=1),TRUE),IF(OR(D475="固定颜色盒",D475="广告锁定周转盒"),G475=0,TRUE)),TRUE)),"通过","需调整")</ns0:f>
        <ns0:v>通过</ns0:v>
      </ns0:c>
      <ns0:c r="P475" s="147" t="str">
        <ns0:v>双广告锁位</ns0:v>
      </ns0:c>
      <ns0:c r="Q475" s="147" t="str">
        <ns0:v>固定层序见本关首行</ns0:v>
      </ns0:c>
      <ns0:c r="R475" s="150" t="n">
        <ns0:f>E475*H475</ns0:f>
        <ns0:v>0</ns0:v>
      </ns0:c>
    </ns0:row>
    <ns0:row r="476" ht="21" customHeight="1">
      <ns0:c r="A476" s="149" t="n">
        <ns0:v>74</ns0:v>
      </ns0:c>
      <ns0:c r="B476" s="145" t="str">
        <ns0:v>开局</ns0:v>
      </ns0:c>
      <ns0:c r="C476" s="145" t="str">
        <ns0:v>W8-074-01</ns0:v>
      </ns0:c>
      <ns0:c r="D476" s="145" t="str">
        <ns0:v>普通盒</ns0:v>
      </ns0:c>
      <ns0:c r="E476" s="152" t="n">
        <ns0:v>12</ns0:v>
      </ns0:c>
      <ns0:c r="F476" s="152" t="n">
        <ns0:v>4</ns0:v>
      </ns0:c>
      <ns0:c r="G476" s="152" t="n">
        <ns0:v>4</ns0:v>
      </ns0:c>
      <ns0:c r="H476" s="152" t="n">
        <ns0:v>0</ns0:v>
      </ns0:c>
      <ns0:c r="I476" s="149" t="n">
        <ns0:f>E476*G476</ns0:f>
        <ns0:v>48</ns0:v>
      </ns0:c>
      <ns0:c r="J476" s="149" t="n">
        <ns0:f>E476*(F476-G476)</ns0:f>
        <ns0:v>0</ns0:v>
      </ns0:c>
      <ns0:c r="K476" s="149" t="n">
        <ns0:f>IF(AND(B476="开局",G476=0,OR(D476="普通盒",D476="单颗暂存盒")),J476,0)</ns0:f>
        <ns0:v>0</ns0:v>
      </ns0:c>
      <ns0:c r="L476" s="149" t="n">
        <ns0:f>IF(AND(B476="开局",G476&gt;0,OR(D476="普通盒",D476="底部置顶盒",D476="炸弹盒")),J476,0)</ns0:f>
        <ns0:v>0</ns0:v>
      </ns0:c>
      <ns0:c r="M476" s="149" t="n">
        <ns0:f>IF(AND(B476="开局",OR(D476="固定颜色盒",D476="单向收纳盒")),J476,0)</ns0:f>
        <ns0:v>0</ns0:v>
      </ns0:c>
      <ns0:c r="N476" s="149" t="n">
        <ns0:f>IF(AND(B476="开局",OR(D476="数字盖盒",D476="普通冰冻盒",D476="数字冰冻盒",D476="数字冰冻单颗暂存盒")),J476,0)</ns0:f>
        <ns0:v>0</ns0:v>
      </ns0:c>
      <ns0:c r="O476" s="145" t="str">
        <ns0:f>IF(AND(E476&gt;0,E476=INT(E476),G476&gt;=0,G476&lt;=F476,G476=INT(G476),OR(AND(F476=1,OR(D476="单颗暂存盒",D476="数字冰冻单颗暂存盒")),AND(F476=4,NOT(OR(D476="单颗暂存盒",D476="数字冰冻单颗暂存盒")))),IF(OR(D476="数字盖盒",D476="数字冰冻盒",D476="数字冰冻单颗暂存盒"),AND(H476&gt;=1,H476=INT(H476)),H476=0),IF(B476="开局",AND(IF(OR(D476="数字盖盒",D476="普通冰冻盒",D476="数字冰冻盒",D476="炸弹盒",D476="底部置顶盒"),OR(G476=3,G476=4),TRUE),IF(OR(D476="单向收纳盒",D476="单颗暂存盒",D476="数字冰冻单颗暂存盒"),OR(G476=0,G476=1),TRUE),IF(OR(D476="固定颜色盒",D476="广告锁定周转盒"),G476=0,TRUE)),TRUE)),"通过","需调整")</ns0:f>
        <ns0:v>通过</ns0:v>
      </ns0:c>
      <ns0:c r="P476" s="145" t="str">
        <ns0:v>普通盒</ns0:v>
      </ns0:c>
      <ns0:c r="Q476" s="145" t="str">
        <ns0:v>层序JSON:{"reference":"2026-10-12 第71至80关续接设计；自主层序、双循环分工与组合机关波动","slots":[{"group_id":"W8-074-01","layers":[8,0,4,3]},{"group_id":"W8-074-01","layers":[3,8,8,2]},{"group_id":"W8-074-01","layers":[2,0,6,5]},{"group_id":"W8-074-01","layers":[5,2,6,2]},{"group_id":"W8-074-01","layers":[5,0,0,4]},{"group_id":"W8-074-01","layers":[2,3,2,3]},{"group_id":"W8-074-01","layers":[6,2,8,3]},{"group_id":"W8-074-03","layers":[2]},{"group_id":"W8-074-01","layers":[8,0,0,4]},{"group_id":"W8-074-05","layers":[0,6,4,5]},{"group_id":"W8-074-01","layers":[3,6,6,3]},{"group_id":"W8-074-01","layers":[0,8,3,0]},{"group_id":"W8-074-02","layers":[5,4,0]},{"group_id":"W8-074-01","layers":[5,8,5,0]},{"group_id":"W8-074-01","layers":[6,5,0,8]},{"group_id":"W8-074-06","layers":[],"fixed_flavor":3},{"group_id":"W8-074-04","layers":[]}],"stock":[{"group_id":"W8-074-08","layers":[4,4,4,6]}],"demand_sequences":[[8,3,0,4,4,0,8,3],[2,0,5,6,5,6,2]]}</ns0:v>
      </ns0:c>
      <ns0:c r="R476" s="149" t="n">
        <ns0:f>E476*H476</ns0:f>
        <ns0:v>0</ns0:v>
      </ns0:c>
    </ns0:row>
    <ns0:row r="477" ht="21" customHeight="1">
      <ns0:c r="A477" s="150" t="n">
        <ns0:v>74</ns0:v>
      </ns0:c>
      <ns0:c r="B477" s="147" t="str">
        <ns0:v>开局</ns0:v>
      </ns0:c>
      <ns0:c r="C477" s="147" t="str">
        <ns0:v>W8-074-02</ns0:v>
      </ns0:c>
      <ns0:c r="D477" s="147" t="str">
        <ns0:v>普通盒</ns0:v>
      </ns0:c>
      <ns0:c r="E477" s="152" t="n">
        <ns0:v>1</ns0:v>
      </ns0:c>
      <ns0:c r="F477" s="152" t="n">
        <ns0:v>4</ns0:v>
      </ns0:c>
      <ns0:c r="G477" s="152" t="n">
        <ns0:v>3</ns0:v>
      </ns0:c>
      <ns0:c r="H477" s="152" t="n">
        <ns0:v>0</ns0:v>
      </ns0:c>
      <ns0:c r="I477" s="150" t="n">
        <ns0:f>E477*G477</ns0:f>
        <ns0:v>3</ns0:v>
      </ns0:c>
      <ns0:c r="J477" s="150" t="n">
        <ns0:f>E477*(F477-G477)</ns0:f>
        <ns0:v>1</ns0:v>
      </ns0:c>
      <ns0:c r="K477" s="150" t="n">
        <ns0:f>IF(AND(B477="开局",G477=0,OR(D477="普通盒",D477="单颗暂存盒")),J477,0)</ns0:f>
        <ns0:v>0</ns0:v>
      </ns0:c>
      <ns0:c r="L477" s="150" t="n">
        <ns0:f>IF(AND(B477="开局",G477&gt;0,OR(D477="普通盒",D477="底部置顶盒",D477="炸弹盒")),J477,0)</ns0:f>
        <ns0:v>1</ns0:v>
      </ns0:c>
      <ns0:c r="M477" s="150" t="n">
        <ns0:f>IF(AND(B477="开局",OR(D477="固定颜色盒",D477="单向收纳盒")),J477,0)</ns0:f>
        <ns0:v>0</ns0:v>
      </ns0:c>
      <ns0:c r="N477" s="150" t="n">
        <ns0:f>IF(AND(B477="开局",OR(D477="数字盖盒",D477="普通冰冻盒",D477="数字冰冻盒",D477="数字冰冻单颗暂存盒")),J477,0)</ns0:f>
        <ns0:v>0</ns0:v>
      </ns0:c>
      <ns0:c r="O477" s="147" t="str">
        <ns0:f>IF(AND(E477&gt;0,E477=INT(E477),G477&gt;=0,G477&lt;=F477,G477=INT(G477),OR(AND(F477=1,OR(D477="单颗暂存盒",D477="数字冰冻单颗暂存盒")),AND(F477=4,NOT(OR(D477="单颗暂存盒",D477="数字冰冻单颗暂存盒")))),IF(OR(D477="数字盖盒",D477="数字冰冻盒",D477="数字冰冻单颗暂存盒"),AND(H477&gt;=1,H477=INT(H477)),H477=0),IF(B477="开局",AND(IF(OR(D477="数字盖盒",D477="普通冰冻盒",D477="数字冰冻盒",D477="炸弹盒",D477="底部置顶盒"),OR(G477=3,G477=4),TRUE),IF(OR(D477="单向收纳盒",D477="单颗暂存盒",D477="数字冰冻单颗暂存盒"),OR(G477=0,G477=1),TRUE),IF(OR(D477="固定颜色盒",D477="广告锁定周转盒"),G477=0,TRUE)),TRUE)),"通过","需调整")</ns0:f>
        <ns0:v>通过</ns0:v>
      </ns0:c>
      <ns0:c r="P477" s="147" t="str">
        <ns0:v>普通盒</ns0:v>
      </ns0:c>
      <ns0:c r="Q477" s="147" t="str">
        <ns0:v>固定层序见本关首行</ns0:v>
      </ns0:c>
      <ns0:c r="R477" s="150" t="n">
        <ns0:f>E477*H477</ns0:f>
        <ns0:v>0</ns0:v>
      </ns0:c>
    </ns0:row>
    <ns0:row r="478" ht="21" customHeight="1">
      <ns0:c r="A478" s="149" t="n">
        <ns0:v>74</ns0:v>
      </ns0:c>
      <ns0:c r="B478" s="145" t="str">
        <ns0:v>开局</ns0:v>
      </ns0:c>
      <ns0:c r="C478" s="145" t="str">
        <ns0:v>W8-074-03</ns0:v>
      </ns0:c>
      <ns0:c r="D478" s="145" t="str">
        <ns0:v>普通盒</ns0:v>
      </ns0:c>
      <ns0:c r="E478" s="152" t="n">
        <ns0:v>1</ns0:v>
      </ns0:c>
      <ns0:c r="F478" s="152" t="n">
        <ns0:v>4</ns0:v>
      </ns0:c>
      <ns0:c r="G478" s="152" t="n">
        <ns0:v>1</ns0:v>
      </ns0:c>
      <ns0:c r="H478" s="152" t="n">
        <ns0:v>0</ns0:v>
      </ns0:c>
      <ns0:c r="I478" s="149" t="n">
        <ns0:f>E478*G478</ns0:f>
        <ns0:v>1</ns0:v>
      </ns0:c>
      <ns0:c r="J478" s="149" t="n">
        <ns0:f>E478*(F478-G478)</ns0:f>
        <ns0:v>3</ns0:v>
      </ns0:c>
      <ns0:c r="K478" s="149" t="n">
        <ns0:f>IF(AND(B478="开局",G478=0,OR(D478="普通盒",D478="单颗暂存盒")),J478,0)</ns0:f>
        <ns0:v>0</ns0:v>
      </ns0:c>
      <ns0:c r="L478" s="149" t="n">
        <ns0:f>IF(AND(B478="开局",G478&gt;0,OR(D478="普通盒",D478="底部置顶盒",D478="炸弹盒")),J478,0)</ns0:f>
        <ns0:v>3</ns0:v>
      </ns0:c>
      <ns0:c r="M478" s="149" t="n">
        <ns0:f>IF(AND(B478="开局",OR(D478="固定颜色盒",D478="单向收纳盒")),J478,0)</ns0:f>
        <ns0:v>0</ns0:v>
      </ns0:c>
      <ns0:c r="N478" s="149" t="n">
        <ns0:f>IF(AND(B478="开局",OR(D478="数字盖盒",D478="普通冰冻盒",D478="数字冰冻盒",D478="数字冰冻单颗暂存盒")),J478,0)</ns0:f>
        <ns0:v>0</ns0:v>
      </ns0:c>
      <ns0:c r="O478" s="145" t="str">
        <ns0:f>IF(AND(E478&gt;0,E478=INT(E478),G478&gt;=0,G478&lt;=F478,G478=INT(G478),OR(AND(F478=1,OR(D478="单颗暂存盒",D478="数字冰冻单颗暂存盒")),AND(F478=4,NOT(OR(D478="单颗暂存盒",D478="数字冰冻单颗暂存盒")))),IF(OR(D478="数字盖盒",D478="数字冰冻盒",D478="数字冰冻单颗暂存盒"),AND(H478&gt;=1,H478=INT(H478)),H478=0),IF(B478="开局",AND(IF(OR(D478="数字盖盒",D478="普通冰冻盒",D478="数字冰冻盒",D478="炸弹盒",D478="底部置顶盒"),OR(G478=3,G478=4),TRUE),IF(OR(D478="单向收纳盒",D478="单颗暂存盒",D478="数字冰冻单颗暂存盒"),OR(G478=0,G478=1),TRUE),IF(OR(D478="固定颜色盒",D478="广告锁定周转盒"),G478=0,TRUE)),TRUE)),"通过","需调整")</ns0:f>
        <ns0:v>通过</ns0:v>
      </ns0:c>
      <ns0:c r="P478" s="145" t="str">
        <ns0:v>普通盒</ns0:v>
      </ns0:c>
      <ns0:c r="Q478" s="145" t="str">
        <ns0:v>固定层序见本关首行</ns0:v>
      </ns0:c>
      <ns0:c r="R478" s="149" t="n">
        <ns0:f>E478*H478</ns0:f>
        <ns0:v>0</ns0:v>
      </ns0:c>
    </ns0:row>
    <ns0:row r="479" ht="21" customHeight="1">
      <ns0:c r="A479" s="150" t="n">
        <ns0:v>74</ns0:v>
      </ns0:c>
      <ns0:c r="B479" s="147" t="str">
        <ns0:v>开局</ns0:v>
      </ns0:c>
      <ns0:c r="C479" s="147" t="str">
        <ns0:v>W8-074-04</ns0:v>
      </ns0:c>
      <ns0:c r="D479" s="147" t="str">
        <ns0:v>普通盒</ns0:v>
      </ns0:c>
      <ns0:c r="E479" s="152" t="n">
        <ns0:v>1</ns0:v>
      </ns0:c>
      <ns0:c r="F479" s="152" t="n">
        <ns0:v>4</ns0:v>
      </ns0:c>
      <ns0:c r="G479" s="152" t="n">
        <ns0:v>0</ns0:v>
      </ns0:c>
      <ns0:c r="H479" s="152" t="n">
        <ns0:v>0</ns0:v>
      </ns0:c>
      <ns0:c r="I479" s="150" t="n">
        <ns0:f>E479*G479</ns0:f>
        <ns0:v>0</ns0:v>
      </ns0:c>
      <ns0:c r="J479" s="150" t="n">
        <ns0:f>E479*(F479-G479)</ns0:f>
        <ns0:v>4</ns0:v>
      </ns0:c>
      <ns0:c r="K479" s="150" t="n">
        <ns0:f>IF(AND(B479="开局",G479=0,OR(D479="普通盒",D479="单颗暂存盒")),J479,0)</ns0:f>
        <ns0:v>4</ns0:v>
      </ns0:c>
      <ns0:c r="L479" s="150" t="n">
        <ns0:f>IF(AND(B479="开局",G479&gt;0,OR(D479="普通盒",D479="底部置顶盒",D479="炸弹盒")),J479,0)</ns0:f>
        <ns0:v>0</ns0:v>
      </ns0:c>
      <ns0:c r="M479" s="150" t="n">
        <ns0:f>IF(AND(B479="开局",OR(D479="固定颜色盒",D479="单向收纳盒")),J479,0)</ns0:f>
        <ns0:v>0</ns0:v>
      </ns0:c>
      <ns0:c r="N479" s="150" t="n">
        <ns0:f>IF(AND(B479="开局",OR(D479="数字盖盒",D479="普通冰冻盒",D479="数字冰冻盒",D479="数字冰冻单颗暂存盒")),J479,0)</ns0:f>
        <ns0:v>0</ns0:v>
      </ns0:c>
      <ns0:c r="O479" s="147" t="str">
        <ns0:f>IF(AND(E479&gt;0,E479=INT(E479),G479&gt;=0,G479&lt;=F479,G479=INT(G479),OR(AND(F479=1,OR(D479="单颗暂存盒",D479="数字冰冻单颗暂存盒")),AND(F479=4,NOT(OR(D479="单颗暂存盒",D479="数字冰冻单颗暂存盒")))),IF(OR(D479="数字盖盒",D479="数字冰冻盒",D479="数字冰冻单颗暂存盒"),AND(H479&gt;=1,H479=INT(H479)),H479=0),IF(B479="开局",AND(IF(OR(D479="数字盖盒",D479="普通冰冻盒",D479="数字冰冻盒",D479="炸弹盒",D479="底部置顶盒"),OR(G479=3,G479=4),TRUE),IF(OR(D479="单向收纳盒",D479="单颗暂存盒",D479="数字冰冻单颗暂存盒"),OR(G479=0,G479=1),TRUE),IF(OR(D479="固定颜色盒",D479="广告锁定周转盒"),G479=0,TRUE)),TRUE)),"通过","需调整")</ns0:f>
        <ns0:v>通过</ns0:v>
      </ns0:c>
      <ns0:c r="P479" s="147" t="str">
        <ns0:v>普通盒</ns0:v>
      </ns0:c>
      <ns0:c r="Q479" s="147" t="str">
        <ns0:v>固定层序见本关首行</ns0:v>
      </ns0:c>
      <ns0:c r="R479" s="150" t="n">
        <ns0:f>E479*H479</ns0:f>
        <ns0:v>0</ns0:v>
      </ns0:c>
    </ns0:row>
    <ns0:row r="480" ht="21" customHeight="1">
      <ns0:c r="A480" s="149" t="n">
        <ns0:v>74</ns0:v>
      </ns0:c>
      <ns0:c r="B480" s="145" t="str">
        <ns0:v>开局</ns0:v>
      </ns0:c>
      <ns0:c r="C480" s="145" t="str">
        <ns0:v>W8-074-05</ns0:v>
      </ns0:c>
      <ns0:c r="D480" s="145" t="str">
        <ns0:v>底部置顶盒</ns0:v>
      </ns0:c>
      <ns0:c r="E480" s="152" t="n">
        <ns0:v>1</ns0:v>
      </ns0:c>
      <ns0:c r="F480" s="152" t="n">
        <ns0:v>4</ns0:v>
      </ns0:c>
      <ns0:c r="G480" s="152" t="n">
        <ns0:v>4</ns0:v>
      </ns0:c>
      <ns0:c r="H480" s="152" t="n">
        <ns0:v>0</ns0:v>
      </ns0:c>
      <ns0:c r="I480" s="149" t="n">
        <ns0:f>E480*G480</ns0:f>
        <ns0:v>4</ns0:v>
      </ns0:c>
      <ns0:c r="J480" s="149" t="n">
        <ns0:f>E480*(F480-G480)</ns0:f>
        <ns0:v>0</ns0:v>
      </ns0:c>
      <ns0:c r="K480" s="149" t="n">
        <ns0:f>IF(AND(B480="开局",G480=0,OR(D480="普通盒",D480="单颗暂存盒")),J480,0)</ns0:f>
        <ns0:v>0</ns0:v>
      </ns0:c>
      <ns0:c r="L480" s="149" t="n">
        <ns0:f>IF(AND(B480="开局",G480&gt;0,OR(D480="普通盒",D480="底部置顶盒",D480="炸弹盒")),J480,0)</ns0:f>
        <ns0:v>0</ns0:v>
      </ns0:c>
      <ns0:c r="M480" s="149" t="n">
        <ns0:f>IF(AND(B480="开局",OR(D480="固定颜色盒",D480="单向收纳盒")),J480,0)</ns0:f>
        <ns0:v>0</ns0:v>
      </ns0:c>
      <ns0:c r="N480" s="149" t="n">
        <ns0:f>IF(AND(B480="开局",OR(D480="数字盖盒",D480="普通冰冻盒",D480="数字冰冻盒",D480="数字冰冻单颗暂存盒")),J480,0)</ns0:f>
        <ns0:v>0</ns0:v>
      </ns0:c>
      <ns0:c r="O480" s="145" t="str">
        <ns0:f>IF(AND(E480&gt;0,E480=INT(E480),G480&gt;=0,G480&lt;=F480,G480=INT(G480),OR(AND(F480=1,OR(D480="单颗暂存盒",D480="数字冰冻单颗暂存盒")),AND(F480=4,NOT(OR(D480="单颗暂存盒",D480="数字冰冻单颗暂存盒")))),IF(OR(D480="数字盖盒",D480="数字冰冻盒",D480="数字冰冻单颗暂存盒"),AND(H480&gt;=1,H480=INT(H480)),H480=0),IF(B480="开局",AND(IF(OR(D480="数字盖盒",D480="普通冰冻盒",D480="数字冰冻盒",D480="炸弹盒",D480="底部置顶盒"),OR(G480=3,G480=4),TRUE),IF(OR(D480="单向收纳盒",D480="单颗暂存盒",D480="数字冰冻单颗暂存盒"),OR(G480=0,G480=1),TRUE),IF(OR(D480="固定颜色盒",D480="广告锁定周转盒"),G480=0,TRUE)),TRUE)),"通过","需调整")</ns0:f>
        <ns0:v>通过</ns0:v>
      </ns0:c>
      <ns0:c r="P480" s="145" t="str">
        <ns0:v>底部置顶盒</ns0:v>
      </ns0:c>
      <ns0:c r="Q480" s="145" t="str">
        <ns0:v>固定层序见本关首行</ns0:v>
      </ns0:c>
      <ns0:c r="R480" s="149" t="n">
        <ns0:f>E480*H480</ns0:f>
        <ns0:v>0</ns0:v>
      </ns0:c>
    </ns0:row>
    <ns0:row r="481" ht="21" customHeight="1">
      <ns0:c r="A481" s="150" t="n">
        <ns0:v>74</ns0:v>
      </ns0:c>
      <ns0:c r="B481" s="147" t="str">
        <ns0:v>开局</ns0:v>
      </ns0:c>
      <ns0:c r="C481" s="147" t="str">
        <ns0:v>W8-074-06</ns0:v>
      </ns0:c>
      <ns0:c r="D481" s="147" t="str">
        <ns0:v>固定颜色盒</ns0:v>
      </ns0:c>
      <ns0:c r="E481" s="152" t="n">
        <ns0:v>1</ns0:v>
      </ns0:c>
      <ns0:c r="F481" s="152" t="n">
        <ns0:v>4</ns0:v>
      </ns0:c>
      <ns0:c r="G481" s="152" t="n">
        <ns0:v>0</ns0:v>
      </ns0:c>
      <ns0:c r="H481" s="152" t="n">
        <ns0:v>0</ns0:v>
      </ns0:c>
      <ns0:c r="I481" s="150" t="n">
        <ns0:f>E481*G481</ns0:f>
        <ns0:v>0</ns0:v>
      </ns0:c>
      <ns0:c r="J481" s="150" t="n">
        <ns0:f>E481*(F481-G481)</ns0:f>
        <ns0:v>4</ns0:v>
      </ns0:c>
      <ns0:c r="K481" s="150" t="n">
        <ns0:f>IF(AND(B481="开局",G481=0,OR(D481="普通盒",D481="单颗暂存盒")),J481,0)</ns0:f>
        <ns0:v>0</ns0:v>
      </ns0:c>
      <ns0:c r="L481" s="150" t="n">
        <ns0:f>IF(AND(B481="开局",G481&gt;0,OR(D481="普通盒",D481="底部置顶盒",D481="炸弹盒")),J481,0)</ns0:f>
        <ns0:v>0</ns0:v>
      </ns0:c>
      <ns0:c r="M481" s="150" t="n">
        <ns0:f>IF(AND(B481="开局",OR(D481="固定颜色盒",D481="单向收纳盒")),J481,0)</ns0:f>
        <ns0:v>4</ns0:v>
      </ns0:c>
      <ns0:c r="N481" s="150" t="n">
        <ns0:f>IF(AND(B481="开局",OR(D481="数字盖盒",D481="普通冰冻盒",D481="数字冰冻盒",D481="数字冰冻单颗暂存盒")),J481,0)</ns0:f>
        <ns0:v>0</ns0:v>
      </ns0:c>
      <ns0:c r="O481" s="147" t="str">
        <ns0:f>IF(AND(E481&gt;0,E481=INT(E481),G481&gt;=0,G481&lt;=F481,G481=INT(G481),OR(AND(F481=1,OR(D481="单颗暂存盒",D481="数字冰冻单颗暂存盒")),AND(F481=4,NOT(OR(D481="单颗暂存盒",D481="数字冰冻单颗暂存盒")))),IF(OR(D481="数字盖盒",D481="数字冰冻盒",D481="数字冰冻单颗暂存盒"),AND(H481&gt;=1,H481=INT(H481)),H481=0),IF(B481="开局",AND(IF(OR(D481="数字盖盒",D481="普通冰冻盒",D481="数字冰冻盒",D481="炸弹盒",D481="底部置顶盒"),OR(G481=3,G481=4),TRUE),IF(OR(D481="单向收纳盒",D481="单颗暂存盒",D481="数字冰冻单颗暂存盒"),OR(G481=0,G481=1),TRUE),IF(OR(D481="固定颜色盒",D481="广告锁定周转盒"),G481=0,TRUE)),TRUE)),"通过","需调整")</ns0:f>
        <ns0:v>通过</ns0:v>
      </ns0:c>
      <ns0:c r="P481" s="147" t="str">
        <ns0:v>固定颜色盒</ns0:v>
      </ns0:c>
      <ns0:c r="Q481" s="147" t="str">
        <ns0:v>固定层序见本关首行</ns0:v>
      </ns0:c>
      <ns0:c r="R481" s="150" t="n">
        <ns0:f>E481*H481</ns0:f>
        <ns0:v>0</ns0:v>
      </ns0:c>
    </ns0:row>
    <ns0:row r="482" ht="21" customHeight="1">
      <ns0:c r="A482" s="149" t="n">
        <ns0:v>74</ns0:v>
      </ns0:c>
      <ns0:c r="B482" s="145" t="str">
        <ns0:v>开局</ns0:v>
      </ns0:c>
      <ns0:c r="C482" s="145" t="str">
        <ns0:v>W8-074-07</ns0:v>
      </ns0:c>
      <ns0:c r="D482" s="145" t="str">
        <ns0:v>广告锁定周转盒</ns0:v>
      </ns0:c>
      <ns0:c r="E482" s="152" t="n">
        <ns0:v>2</ns0:v>
      </ns0:c>
      <ns0:c r="F482" s="152" t="n">
        <ns0:v>4</ns0:v>
      </ns0:c>
      <ns0:c r="G482" s="152" t="n">
        <ns0:v>0</ns0:v>
      </ns0:c>
      <ns0:c r="H482" s="152" t="n">
        <ns0:v>0</ns0:v>
      </ns0:c>
      <ns0:c r="I482" s="149" t="n">
        <ns0:f>E482*G482</ns0:f>
        <ns0:v>0</ns0:v>
      </ns0:c>
      <ns0:c r="J482" s="149" t="n">
        <ns0:f>E482*(F482-G482)</ns0:f>
        <ns0:v>8</ns0:v>
      </ns0:c>
      <ns0:c r="K482" s="149" t="n">
        <ns0:f>IF(AND(B482="开局",G482=0,OR(D482="普通盒",D482="单颗暂存盒")),J482,0)</ns0:f>
        <ns0:v>0</ns0:v>
      </ns0:c>
      <ns0:c r="L482" s="149" t="n">
        <ns0:f>IF(AND(B482="开局",G482&gt;0,OR(D482="普通盒",D482="底部置顶盒",D482="炸弹盒")),J482,0)</ns0:f>
        <ns0:v>0</ns0:v>
      </ns0:c>
      <ns0:c r="M482" s="149" t="n">
        <ns0:f>IF(AND(B482="开局",OR(D482="固定颜色盒",D482="单向收纳盒")),J482,0)</ns0:f>
        <ns0:v>0</ns0:v>
      </ns0:c>
      <ns0:c r="N482" s="149" t="n">
        <ns0:f>IF(AND(B482="开局",OR(D482="数字盖盒",D482="普通冰冻盒",D482="数字冰冻盒",D482="数字冰冻单颗暂存盒")),J482,0)</ns0:f>
        <ns0:v>0</ns0:v>
      </ns0:c>
      <ns0:c r="O482" s="145" t="str">
        <ns0:f>IF(AND(E482&gt;0,E482=INT(E482),G482&gt;=0,G482&lt;=F482,G482=INT(G482),OR(AND(F482=1,OR(D482="单颗暂存盒",D482="数字冰冻单颗暂存盒")),AND(F482=4,NOT(OR(D482="单颗暂存盒",D482="数字冰冻单颗暂存盒")))),IF(OR(D482="数字盖盒",D482="数字冰冻盒",D482="数字冰冻单颗暂存盒"),AND(H482&gt;=1,H482=INT(H482)),H482=0),IF(B482="开局",AND(IF(OR(D482="数字盖盒",D482="普通冰冻盒",D482="数字冰冻盒",D482="炸弹盒",D482="底部置顶盒"),OR(G482=3,G482=4),TRUE),IF(OR(D482="单向收纳盒",D482="单颗暂存盒",D482="数字冰冻单颗暂存盒"),OR(G482=0,G482=1),TRUE),IF(OR(D482="固定颜色盒",D482="广告锁定周转盒"),G482=0,TRUE)),TRUE)),"通过","需调整")</ns0:f>
        <ns0:v>通过</ns0:v>
      </ns0:c>
      <ns0:c r="P482" s="145" t="str">
        <ns0:v>双广告锁位</ns0:v>
      </ns0:c>
      <ns0:c r="Q482" s="145" t="str">
        <ns0:v>固定层序见本关首行</ns0:v>
      </ns0:c>
      <ns0:c r="R482" s="149" t="n">
        <ns0:f>E482*H482</ns0:f>
        <ns0:v>0</ns0:v>
      </ns0:c>
    </ns0:row>
    <ns0:row r="483" ht="21" customHeight="1">
      <ns0:c r="A483" s="150" t="n">
        <ns0:v>74</ns0:v>
      </ns0:c>
      <ns0:c r="B483" s="147" t="str">
        <ns0:v>备货</ns0:v>
      </ns0:c>
      <ns0:c r="C483" s="147" t="str">
        <ns0:v>W8-074-08</ns0:v>
      </ns0:c>
      <ns0:c r="D483" s="147" t="str">
        <ns0:v>普通盒</ns0:v>
      </ns0:c>
      <ns0:c r="E483" s="152" t="n">
        <ns0:v>1</ns0:v>
      </ns0:c>
      <ns0:c r="F483" s="152" t="n">
        <ns0:v>4</ns0:v>
      </ns0:c>
      <ns0:c r="G483" s="152" t="n">
        <ns0:v>4</ns0:v>
      </ns0:c>
      <ns0:c r="H483" s="152" t="n">
        <ns0:v>0</ns0:v>
      </ns0:c>
      <ns0:c r="I483" s="150" t="n">
        <ns0:f>E483*G483</ns0:f>
        <ns0:v>4</ns0:v>
      </ns0:c>
      <ns0:c r="J483" s="150" t="n">
        <ns0:f>E483*(F483-G483)</ns0:f>
        <ns0:v>0</ns0:v>
      </ns0:c>
      <ns0:c r="K483" s="150" t="n">
        <ns0:f>IF(AND(B483="开局",G483=0,OR(D483="普通盒",D483="单颗暂存盒")),J483,0)</ns0:f>
        <ns0:v>0</ns0:v>
      </ns0:c>
      <ns0:c r="L483" s="150" t="n">
        <ns0:f>IF(AND(B483="开局",G483&gt;0,OR(D483="普通盒",D483="底部置顶盒",D483="炸弹盒")),J483,0)</ns0:f>
        <ns0:v>0</ns0:v>
      </ns0:c>
      <ns0:c r="M483" s="150" t="n">
        <ns0:f>IF(AND(B483="开局",OR(D483="固定颜色盒",D483="单向收纳盒")),J483,0)</ns0:f>
        <ns0:v>0</ns0:v>
      </ns0:c>
      <ns0:c r="N483" s="150" t="n">
        <ns0:f>IF(AND(B483="开局",OR(D483="数字盖盒",D483="普通冰冻盒",D483="数字冰冻盒",D483="数字冰冻单颗暂存盒")),J483,0)</ns0:f>
        <ns0:v>0</ns0:v>
      </ns0:c>
      <ns0:c r="O483" s="147" t="str">
        <ns0:f>IF(AND(E483&gt;0,E483=INT(E483),G483&gt;=0,G483&lt;=F483,G483=INT(G483),OR(AND(F483=1,OR(D483="单颗暂存盒",D483="数字冰冻单颗暂存盒")),AND(F483=4,NOT(OR(D483="单颗暂存盒",D483="数字冰冻单颗暂存盒")))),IF(OR(D483="数字盖盒",D483="数字冰冻盒",D483="数字冰冻单颗暂存盒"),AND(H483&gt;=1,H483=INT(H483)),H483=0),IF(B483="开局",AND(IF(OR(D483="数字盖盒",D483="普通冰冻盒",D483="数字冰冻盒",D483="炸弹盒",D483="底部置顶盒"),OR(G483=3,G483=4),TRUE),IF(OR(D483="单向收纳盒",D483="单颗暂存盒",D483="数字冰冻单颗暂存盒"),OR(G483=0,G483=1),TRUE),IF(OR(D483="固定颜色盒",D483="广告锁定周转盒"),G483=0,TRUE)),TRUE)),"通过","需调整")</ns0:f>
        <ns0:v>通过</ns0:v>
      </ns0:c>
      <ns0:c r="P483" s="147" t="str">
        <ns0:v>连续侧边补货</ns0:v>
      </ns0:c>
      <ns0:c r="Q483" s="147" t="str">
        <ns0:v>固定层序见本关首行</ns0:v>
      </ns0:c>
      <ns0:c r="R483" s="150" t="n">
        <ns0:f>E483*H483</ns0:f>
        <ns0:v>0</ns0:v>
      </ns0:c>
    </ns0:row>
    <ns0:row r="484" ht="21" customHeight="1">
      <ns0:c r="A484" s="149" t="n">
        <ns0:v>75</ns0:v>
      </ns0:c>
      <ns0:c r="B484" s="145" t="str">
        <ns0:v>开局</ns0:v>
      </ns0:c>
      <ns0:c r="C484" s="145" t="str">
        <ns0:v>W8-075-01</ns0:v>
      </ns0:c>
      <ns0:c r="D484" s="145" t="str">
        <ns0:v>普通盒</ns0:v>
      </ns0:c>
      <ns0:c r="E484" s="152" t="n">
        <ns0:v>12</ns0:v>
      </ns0:c>
      <ns0:c r="F484" s="152" t="n">
        <ns0:v>4</ns0:v>
      </ns0:c>
      <ns0:c r="G484" s="152" t="n">
        <ns0:v>4</ns0:v>
      </ns0:c>
      <ns0:c r="H484" s="152" t="n">
        <ns0:v>0</ns0:v>
      </ns0:c>
      <ns0:c r="I484" s="149" t="n">
        <ns0:f>E484*G484</ns0:f>
        <ns0:v>48</ns0:v>
      </ns0:c>
      <ns0:c r="J484" s="149" t="n">
        <ns0:f>E484*(F484-G484)</ns0:f>
        <ns0:v>0</ns0:v>
      </ns0:c>
      <ns0:c r="K484" s="149" t="n">
        <ns0:f>IF(AND(B484="开局",G484=0,OR(D484="普通盒",D484="单颗暂存盒")),J484,0)</ns0:f>
        <ns0:v>0</ns0:v>
      </ns0:c>
      <ns0:c r="L484" s="149" t="n">
        <ns0:f>IF(AND(B484="开局",G484&gt;0,OR(D484="普通盒",D484="底部置顶盒",D484="炸弹盒")),J484,0)</ns0:f>
        <ns0:v>0</ns0:v>
      </ns0:c>
      <ns0:c r="M484" s="149" t="n">
        <ns0:f>IF(AND(B484="开局",OR(D484="固定颜色盒",D484="单向收纳盒")),J484,0)</ns0:f>
        <ns0:v>0</ns0:v>
      </ns0:c>
      <ns0:c r="N484" s="149" t="n">
        <ns0:f>IF(AND(B484="开局",OR(D484="数字盖盒",D484="普通冰冻盒",D484="数字冰冻盒",D484="数字冰冻单颗暂存盒")),J484,0)</ns0:f>
        <ns0:v>0</ns0:v>
      </ns0:c>
      <ns0:c r="O484" s="145" t="str">
        <ns0:f>IF(AND(E484&gt;0,E484=INT(E484),G484&gt;=0,G484&lt;=F484,G484=INT(G484),OR(AND(F484=1,OR(D484="单颗暂存盒",D484="数字冰冻单颗暂存盒")),AND(F484=4,NOT(OR(D484="单颗暂存盒",D484="数字冰冻单颗暂存盒")))),IF(OR(D484="数字盖盒",D484="数字冰冻盒",D484="数字冰冻单颗暂存盒"),AND(H484&gt;=1,H484=INT(H484)),H484=0),IF(B484="开局",AND(IF(OR(D484="数字盖盒",D484="普通冰冻盒",D484="数字冰冻盒",D484="炸弹盒",D484="底部置顶盒"),OR(G484=3,G484=4),TRUE),IF(OR(D484="单向收纳盒",D484="单颗暂存盒",D484="数字冰冻单颗暂存盒"),OR(G484=0,G484=1),TRUE),IF(OR(D484="固定颜色盒",D484="广告锁定周转盒"),G484=0,TRUE)),TRUE)),"通过","需调整")</ns0:f>
        <ns0:v>通过</ns0:v>
      </ns0:c>
      <ns0:c r="P484" s="145" t="str">
        <ns0:v>普通盒</ns0:v>
      </ns0:c>
      <ns0:c r="Q484" s="145" t="str">
        <ns0:v>层序JSON:{"reference":"2026-10-12 第71至80关续接设计；自主层序、双循环分工与组合机关波动","slots":[{"group_id":"W8-075-01","layers":[5,6,0,3]},{"group_id":"W8-075-02","layers":[3,5,3]},{"group_id":"W8-075-01","layers":[2,8,3,0]},{"group_id":"W8-075-01","layers":[6,2,8,3]},{"group_id":"W8-075-02","layers":[8,5,6]},{"group_id":"W8-075-01","layers":[5,8,3,0]},{"group_id":"W8-075-05","layers":[8]},{"group_id":"W8-075-01","layers":[0,4,6,6]},{"group_id":"W8-075-01","layers":[5,4,4,8]},{"group_id":"W8-075-01","layers":[3,4,8,2]},{"group_id":"W8-075-02","layers":[4,2,5]},{"group_id":"W8-075-01","layers":[12,6,0,5]},{"group_id":"W8-075-01","layers":[0,3,4,6],"hidden":[1,2,3]},{"group_id":"W8-075-01","layers":[12,4,2,0]},{"group_id":"W8-075-01","layers":[4,2,2,6]},{"group_id":"W8-075-01","layers":[8,12,0,2]},{"group_id":"W8-075-03","layers":[12,5]},{"group_id":"W8-075-04","layers":[]}],"stock":[],"demand_sequences":[[5,0,5,8,12,6,8,0],[3,6,4,3,2,4,2]]}</ns0:v>
      </ns0:c>
      <ns0:c r="R484" s="149" t="n">
        <ns0:f>E484*H484</ns0:f>
        <ns0:v>0</ns0:v>
      </ns0:c>
    </ns0:row>
    <ns0:row r="485" ht="21" customHeight="1">
      <ns0:c r="A485" s="150" t="n">
        <ns0:v>75</ns0:v>
      </ns0:c>
      <ns0:c r="B485" s="147" t="str">
        <ns0:v>开局</ns0:v>
      </ns0:c>
      <ns0:c r="C485" s="147" t="str">
        <ns0:v>W8-075-02</ns0:v>
      </ns0:c>
      <ns0:c r="D485" s="147" t="str">
        <ns0:v>普通盒</ns0:v>
      </ns0:c>
      <ns0:c r="E485" s="152" t="n">
        <ns0:v>3</ns0:v>
      </ns0:c>
      <ns0:c r="F485" s="152" t="n">
        <ns0:v>4</ns0:v>
      </ns0:c>
      <ns0:c r="G485" s="152" t="n">
        <ns0:v>3</ns0:v>
      </ns0:c>
      <ns0:c r="H485" s="152" t="n">
        <ns0:v>0</ns0:v>
      </ns0:c>
      <ns0:c r="I485" s="150" t="n">
        <ns0:f>E485*G485</ns0:f>
        <ns0:v>9</ns0:v>
      </ns0:c>
      <ns0:c r="J485" s="150" t="n">
        <ns0:f>E485*(F485-G485)</ns0:f>
        <ns0:v>3</ns0:v>
      </ns0:c>
      <ns0:c r="K485" s="150" t="n">
        <ns0:f>IF(AND(B485="开局",G485=0,OR(D485="普通盒",D485="单颗暂存盒")),J485,0)</ns0:f>
        <ns0:v>0</ns0:v>
      </ns0:c>
      <ns0:c r="L485" s="150" t="n">
        <ns0:f>IF(AND(B485="开局",G485&gt;0,OR(D485="普通盒",D485="底部置顶盒",D485="炸弹盒")),J485,0)</ns0:f>
        <ns0:v>3</ns0:v>
      </ns0:c>
      <ns0:c r="M485" s="150" t="n">
        <ns0:f>IF(AND(B485="开局",OR(D485="固定颜色盒",D485="单向收纳盒")),J485,0)</ns0:f>
        <ns0:v>0</ns0:v>
      </ns0:c>
      <ns0:c r="N485" s="150" t="n">
        <ns0:f>IF(AND(B485="开局",OR(D485="数字盖盒",D485="普通冰冻盒",D485="数字冰冻盒",D485="数字冰冻单颗暂存盒")),J485,0)</ns0:f>
        <ns0:v>0</ns0:v>
      </ns0:c>
      <ns0:c r="O485" s="147" t="str">
        <ns0:f>IF(AND(E485&gt;0,E485=INT(E485),G485&gt;=0,G485&lt;=F485,G485=INT(G485),OR(AND(F485=1,OR(D485="单颗暂存盒",D485="数字冰冻单颗暂存盒")),AND(F485=4,NOT(OR(D485="单颗暂存盒",D485="数字冰冻单颗暂存盒")))),IF(OR(D485="数字盖盒",D485="数字冰冻盒",D485="数字冰冻单颗暂存盒"),AND(H485&gt;=1,H485=INT(H485)),H485=0),IF(B485="开局",AND(IF(OR(D485="数字盖盒",D485="普通冰冻盒",D485="数字冰冻盒",D485="炸弹盒",D485="底部置顶盒"),OR(G485=3,G485=4),TRUE),IF(OR(D485="单向收纳盒",D485="单颗暂存盒",D485="数字冰冻单颗暂存盒"),OR(G485=0,G485=1),TRUE),IF(OR(D485="固定颜色盒",D485="广告锁定周转盒"),G485=0,TRUE)),TRUE)),"通过","需调整")</ns0:f>
        <ns0:v>通过</ns0:v>
      </ns0:c>
      <ns0:c r="P485" s="147" t="str">
        <ns0:v>普通盒</ns0:v>
      </ns0:c>
      <ns0:c r="Q485" s="147" t="str">
        <ns0:v>固定层序见本关首行</ns0:v>
      </ns0:c>
      <ns0:c r="R485" s="150" t="n">
        <ns0:f>E485*H485</ns0:f>
        <ns0:v>0</ns0:v>
      </ns0:c>
    </ns0:row>
    <ns0:row r="486" ht="21" customHeight="1">
      <ns0:c r="A486" s="149" t="n">
        <ns0:v>75</ns0:v>
      </ns0:c>
      <ns0:c r="B486" s="145" t="str">
        <ns0:v>开局</ns0:v>
      </ns0:c>
      <ns0:c r="C486" s="145" t="str">
        <ns0:v>W8-075-03</ns0:v>
      </ns0:c>
      <ns0:c r="D486" s="145" t="str">
        <ns0:v>普通盒</ns0:v>
      </ns0:c>
      <ns0:c r="E486" s="152" t="n">
        <ns0:v>1</ns0:v>
      </ns0:c>
      <ns0:c r="F486" s="152" t="n">
        <ns0:v>4</ns0:v>
      </ns0:c>
      <ns0:c r="G486" s="152" t="n">
        <ns0:v>2</ns0:v>
      </ns0:c>
      <ns0:c r="H486" s="152" t="n">
        <ns0:v>0</ns0:v>
      </ns0:c>
      <ns0:c r="I486" s="149" t="n">
        <ns0:f>E486*G486</ns0:f>
        <ns0:v>2</ns0:v>
      </ns0:c>
      <ns0:c r="J486" s="149" t="n">
        <ns0:f>E486*(F486-G486)</ns0:f>
        <ns0:v>2</ns0:v>
      </ns0:c>
      <ns0:c r="K486" s="149" t="n">
        <ns0:f>IF(AND(B486="开局",G486=0,OR(D486="普通盒",D486="单颗暂存盒")),J486,0)</ns0:f>
        <ns0:v>0</ns0:v>
      </ns0:c>
      <ns0:c r="L486" s="149" t="n">
        <ns0:f>IF(AND(B486="开局",G486&gt;0,OR(D486="普通盒",D486="底部置顶盒",D486="炸弹盒")),J486,0)</ns0:f>
        <ns0:v>2</ns0:v>
      </ns0:c>
      <ns0:c r="M486" s="149" t="n">
        <ns0:f>IF(AND(B486="开局",OR(D486="固定颜色盒",D486="单向收纳盒")),J486,0)</ns0:f>
        <ns0:v>0</ns0:v>
      </ns0:c>
      <ns0:c r="N486" s="149" t="n">
        <ns0:f>IF(AND(B486="开局",OR(D486="数字盖盒",D486="普通冰冻盒",D486="数字冰冻盒",D486="数字冰冻单颗暂存盒")),J486,0)</ns0:f>
        <ns0:v>0</ns0:v>
      </ns0:c>
      <ns0:c r="O486" s="145" t="str">
        <ns0:f>IF(AND(E486&gt;0,E486=INT(E486),G486&gt;=0,G486&lt;=F486,G486=INT(G486),OR(AND(F486=1,OR(D486="单颗暂存盒",D486="数字冰冻单颗暂存盒")),AND(F486=4,NOT(OR(D486="单颗暂存盒",D486="数字冰冻单颗暂存盒")))),IF(OR(D486="数字盖盒",D486="数字冰冻盒",D486="数字冰冻单颗暂存盒"),AND(H486&gt;=1,H486=INT(H486)),H486=0),IF(B486="开局",AND(IF(OR(D486="数字盖盒",D486="普通冰冻盒",D486="数字冰冻盒",D486="炸弹盒",D486="底部置顶盒"),OR(G486=3,G486=4),TRUE),IF(OR(D486="单向收纳盒",D486="单颗暂存盒",D486="数字冰冻单颗暂存盒"),OR(G486=0,G486=1),TRUE),IF(OR(D486="固定颜色盒",D486="广告锁定周转盒"),G486=0,TRUE)),TRUE)),"通过","需调整")</ns0:f>
        <ns0:v>通过</ns0:v>
      </ns0:c>
      <ns0:c r="P486" s="145" t="str">
        <ns0:v>普通盒</ns0:v>
      </ns0:c>
      <ns0:c r="Q486" s="145" t="str">
        <ns0:v>固定层序见本关首行</ns0:v>
      </ns0:c>
      <ns0:c r="R486" s="149" t="n">
        <ns0:f>E486*H486</ns0:f>
        <ns0:v>0</ns0:v>
      </ns0:c>
    </ns0:row>
    <ns0:row r="487" ht="21" customHeight="1">
      <ns0:c r="A487" s="150" t="n">
        <ns0:v>75</ns0:v>
      </ns0:c>
      <ns0:c r="B487" s="147" t="str">
        <ns0:v>开局</ns0:v>
      </ns0:c>
      <ns0:c r="C487" s="147" t="str">
        <ns0:v>W8-075-04</ns0:v>
      </ns0:c>
      <ns0:c r="D487" s="147" t="str">
        <ns0:v>单向收纳盒</ns0:v>
      </ns0:c>
      <ns0:c r="E487" s="152" t="n">
        <ns0:v>1</ns0:v>
      </ns0:c>
      <ns0:c r="F487" s="152" t="n">
        <ns0:v>4</ns0:v>
      </ns0:c>
      <ns0:c r="G487" s="152" t="n">
        <ns0:v>0</ns0:v>
      </ns0:c>
      <ns0:c r="H487" s="152" t="n">
        <ns0:v>0</ns0:v>
      </ns0:c>
      <ns0:c r="I487" s="150" t="n">
        <ns0:f>E487*G487</ns0:f>
        <ns0:v>0</ns0:v>
      </ns0:c>
      <ns0:c r="J487" s="150" t="n">
        <ns0:f>E487*(F487-G487)</ns0:f>
        <ns0:v>4</ns0:v>
      </ns0:c>
      <ns0:c r="K487" s="150" t="n">
        <ns0:f>IF(AND(B487="开局",G487=0,OR(D487="普通盒",D487="单颗暂存盒")),J487,0)</ns0:f>
        <ns0:v>0</ns0:v>
      </ns0:c>
      <ns0:c r="L487" s="150" t="n">
        <ns0:f>IF(AND(B487="开局",G487&gt;0,OR(D487="普通盒",D487="底部置顶盒",D487="炸弹盒")),J487,0)</ns0:f>
        <ns0:v>0</ns0:v>
      </ns0:c>
      <ns0:c r="M487" s="150" t="n">
        <ns0:f>IF(AND(B487="开局",OR(D487="固定颜色盒",D487="单向收纳盒")),J487,0)</ns0:f>
        <ns0:v>4</ns0:v>
      </ns0:c>
      <ns0:c r="N487" s="150" t="n">
        <ns0:f>IF(AND(B487="开局",OR(D487="数字盖盒",D487="普通冰冻盒",D487="数字冰冻盒",D487="数字冰冻单颗暂存盒")),J487,0)</ns0:f>
        <ns0:v>0</ns0:v>
      </ns0:c>
      <ns0:c r="O487" s="147" t="str">
        <ns0:f>IF(AND(E487&gt;0,E487=INT(E487),G487&gt;=0,G487&lt;=F487,G487=INT(G487),OR(AND(F487=1,OR(D487="单颗暂存盒",D487="数字冰冻单颗暂存盒")),AND(F487=4,NOT(OR(D487="单颗暂存盒",D487="数字冰冻单颗暂存盒")))),IF(OR(D487="数字盖盒",D487="数字冰冻盒",D487="数字冰冻单颗暂存盒"),AND(H487&gt;=1,H487=INT(H487)),H487=0),IF(B487="开局",AND(IF(OR(D487="数字盖盒",D487="普通冰冻盒",D487="数字冰冻盒",D487="炸弹盒",D487="底部置顶盒"),OR(G487=3,G487=4),TRUE),IF(OR(D487="单向收纳盒",D487="单颗暂存盒",D487="数字冰冻单颗暂存盒"),OR(G487=0,G487=1),TRUE),IF(OR(D487="固定颜色盒",D487="广告锁定周转盒"),G487=0,TRUE)),TRUE)),"通过","需调整")</ns0:f>
        <ns0:v>通过</ns0:v>
      </ns0:c>
      <ns0:c r="P487" s="147" t="str">
        <ns0:v>单向收纳盒</ns0:v>
      </ns0:c>
      <ns0:c r="Q487" s="147" t="str">
        <ns0:v>固定层序见本关首行</ns0:v>
      </ns0:c>
      <ns0:c r="R487" s="150" t="n">
        <ns0:f>E487*H487</ns0:f>
        <ns0:v>0</ns0:v>
      </ns0:c>
    </ns0:row>
    <ns0:row r="488" ht="21" customHeight="1">
      <ns0:c r="A488" s="149" t="n">
        <ns0:v>75</ns0:v>
      </ns0:c>
      <ns0:c r="B488" s="145" t="str">
        <ns0:v>开局</ns0:v>
      </ns0:c>
      <ns0:c r="C488" s="145" t="str">
        <ns0:v>W8-075-05</ns0:v>
      </ns0:c>
      <ns0:c r="D488" s="145" t="str">
        <ns0:v>单颗暂存盒</ns0:v>
      </ns0:c>
      <ns0:c r="E488" s="152" t="n">
        <ns0:v>1</ns0:v>
      </ns0:c>
      <ns0:c r="F488" s="152" t="n">
        <ns0:v>1</ns0:v>
      </ns0:c>
      <ns0:c r="G488" s="152" t="n">
        <ns0:v>1</ns0:v>
      </ns0:c>
      <ns0:c r="H488" s="152" t="n">
        <ns0:v>0</ns0:v>
      </ns0:c>
      <ns0:c r="I488" s="149" t="n">
        <ns0:f>E488*G488</ns0:f>
        <ns0:v>1</ns0:v>
      </ns0:c>
      <ns0:c r="J488" s="149" t="n">
        <ns0:f>E488*(F488-G488)</ns0:f>
        <ns0:v>0</ns0:v>
      </ns0:c>
      <ns0:c r="K488" s="149" t="n">
        <ns0:f>IF(AND(B488="开局",G488=0,OR(D488="普通盒",D488="单颗暂存盒")),J488,0)</ns0:f>
        <ns0:v>0</ns0:v>
      </ns0:c>
      <ns0:c r="L488" s="149" t="n">
        <ns0:f>IF(AND(B488="开局",G488&gt;0,OR(D488="普通盒",D488="底部置顶盒",D488="炸弹盒")),J488,0)</ns0:f>
        <ns0:v>0</ns0:v>
      </ns0:c>
      <ns0:c r="M488" s="149" t="n">
        <ns0:f>IF(AND(B488="开局",OR(D488="固定颜色盒",D488="单向收纳盒")),J488,0)</ns0:f>
        <ns0:v>0</ns0:v>
      </ns0:c>
      <ns0:c r="N488" s="149" t="n">
        <ns0:f>IF(AND(B488="开局",OR(D488="数字盖盒",D488="普通冰冻盒",D488="数字冰冻盒",D488="数字冰冻单颗暂存盒")),J488,0)</ns0:f>
        <ns0:v>0</ns0:v>
      </ns0:c>
      <ns0:c r="O488" s="145" t="str">
        <ns0:f>IF(AND(E488&gt;0,E488=INT(E488),G488&gt;=0,G488&lt;=F488,G488=INT(G488),OR(AND(F488=1,OR(D488="单颗暂存盒",D488="数字冰冻单颗暂存盒")),AND(F488=4,NOT(OR(D488="单颗暂存盒",D488="数字冰冻单颗暂存盒")))),IF(OR(D488="数字盖盒",D488="数字冰冻盒",D488="数字冰冻单颗暂存盒"),AND(H488&gt;=1,H488=INT(H488)),H488=0),IF(B488="开局",AND(IF(OR(D488="数字盖盒",D488="普通冰冻盒",D488="数字冰冻盒",D488="炸弹盒",D488="底部置顶盒"),OR(G488=3,G488=4),TRUE),IF(OR(D488="单向收纳盒",D488="单颗暂存盒",D488="数字冰冻单颗暂存盒"),OR(G488=0,G488=1),TRUE),IF(OR(D488="固定颜色盒",D488="广告锁定周转盒"),G488=0,TRUE)),TRUE)),"通过","需调整")</ns0:f>
        <ns0:v>通过</ns0:v>
      </ns0:c>
      <ns0:c r="P488" s="145" t="str">
        <ns0:v>单颗暂存盒</ns0:v>
      </ns0:c>
      <ns0:c r="Q488" s="145" t="str">
        <ns0:v>固定层序见本关首行</ns0:v>
      </ns0:c>
      <ns0:c r="R488" s="149" t="n">
        <ns0:f>E488*H488</ns0:f>
        <ns0:v>0</ns0:v>
      </ns0:c>
    </ns0:row>
    <ns0:row r="489" ht="21" customHeight="1">
      <ns0:c r="A489" s="150" t="n">
        <ns0:v>75</ns0:v>
      </ns0:c>
      <ns0:c r="B489" s="147" t="str">
        <ns0:v>开局</ns0:v>
      </ns0:c>
      <ns0:c r="C489" s="147" t="str">
        <ns0:v>W8-075-06</ns0:v>
      </ns0:c>
      <ns0:c r="D489" s="147" t="str">
        <ns0:v>广告锁定周转盒</ns0:v>
      </ns0:c>
      <ns0:c r="E489" s="152" t="n">
        <ns0:v>2</ns0:v>
      </ns0:c>
      <ns0:c r="F489" s="152" t="n">
        <ns0:v>4</ns0:v>
      </ns0:c>
      <ns0:c r="G489" s="152" t="n">
        <ns0:v>0</ns0:v>
      </ns0:c>
      <ns0:c r="H489" s="152" t="n">
        <ns0:v>0</ns0:v>
      </ns0:c>
      <ns0:c r="I489" s="150" t="n">
        <ns0:f>E489*G489</ns0:f>
        <ns0:v>0</ns0:v>
      </ns0:c>
      <ns0:c r="J489" s="150" t="n">
        <ns0:f>E489*(F489-G489)</ns0:f>
        <ns0:v>8</ns0:v>
      </ns0:c>
      <ns0:c r="K489" s="150" t="n">
        <ns0:f>IF(AND(B489="开局",G489=0,OR(D489="普通盒",D489="单颗暂存盒")),J489,0)</ns0:f>
        <ns0:v>0</ns0:v>
      </ns0:c>
      <ns0:c r="L489" s="150" t="n">
        <ns0:f>IF(AND(B489="开局",G489&gt;0,OR(D489="普通盒",D489="底部置顶盒",D489="炸弹盒")),J489,0)</ns0:f>
        <ns0:v>0</ns0:v>
      </ns0:c>
      <ns0:c r="M489" s="150" t="n">
        <ns0:f>IF(AND(B489="开局",OR(D489="固定颜色盒",D489="单向收纳盒")),J489,0)</ns0:f>
        <ns0:v>0</ns0:v>
      </ns0:c>
      <ns0:c r="N489" s="150" t="n">
        <ns0:f>IF(AND(B489="开局",OR(D489="数字盖盒",D489="普通冰冻盒",D489="数字冰冻盒",D489="数字冰冻单颗暂存盒")),J489,0)</ns0:f>
        <ns0:v>0</ns0:v>
      </ns0:c>
      <ns0:c r="O489" s="147" t="str">
        <ns0:f>IF(AND(E489&gt;0,E489=INT(E489),G489&gt;=0,G489&lt;=F489,G489=INT(G489),OR(AND(F489=1,OR(D489="单颗暂存盒",D489="数字冰冻单颗暂存盒")),AND(F489=4,NOT(OR(D489="单颗暂存盒",D489="数字冰冻单颗暂存盒")))),IF(OR(D489="数字盖盒",D489="数字冰冻盒",D489="数字冰冻单颗暂存盒"),AND(H489&gt;=1,H489=INT(H489)),H489=0),IF(B489="开局",AND(IF(OR(D489="数字盖盒",D489="普通冰冻盒",D489="数字冰冻盒",D489="炸弹盒",D489="底部置顶盒"),OR(G489=3,G489=4),TRUE),IF(OR(D489="单向收纳盒",D489="单颗暂存盒",D489="数字冰冻单颗暂存盒"),OR(G489=0,G489=1),TRUE),IF(OR(D489="固定颜色盒",D489="广告锁定周转盒"),G489=0,TRUE)),TRUE)),"通过","需调整")</ns0:f>
        <ns0:v>通过</ns0:v>
      </ns0:c>
      <ns0:c r="P489" s="147" t="str">
        <ns0:v>双广告锁位</ns0:v>
      </ns0:c>
      <ns0:c r="Q489" s="147" t="str">
        <ns0:v>固定层序见本关首行</ns0:v>
      </ns0:c>
      <ns0:c r="R489" s="150" t="n">
        <ns0:f>E489*H489</ns0:f>
        <ns0:v>0</ns0:v>
      </ns0:c>
    </ns0:row>
    <ns0:row r="490" ht="21" customHeight="1">
      <ns0:c r="A490" s="149" t="n">
        <ns0:v>76</ns0:v>
      </ns0:c>
      <ns0:c r="B490" s="145" t="str">
        <ns0:v>开局</ns0:v>
      </ns0:c>
      <ns0:c r="C490" s="145" t="str">
        <ns0:v>W8-076-01</ns0:v>
      </ns0:c>
      <ns0:c r="D490" s="145" t="str">
        <ns0:v>普通盒</ns0:v>
      </ns0:c>
      <ns0:c r="E490" s="152" t="n">
        <ns0:v>12</ns0:v>
      </ns0:c>
      <ns0:c r="F490" s="152" t="n">
        <ns0:v>4</ns0:v>
      </ns0:c>
      <ns0:c r="G490" s="152" t="n">
        <ns0:v>4</ns0:v>
      </ns0:c>
      <ns0:c r="H490" s="152" t="n">
        <ns0:v>0</ns0:v>
      </ns0:c>
      <ns0:c r="I490" s="149" t="n">
        <ns0:f>E490*G490</ns0:f>
        <ns0:v>48</ns0:v>
      </ns0:c>
      <ns0:c r="J490" s="149" t="n">
        <ns0:f>E490*(F490-G490)</ns0:f>
        <ns0:v>0</ns0:v>
      </ns0:c>
      <ns0:c r="K490" s="149" t="n">
        <ns0:f>IF(AND(B490="开局",G490=0,OR(D490="普通盒",D490="单颗暂存盒")),J490,0)</ns0:f>
        <ns0:v>0</ns0:v>
      </ns0:c>
      <ns0:c r="L490" s="149" t="n">
        <ns0:f>IF(AND(B490="开局",G490&gt;0,OR(D490="普通盒",D490="底部置顶盒",D490="炸弹盒")),J490,0)</ns0:f>
        <ns0:v>0</ns0:v>
      </ns0:c>
      <ns0:c r="M490" s="149" t="n">
        <ns0:f>IF(AND(B490="开局",OR(D490="固定颜色盒",D490="单向收纳盒")),J490,0)</ns0:f>
        <ns0:v>0</ns0:v>
      </ns0:c>
      <ns0:c r="N490" s="149" t="n">
        <ns0:f>IF(AND(B490="开局",OR(D490="数字盖盒",D490="普通冰冻盒",D490="数字冰冻盒",D490="数字冰冻单颗暂存盒")),J490,0)</ns0:f>
        <ns0:v>0</ns0:v>
      </ns0:c>
      <ns0:c r="O490" s="145" t="str">
        <ns0:f>IF(AND(E490&gt;0,E490=INT(E490),G490&gt;=0,G490&lt;=F490,G490=INT(G490),OR(AND(F490=1,OR(D490="单颗暂存盒",D490="数字冰冻单颗暂存盒")),AND(F490=4,NOT(OR(D490="单颗暂存盒",D490="数字冰冻单颗暂存盒")))),IF(OR(D490="数字盖盒",D490="数字冰冻盒",D490="数字冰冻单颗暂存盒"),AND(H490&gt;=1,H490=INT(H490)),H490=0),IF(B490="开局",AND(IF(OR(D490="数字盖盒",D490="普通冰冻盒",D490="数字冰冻盒",D490="炸弹盒",D490="底部置顶盒"),OR(G490=3,G490=4),TRUE),IF(OR(D490="单向收纳盒",D490="单颗暂存盒",D490="数字冰冻单颗暂存盒"),OR(G490=0,G490=1),TRUE),IF(OR(D490="固定颜色盒",D490="广告锁定周转盒"),G490=0,TRUE)),TRUE)),"通过","需调整")</ns0:f>
        <ns0:v>通过</ns0:v>
      </ns0:c>
      <ns0:c r="P490" s="145" t="str">
        <ns0:v>普通盒</ns0:v>
      </ns0:c>
      <ns0:c r="Q490" s="145" t="str">
        <ns0:v>层序JSON:{"reference":"2026-10-12 第71至80关续接设计；自主层序、双循环分工与组合机关波动","slots":[{"group_id":"W8-076-02","layers":[2,3,2]},{"group_id":"W8-076-01","layers":[5,4,6,12]},{"group_id":"W8-076-06","layers":[0,2,4,4]},{"group_id":"W8-076-03","layers":[0]},{"group_id":"W8-076-01","layers":[5,0,8,0]},{"group_id":"W8-076-01","layers":[6,5,0,6]},{"group_id":"W8-076-01","layers":[12,6,8,4]},{"group_id":"W8-076-01","layers":[8,4,3,5]},{"group_id":"W8-076-01","layers":[12,12,8,3]},{"group_id":"W8-076-01","layers":[3,0,12,2]},{"group_id":"W8-076-01","layers":[5,8,2,2]},{"group_id":"W8-076-01","layers":[6,4,2,3]},{"group_id":"W8-076-05","layers":[3,4,0,2]},{"group_id":"W8-076-01","layers":[8,3,4,12]},{"group_id":"W8-076-01","layers":[3,12,0,6]},{"group_id":"W8-076-01","layers":[8,2,5,2]},{"group_id":"W8-076-05","layers":[2,6,0,0]},{"group_id":"W8-076-04","layers":[]}],"stock":[{"group_id":"W8-076-08","layers":[12,0,8,5]},{"group_id":"W8-076-08","layers":[5,6,0,2]}],"demand_sequences":[[0,6,12,2,3,3,2,8,0],[4,5,2,12,8,5,0,4,6]]}</ns0:v>
      </ns0:c>
      <ns0:c r="R490" s="149" t="n">
        <ns0:f>E490*H490</ns0:f>
        <ns0:v>0</ns0:v>
      </ns0:c>
    </ns0:row>
    <ns0:row r="491" ht="21" customHeight="1">
      <ns0:c r="A491" s="150" t="n">
        <ns0:v>76</ns0:v>
      </ns0:c>
      <ns0:c r="B491" s="147" t="str">
        <ns0:v>开局</ns0:v>
      </ns0:c>
      <ns0:c r="C491" s="147" t="str">
        <ns0:v>W8-076-02</ns0:v>
      </ns0:c>
      <ns0:c r="D491" s="147" t="str">
        <ns0:v>普通盒</ns0:v>
      </ns0:c>
      <ns0:c r="E491" s="152" t="n">
        <ns0:v>1</ns0:v>
      </ns0:c>
      <ns0:c r="F491" s="152" t="n">
        <ns0:v>4</ns0:v>
      </ns0:c>
      <ns0:c r="G491" s="152" t="n">
        <ns0:v>3</ns0:v>
      </ns0:c>
      <ns0:c r="H491" s="152" t="n">
        <ns0:v>0</ns0:v>
      </ns0:c>
      <ns0:c r="I491" s="150" t="n">
        <ns0:f>E491*G491</ns0:f>
        <ns0:v>3</ns0:v>
      </ns0:c>
      <ns0:c r="J491" s="150" t="n">
        <ns0:f>E491*(F491-G491)</ns0:f>
        <ns0:v>1</ns0:v>
      </ns0:c>
      <ns0:c r="K491" s="150" t="n">
        <ns0:f>IF(AND(B491="开局",G491=0,OR(D491="普通盒",D491="单颗暂存盒")),J491,0)</ns0:f>
        <ns0:v>0</ns0:v>
      </ns0:c>
      <ns0:c r="L491" s="150" t="n">
        <ns0:f>IF(AND(B491="开局",G491&gt;0,OR(D491="普通盒",D491="底部置顶盒",D491="炸弹盒")),J491,0)</ns0:f>
        <ns0:v>1</ns0:v>
      </ns0:c>
      <ns0:c r="M491" s="150" t="n">
        <ns0:f>IF(AND(B491="开局",OR(D491="固定颜色盒",D491="单向收纳盒")),J491,0)</ns0:f>
        <ns0:v>0</ns0:v>
      </ns0:c>
      <ns0:c r="N491" s="150" t="n">
        <ns0:f>IF(AND(B491="开局",OR(D491="数字盖盒",D491="普通冰冻盒",D491="数字冰冻盒",D491="数字冰冻单颗暂存盒")),J491,0)</ns0:f>
        <ns0:v>0</ns0:v>
      </ns0:c>
      <ns0:c r="O491" s="147" t="str">
        <ns0:f>IF(AND(E491&gt;0,E491=INT(E491),G491&gt;=0,G491&lt;=F491,G491=INT(G491),OR(AND(F491=1,OR(D491="单颗暂存盒",D491="数字冰冻单颗暂存盒")),AND(F491=4,NOT(OR(D491="单颗暂存盒",D491="数字冰冻单颗暂存盒")))),IF(OR(D491="数字盖盒",D491="数字冰冻盒",D491="数字冰冻单颗暂存盒"),AND(H491&gt;=1,H491=INT(H491)),H491=0),IF(B491="开局",AND(IF(OR(D491="数字盖盒",D491="普通冰冻盒",D491="数字冰冻盒",D491="炸弹盒",D491="底部置顶盒"),OR(G491=3,G491=4),TRUE),IF(OR(D491="单向收纳盒",D491="单颗暂存盒",D491="数字冰冻单颗暂存盒"),OR(G491=0,G491=1),TRUE),IF(OR(D491="固定颜色盒",D491="广告锁定周转盒"),G491=0,TRUE)),TRUE)),"通过","需调整")</ns0:f>
        <ns0:v>通过</ns0:v>
      </ns0:c>
      <ns0:c r="P491" s="147" t="str">
        <ns0:v>普通盒</ns0:v>
      </ns0:c>
      <ns0:c r="Q491" s="147" t="str">
        <ns0:v>固定层序见本关首行</ns0:v>
      </ns0:c>
      <ns0:c r="R491" s="150" t="n">
        <ns0:f>E491*H491</ns0:f>
        <ns0:v>0</ns0:v>
      </ns0:c>
    </ns0:row>
    <ns0:row r="492" ht="21" customHeight="1">
      <ns0:c r="A492" s="149" t="n">
        <ns0:v>76</ns0:v>
      </ns0:c>
      <ns0:c r="B492" s="145" t="str">
        <ns0:v>开局</ns0:v>
      </ns0:c>
      <ns0:c r="C492" s="145" t="str">
        <ns0:v>W8-076-03</ns0:v>
      </ns0:c>
      <ns0:c r="D492" s="145" t="str">
        <ns0:v>普通盒</ns0:v>
      </ns0:c>
      <ns0:c r="E492" s="152" t="n">
        <ns0:v>1</ns0:v>
      </ns0:c>
      <ns0:c r="F492" s="152" t="n">
        <ns0:v>4</ns0:v>
      </ns0:c>
      <ns0:c r="G492" s="152" t="n">
        <ns0:v>1</ns0:v>
      </ns0:c>
      <ns0:c r="H492" s="152" t="n">
        <ns0:v>0</ns0:v>
      </ns0:c>
      <ns0:c r="I492" s="149" t="n">
        <ns0:f>E492*G492</ns0:f>
        <ns0:v>1</ns0:v>
      </ns0:c>
      <ns0:c r="J492" s="149" t="n">
        <ns0:f>E492*(F492-G492)</ns0:f>
        <ns0:v>3</ns0:v>
      </ns0:c>
      <ns0:c r="K492" s="149" t="n">
        <ns0:f>IF(AND(B492="开局",G492=0,OR(D492="普通盒",D492="单颗暂存盒")),J492,0)</ns0:f>
        <ns0:v>0</ns0:v>
      </ns0:c>
      <ns0:c r="L492" s="149" t="n">
        <ns0:f>IF(AND(B492="开局",G492&gt;0,OR(D492="普通盒",D492="底部置顶盒",D492="炸弹盒")),J492,0)</ns0:f>
        <ns0:v>3</ns0:v>
      </ns0:c>
      <ns0:c r="M492" s="149" t="n">
        <ns0:f>IF(AND(B492="开局",OR(D492="固定颜色盒",D492="单向收纳盒")),J492,0)</ns0:f>
        <ns0:v>0</ns0:v>
      </ns0:c>
      <ns0:c r="N492" s="149" t="n">
        <ns0:f>IF(AND(B492="开局",OR(D492="数字盖盒",D492="普通冰冻盒",D492="数字冰冻盒",D492="数字冰冻单颗暂存盒")),J492,0)</ns0:f>
        <ns0:v>0</ns0:v>
      </ns0:c>
      <ns0:c r="O492" s="145" t="str">
        <ns0:f>IF(AND(E492&gt;0,E492=INT(E492),G492&gt;=0,G492&lt;=F492,G492=INT(G492),OR(AND(F492=1,OR(D492="单颗暂存盒",D492="数字冰冻单颗暂存盒")),AND(F492=4,NOT(OR(D492="单颗暂存盒",D492="数字冰冻单颗暂存盒")))),IF(OR(D492="数字盖盒",D492="数字冰冻盒",D492="数字冰冻单颗暂存盒"),AND(H492&gt;=1,H492=INT(H492)),H492=0),IF(B492="开局",AND(IF(OR(D492="数字盖盒",D492="普通冰冻盒",D492="数字冰冻盒",D492="炸弹盒",D492="底部置顶盒"),OR(G492=3,G492=4),TRUE),IF(OR(D492="单向收纳盒",D492="单颗暂存盒",D492="数字冰冻单颗暂存盒"),OR(G492=0,G492=1),TRUE),IF(OR(D492="固定颜色盒",D492="广告锁定周转盒"),G492=0,TRUE)),TRUE)),"通过","需调整")</ns0:f>
        <ns0:v>通过</ns0:v>
      </ns0:c>
      <ns0:c r="P492" s="145" t="str">
        <ns0:v>普通盒</ns0:v>
      </ns0:c>
      <ns0:c r="Q492" s="145" t="str">
        <ns0:v>固定层序见本关首行</ns0:v>
      </ns0:c>
      <ns0:c r="R492" s="149" t="n">
        <ns0:f>E492*H492</ns0:f>
        <ns0:v>0</ns0:v>
      </ns0:c>
    </ns0:row>
    <ns0:row r="493" ht="21" customHeight="1">
      <ns0:c r="A493" s="150" t="n">
        <ns0:v>76</ns0:v>
      </ns0:c>
      <ns0:c r="B493" s="147" t="str">
        <ns0:v>开局</ns0:v>
      </ns0:c>
      <ns0:c r="C493" s="147" t="str">
        <ns0:v>W8-076-04</ns0:v>
      </ns0:c>
      <ns0:c r="D493" s="147" t="str">
        <ns0:v>普通盒</ns0:v>
      </ns0:c>
      <ns0:c r="E493" s="152" t="n">
        <ns0:v>1</ns0:v>
      </ns0:c>
      <ns0:c r="F493" s="152" t="n">
        <ns0:v>4</ns0:v>
      </ns0:c>
      <ns0:c r="G493" s="152" t="n">
        <ns0:v>0</ns0:v>
      </ns0:c>
      <ns0:c r="H493" s="152" t="n">
        <ns0:v>0</ns0:v>
      </ns0:c>
      <ns0:c r="I493" s="150" t="n">
        <ns0:f>E493*G493</ns0:f>
        <ns0:v>0</ns0:v>
      </ns0:c>
      <ns0:c r="J493" s="150" t="n">
        <ns0:f>E493*(F493-G493)</ns0:f>
        <ns0:v>4</ns0:v>
      </ns0:c>
      <ns0:c r="K493" s="150" t="n">
        <ns0:f>IF(AND(B493="开局",G493=0,OR(D493="普通盒",D493="单颗暂存盒")),J493,0)</ns0:f>
        <ns0:v>4</ns0:v>
      </ns0:c>
      <ns0:c r="L493" s="150" t="n">
        <ns0:f>IF(AND(B493="开局",G493&gt;0,OR(D493="普通盒",D493="底部置顶盒",D493="炸弹盒")),J493,0)</ns0:f>
        <ns0:v>0</ns0:v>
      </ns0:c>
      <ns0:c r="M493" s="150" t="n">
        <ns0:f>IF(AND(B493="开局",OR(D493="固定颜色盒",D493="单向收纳盒")),J493,0)</ns0:f>
        <ns0:v>0</ns0:v>
      </ns0:c>
      <ns0:c r="N493" s="150" t="n">
        <ns0:f>IF(AND(B493="开局",OR(D493="数字盖盒",D493="普通冰冻盒",D493="数字冰冻盒",D493="数字冰冻单颗暂存盒")),J493,0)</ns0:f>
        <ns0:v>0</ns0:v>
      </ns0:c>
      <ns0:c r="O493" s="147" t="str">
        <ns0:f>IF(AND(E493&gt;0,E493=INT(E493),G493&gt;=0,G493&lt;=F493,G493=INT(G493),OR(AND(F493=1,OR(D493="单颗暂存盒",D493="数字冰冻单颗暂存盒")),AND(F493=4,NOT(OR(D493="单颗暂存盒",D493="数字冰冻单颗暂存盒")))),IF(OR(D493="数字盖盒",D493="数字冰冻盒",D493="数字冰冻单颗暂存盒"),AND(H493&gt;=1,H493=INT(H493)),H493=0),IF(B493="开局",AND(IF(OR(D493="数字盖盒",D493="普通冰冻盒",D493="数字冰冻盒",D493="炸弹盒",D493="底部置顶盒"),OR(G493=3,G493=4),TRUE),IF(OR(D493="单向收纳盒",D493="单颗暂存盒",D493="数字冰冻单颗暂存盒"),OR(G493=0,G493=1),TRUE),IF(OR(D493="固定颜色盒",D493="广告锁定周转盒"),G493=0,TRUE)),TRUE)),"通过","需调整")</ns0:f>
        <ns0:v>通过</ns0:v>
      </ns0:c>
      <ns0:c r="P493" s="147" t="str">
        <ns0:v>普通盒</ns0:v>
      </ns0:c>
      <ns0:c r="Q493" s="147" t="str">
        <ns0:v>固定层序见本关首行</ns0:v>
      </ns0:c>
      <ns0:c r="R493" s="150" t="n">
        <ns0:f>E493*H493</ns0:f>
        <ns0:v>0</ns0:v>
      </ns0:c>
    </ns0:row>
    <ns0:row r="494" ht="21" customHeight="1">
      <ns0:c r="A494" s="149" t="n">
        <ns0:v>76</ns0:v>
      </ns0:c>
      <ns0:c r="B494" s="145" t="str">
        <ns0:v>开局</ns0:v>
      </ns0:c>
      <ns0:c r="C494" s="145" t="str">
        <ns0:v>W8-076-05</ns0:v>
      </ns0:c>
      <ns0:c r="D494" s="145" t="str">
        <ns0:v>底部置顶盒</ns0:v>
      </ns0:c>
      <ns0:c r="E494" s="152" t="n">
        <ns0:v>2</ns0:v>
      </ns0:c>
      <ns0:c r="F494" s="152" t="n">
        <ns0:v>4</ns0:v>
      </ns0:c>
      <ns0:c r="G494" s="152" t="n">
        <ns0:v>4</ns0:v>
      </ns0:c>
      <ns0:c r="H494" s="152" t="n">
        <ns0:v>0</ns0:v>
      </ns0:c>
      <ns0:c r="I494" s="149" t="n">
        <ns0:f>E494*G494</ns0:f>
        <ns0:v>8</ns0:v>
      </ns0:c>
      <ns0:c r="J494" s="149" t="n">
        <ns0:f>E494*(F494-G494)</ns0:f>
        <ns0:v>0</ns0:v>
      </ns0:c>
      <ns0:c r="K494" s="149" t="n">
        <ns0:f>IF(AND(B494="开局",G494=0,OR(D494="普通盒",D494="单颗暂存盒")),J494,0)</ns0:f>
        <ns0:v>0</ns0:v>
      </ns0:c>
      <ns0:c r="L494" s="149" t="n">
        <ns0:f>IF(AND(B494="开局",G494&gt;0,OR(D494="普通盒",D494="底部置顶盒",D494="炸弹盒")),J494,0)</ns0:f>
        <ns0:v>0</ns0:v>
      </ns0:c>
      <ns0:c r="M494" s="149" t="n">
        <ns0:f>IF(AND(B494="开局",OR(D494="固定颜色盒",D494="单向收纳盒")),J494,0)</ns0:f>
        <ns0:v>0</ns0:v>
      </ns0:c>
      <ns0:c r="N494" s="149" t="n">
        <ns0:f>IF(AND(B494="开局",OR(D494="数字盖盒",D494="普通冰冻盒",D494="数字冰冻盒",D494="数字冰冻单颗暂存盒")),J494,0)</ns0:f>
        <ns0:v>0</ns0:v>
      </ns0:c>
      <ns0:c r="O494" s="145" t="str">
        <ns0:f>IF(AND(E494&gt;0,E494=INT(E494),G494&gt;=0,G494&lt;=F494,G494=INT(G494),OR(AND(F494=1,OR(D494="单颗暂存盒",D494="数字冰冻单颗暂存盒")),AND(F494=4,NOT(OR(D494="单颗暂存盒",D494="数字冰冻单颗暂存盒")))),IF(OR(D494="数字盖盒",D494="数字冰冻盒",D494="数字冰冻单颗暂存盒"),AND(H494&gt;=1,H494=INT(H494)),H494=0),IF(B494="开局",AND(IF(OR(D494="数字盖盒",D494="普通冰冻盒",D494="数字冰冻盒",D494="炸弹盒",D494="底部置顶盒"),OR(G494=3,G494=4),TRUE),IF(OR(D494="单向收纳盒",D494="单颗暂存盒",D494="数字冰冻单颗暂存盒"),OR(G494=0,G494=1),TRUE),IF(OR(D494="固定颜色盒",D494="广告锁定周转盒"),G494=0,TRUE)),TRUE)),"通过","需调整")</ns0:f>
        <ns0:v>通过</ns0:v>
      </ns0:c>
      <ns0:c r="P494" s="145" t="str">
        <ns0:v>底部置顶盒</ns0:v>
      </ns0:c>
      <ns0:c r="Q494" s="145" t="str">
        <ns0:v>固定层序见本关首行</ns0:v>
      </ns0:c>
      <ns0:c r="R494" s="149" t="n">
        <ns0:f>E494*H494</ns0:f>
        <ns0:v>0</ns0:v>
      </ns0:c>
    </ns0:row>
    <ns0:row r="495" ht="21" customHeight="1">
      <ns0:c r="A495" s="150" t="n">
        <ns0:v>76</ns0:v>
      </ns0:c>
      <ns0:c r="B495" s="147" t="str">
        <ns0:v>开局</ns0:v>
      </ns0:c>
      <ns0:c r="C495" s="147" t="str">
        <ns0:v>W8-076-06</ns0:v>
      </ns0:c>
      <ns0:c r="D495" s="147" t="str">
        <ns0:v>数字盖盒</ns0:v>
      </ns0:c>
      <ns0:c r="E495" s="152" t="n">
        <ns0:v>1</ns0:v>
      </ns0:c>
      <ns0:c r="F495" s="152" t="n">
        <ns0:v>4</ns0:v>
      </ns0:c>
      <ns0:c r="G495" s="152" t="n">
        <ns0:v>4</ns0:v>
      </ns0:c>
      <ns0:c r="H495" s="152" t="n">
        <ns0:v>1</ns0:v>
      </ns0:c>
      <ns0:c r="I495" s="150" t="n">
        <ns0:f>E495*G495</ns0:f>
        <ns0:v>4</ns0:v>
      </ns0:c>
      <ns0:c r="J495" s="150" t="n">
        <ns0:f>E495*(F495-G495)</ns0:f>
        <ns0:v>0</ns0:v>
      </ns0:c>
      <ns0:c r="K495" s="150" t="n">
        <ns0:f>IF(AND(B495="开局",G495=0,OR(D495="普通盒",D495="单颗暂存盒")),J495,0)</ns0:f>
        <ns0:v>0</ns0:v>
      </ns0:c>
      <ns0:c r="L495" s="150" t="n">
        <ns0:f>IF(AND(B495="开局",G495&gt;0,OR(D495="普通盒",D495="底部置顶盒",D495="炸弹盒")),J495,0)</ns0:f>
        <ns0:v>0</ns0:v>
      </ns0:c>
      <ns0:c r="M495" s="150" t="n">
        <ns0:f>IF(AND(B495="开局",OR(D495="固定颜色盒",D495="单向收纳盒")),J495,0)</ns0:f>
        <ns0:v>0</ns0:v>
      </ns0:c>
      <ns0:c r="N495" s="150" t="n">
        <ns0:f>IF(AND(B495="开局",OR(D495="数字盖盒",D495="普通冰冻盒",D495="数字冰冻盒",D495="数字冰冻单颗暂存盒")),J495,0)</ns0:f>
        <ns0:v>0</ns0:v>
      </ns0:c>
      <ns0:c r="O495" s="147" t="str">
        <ns0:f>IF(AND(E495&gt;0,E495=INT(E495),G495&gt;=0,G495&lt;=F495,G495=INT(G495),OR(AND(F495=1,OR(D495="单颗暂存盒",D495="数字冰冻单颗暂存盒")),AND(F495=4,NOT(OR(D495="单颗暂存盒",D495="数字冰冻单颗暂存盒")))),IF(OR(D495="数字盖盒",D495="数字冰冻盒",D495="数字冰冻单颗暂存盒"),AND(H495&gt;=1,H495=INT(H495)),H495=0),IF(B495="开局",AND(IF(OR(D495="数字盖盒",D495="普通冰冻盒",D495="数字冰冻盒",D495="炸弹盒",D495="底部置顶盒"),OR(G495=3,G495=4),TRUE),IF(OR(D495="单向收纳盒",D495="单颗暂存盒",D495="数字冰冻单颗暂存盒"),OR(G495=0,G495=1),TRUE),IF(OR(D495="固定颜色盒",D495="广告锁定周转盒"),G495=0,TRUE)),TRUE)),"通过","需调整")</ns0:f>
        <ns0:v>通过</ns0:v>
      </ns0:c>
      <ns0:c r="P495" s="147" t="str">
        <ns0:v>数字盖盒</ns0:v>
      </ns0:c>
      <ns0:c r="Q495" s="147" t="str">
        <ns0:v>固定层序见本关首行</ns0:v>
      </ns0:c>
      <ns0:c r="R495" s="150" t="n">
        <ns0:f>E495*H495</ns0:f>
        <ns0:v>1</ns0:v>
      </ns0:c>
    </ns0:row>
    <ns0:row r="496" ht="21" customHeight="1">
      <ns0:c r="A496" s="149" t="n">
        <ns0:v>76</ns0:v>
      </ns0:c>
      <ns0:c r="B496" s="145" t="str">
        <ns0:v>开局</ns0:v>
      </ns0:c>
      <ns0:c r="C496" s="145" t="str">
        <ns0:v>W8-076-07</ns0:v>
      </ns0:c>
      <ns0:c r="D496" s="145" t="str">
        <ns0:v>广告锁定周转盒</ns0:v>
      </ns0:c>
      <ns0:c r="E496" s="152" t="n">
        <ns0:v>2</ns0:v>
      </ns0:c>
      <ns0:c r="F496" s="152" t="n">
        <ns0:v>4</ns0:v>
      </ns0:c>
      <ns0:c r="G496" s="152" t="n">
        <ns0:v>0</ns0:v>
      </ns0:c>
      <ns0:c r="H496" s="152" t="n">
        <ns0:v>0</ns0:v>
      </ns0:c>
      <ns0:c r="I496" s="149" t="n">
        <ns0:f>E496*G496</ns0:f>
        <ns0:v>0</ns0:v>
      </ns0:c>
      <ns0:c r="J496" s="149" t="n">
        <ns0:f>E496*(F496-G496)</ns0:f>
        <ns0:v>8</ns0:v>
      </ns0:c>
      <ns0:c r="K496" s="149" t="n">
        <ns0:f>IF(AND(B496="开局",G496=0,OR(D496="普通盒",D496="单颗暂存盒")),J496,0)</ns0:f>
        <ns0:v>0</ns0:v>
      </ns0:c>
      <ns0:c r="L496" s="149" t="n">
        <ns0:f>IF(AND(B496="开局",G496&gt;0,OR(D496="普通盒",D496="底部置顶盒",D496="炸弹盒")),J496,0)</ns0:f>
        <ns0:v>0</ns0:v>
      </ns0:c>
      <ns0:c r="M496" s="149" t="n">
        <ns0:f>IF(AND(B496="开局",OR(D496="固定颜色盒",D496="单向收纳盒")),J496,0)</ns0:f>
        <ns0:v>0</ns0:v>
      </ns0:c>
      <ns0:c r="N496" s="149" t="n">
        <ns0:f>IF(AND(B496="开局",OR(D496="数字盖盒",D496="普通冰冻盒",D496="数字冰冻盒",D496="数字冰冻单颗暂存盒")),J496,0)</ns0:f>
        <ns0:v>0</ns0:v>
      </ns0:c>
      <ns0:c r="O496" s="145" t="str">
        <ns0:f>IF(AND(E496&gt;0,E496=INT(E496),G496&gt;=0,G496&lt;=F496,G496=INT(G496),OR(AND(F496=1,OR(D496="单颗暂存盒",D496="数字冰冻单颗暂存盒")),AND(F496=4,NOT(OR(D496="单颗暂存盒",D496="数字冰冻单颗暂存盒")))),IF(OR(D496="数字盖盒",D496="数字冰冻盒",D496="数字冰冻单颗暂存盒"),AND(H496&gt;=1,H496=INT(H496)),H496=0),IF(B496="开局",AND(IF(OR(D496="数字盖盒",D496="普通冰冻盒",D496="数字冰冻盒",D496="炸弹盒",D496="底部置顶盒"),OR(G496=3,G496=4),TRUE),IF(OR(D496="单向收纳盒",D496="单颗暂存盒",D496="数字冰冻单颗暂存盒"),OR(G496=0,G496=1),TRUE),IF(OR(D496="固定颜色盒",D496="广告锁定周转盒"),G496=0,TRUE)),TRUE)),"通过","需调整")</ns0:f>
        <ns0:v>通过</ns0:v>
      </ns0:c>
      <ns0:c r="P496" s="145" t="str">
        <ns0:v>双广告锁位</ns0:v>
      </ns0:c>
      <ns0:c r="Q496" s="145" t="str">
        <ns0:v>固定层序见本关首行</ns0:v>
      </ns0:c>
      <ns0:c r="R496" s="149" t="n">
        <ns0:f>E496*H496</ns0:f>
        <ns0:v>0</ns0:v>
      </ns0:c>
    </ns0:row>
    <ns0:row r="497" ht="21" customHeight="1">
      <ns0:c r="A497" s="150" t="n">
        <ns0:v>76</ns0:v>
      </ns0:c>
      <ns0:c r="B497" s="147" t="str">
        <ns0:v>备货</ns0:v>
      </ns0:c>
      <ns0:c r="C497" s="147" t="str">
        <ns0:v>W8-076-08</ns0:v>
      </ns0:c>
      <ns0:c r="D497" s="147" t="str">
        <ns0:v>普通盒</ns0:v>
      </ns0:c>
      <ns0:c r="E497" s="152" t="n">
        <ns0:v>2</ns0:v>
      </ns0:c>
      <ns0:c r="F497" s="152" t="n">
        <ns0:v>4</ns0:v>
      </ns0:c>
      <ns0:c r="G497" s="152" t="n">
        <ns0:v>4</ns0:v>
      </ns0:c>
      <ns0:c r="H497" s="152" t="n">
        <ns0:v>0</ns0:v>
      </ns0:c>
      <ns0:c r="I497" s="150" t="n">
        <ns0:f>E497*G497</ns0:f>
        <ns0:v>8</ns0:v>
      </ns0:c>
      <ns0:c r="J497" s="150" t="n">
        <ns0:f>E497*(F497-G497)</ns0:f>
        <ns0:v>0</ns0:v>
      </ns0:c>
      <ns0:c r="K497" s="150" t="n">
        <ns0:f>IF(AND(B497="开局",G497=0,OR(D497="普通盒",D497="单颗暂存盒")),J497,0)</ns0:f>
        <ns0:v>0</ns0:v>
      </ns0:c>
      <ns0:c r="L497" s="150" t="n">
        <ns0:f>IF(AND(B497="开局",G497&gt;0,OR(D497="普通盒",D497="底部置顶盒",D497="炸弹盒")),J497,0)</ns0:f>
        <ns0:v>0</ns0:v>
      </ns0:c>
      <ns0:c r="M497" s="150" t="n">
        <ns0:f>IF(AND(B497="开局",OR(D497="固定颜色盒",D497="单向收纳盒")),J497,0)</ns0:f>
        <ns0:v>0</ns0:v>
      </ns0:c>
      <ns0:c r="N497" s="150" t="n">
        <ns0:f>IF(AND(B497="开局",OR(D497="数字盖盒",D497="普通冰冻盒",D497="数字冰冻盒",D497="数字冰冻单颗暂存盒")),J497,0)</ns0:f>
        <ns0:v>0</ns0:v>
      </ns0:c>
      <ns0:c r="O497" s="147" t="str">
        <ns0:f>IF(AND(E497&gt;0,E497=INT(E497),G497&gt;=0,G497&lt;=F497,G497=INT(G497),OR(AND(F497=1,OR(D497="单颗暂存盒",D497="数字冰冻单颗暂存盒")),AND(F497=4,NOT(OR(D497="单颗暂存盒",D497="数字冰冻单颗暂存盒")))),IF(OR(D497="数字盖盒",D497="数字冰冻盒",D497="数字冰冻单颗暂存盒"),AND(H497&gt;=1,H497=INT(H497)),H497=0),IF(B497="开局",AND(IF(OR(D497="数字盖盒",D497="普通冰冻盒",D497="数字冰冻盒",D497="炸弹盒",D497="底部置顶盒"),OR(G497=3,G497=4),TRUE),IF(OR(D497="单向收纳盒",D497="单颗暂存盒",D497="数字冰冻单颗暂存盒"),OR(G497=0,G497=1),TRUE),IF(OR(D497="固定颜色盒",D497="广告锁定周转盒"),G497=0,TRUE)),TRUE)),"通过","需调整")</ns0:f>
        <ns0:v>通过</ns0:v>
      </ns0:c>
      <ns0:c r="P497" s="147" t="str">
        <ns0:v>连续侧边补货</ns0:v>
      </ns0:c>
      <ns0:c r="Q497" s="147" t="str">
        <ns0:v>固定层序见本关首行</ns0:v>
      </ns0:c>
      <ns0:c r="R497" s="150" t="n">
        <ns0:f>E497*H497</ns0:f>
        <ns0:v>0</ns0:v>
      </ns0:c>
    </ns0:row>
    <ns0:row r="498" ht="21" customHeight="1">
      <ns0:c r="A498" s="149" t="n">
        <ns0:v>77</ns0:v>
      </ns0:c>
      <ns0:c r="B498" s="145" t="str">
        <ns0:v>开局</ns0:v>
      </ns0:c>
      <ns0:c r="C498" s="145" t="str">
        <ns0:v>W8-077-01</ns0:v>
      </ns0:c>
      <ns0:c r="D498" s="145" t="str">
        <ns0:v>普通盒</ns0:v>
      </ns0:c>
      <ns0:c r="E498" s="152" t="n">
        <ns0:v>12</ns0:v>
      </ns0:c>
      <ns0:c r="F498" s="152" t="n">
        <ns0:v>4</ns0:v>
      </ns0:c>
      <ns0:c r="G498" s="152" t="n">
        <ns0:v>4</ns0:v>
      </ns0:c>
      <ns0:c r="H498" s="152" t="n">
        <ns0:v>0</ns0:v>
      </ns0:c>
      <ns0:c r="I498" s="149" t="n">
        <ns0:f>E498*G498</ns0:f>
        <ns0:v>48</ns0:v>
      </ns0:c>
      <ns0:c r="J498" s="149" t="n">
        <ns0:f>E498*(F498-G498)</ns0:f>
        <ns0:v>0</ns0:v>
      </ns0:c>
      <ns0:c r="K498" s="149" t="n">
        <ns0:f>IF(AND(B498="开局",G498=0,OR(D498="普通盒",D498="单颗暂存盒")),J498,0)</ns0:f>
        <ns0:v>0</ns0:v>
      </ns0:c>
      <ns0:c r="L498" s="149" t="n">
        <ns0:f>IF(AND(B498="开局",G498&gt;0,OR(D498="普通盒",D498="底部置顶盒",D498="炸弹盒")),J498,0)</ns0:f>
        <ns0:v>0</ns0:v>
      </ns0:c>
      <ns0:c r="M498" s="149" t="n">
        <ns0:f>IF(AND(B498="开局",OR(D498="固定颜色盒",D498="单向收纳盒")),J498,0)</ns0:f>
        <ns0:v>0</ns0:v>
      </ns0:c>
      <ns0:c r="N498" s="149" t="n">
        <ns0:f>IF(AND(B498="开局",OR(D498="数字盖盒",D498="普通冰冻盒",D498="数字冰冻盒",D498="数字冰冻单颗暂存盒")),J498,0)</ns0:f>
        <ns0:v>0</ns0:v>
      </ns0:c>
      <ns0:c r="O498" s="145" t="str">
        <ns0:f>IF(AND(E498&gt;0,E498=INT(E498),G498&gt;=0,G498&lt;=F498,G498=INT(G498),OR(AND(F498=1,OR(D498="单颗暂存盒",D498="数字冰冻单颗暂存盒")),AND(F498=4,NOT(OR(D498="单颗暂存盒",D498="数字冰冻单颗暂存盒")))),IF(OR(D498="数字盖盒",D498="数字冰冻盒",D498="数字冰冻单颗暂存盒"),AND(H498&gt;=1,H498=INT(H498)),H498=0),IF(B498="开局",AND(IF(OR(D498="数字盖盒",D498="普通冰冻盒",D498="数字冰冻盒",D498="炸弹盒",D498="底部置顶盒"),OR(G498=3,G498=4),TRUE),IF(OR(D498="单向收纳盒",D498="单颗暂存盒",D498="数字冰冻单颗暂存盒"),OR(G498=0,G498=1),TRUE),IF(OR(D498="固定颜色盒",D498="广告锁定周转盒"),G498=0,TRUE)),TRUE)),"通过","需调整")</ns0:f>
        <ns0:v>通过</ns0:v>
      </ns0:c>
      <ns0:c r="P498" s="145" t="str">
        <ns0:v>普通盒</ns0:v>
      </ns0:c>
      <ns0:c r="Q498" s="145" t="str">
        <ns0:v>层序JSON:{"reference":"2026-10-12 第71至80关续接设计；自主层序、双循环分工与组合机关波动","slots":[{"group_id":"W8-077-01","layers":[12,3,0,2]},{"group_id":"W8-077-01","layers":[8,3,5,8]},{"group_id":"W8-077-03","layers":[3,4]},{"group_id":"W8-077-01","layers":[0,5,5,12]},{"group_id":"W8-077-01","layers":[4,5,0,3]},{"group_id":"W8-077-01","layers":[2,6,5,5]},{"group_id":"W8-077-05","layers":[2,4,3,6]},{"group_id":"W8-077-01","layers":[8,6,6,2]},{"group_id":"W8-077-02","layers":[8,0,12]},{"group_id":"W8-077-01","layers":[3,8,8,2]},{"group_id":"W8-077-01","layers":[6,4,2,2]},{"group_id":"W8-077-01","layers":[3,6,5,3]},{"group_id":"W8-077-01","layers":[0,2,4,0]},{"group_id":"W8-077-02","layers":[6,4,4]},{"group_id":"W8-077-01","layers":[6,12,5,0]},{"group_id":"W8-077-01","layers":[0,4,8,8]},{"group_id":"W8-077-06","layers":[]},{"group_id":"W8-077-04","layers":[]}],"stock":[],"demand_sequences":[[8,2,8,0,2,6,5,0],[5,3,4,6,12,4,3]]}</ns0:v>
      </ns0:c>
      <ns0:c r="R498" s="149" t="n">
        <ns0:f>E498*H498</ns0:f>
        <ns0:v>0</ns0:v>
      </ns0:c>
    </ns0:row>
    <ns0:row r="499" ht="21" customHeight="1">
      <ns0:c r="A499" s="150" t="n">
        <ns0:v>77</ns0:v>
      </ns0:c>
      <ns0:c r="B499" s="147" t="str">
        <ns0:v>开局</ns0:v>
      </ns0:c>
      <ns0:c r="C499" s="147" t="str">
        <ns0:v>W8-077-02</ns0:v>
      </ns0:c>
      <ns0:c r="D499" s="147" t="str">
        <ns0:v>普通盒</ns0:v>
      </ns0:c>
      <ns0:c r="E499" s="152" t="n">
        <ns0:v>2</ns0:v>
      </ns0:c>
      <ns0:c r="F499" s="152" t="n">
        <ns0:v>4</ns0:v>
      </ns0:c>
      <ns0:c r="G499" s="152" t="n">
        <ns0:v>3</ns0:v>
      </ns0:c>
      <ns0:c r="H499" s="152" t="n">
        <ns0:v>0</ns0:v>
      </ns0:c>
      <ns0:c r="I499" s="150" t="n">
        <ns0:f>E499*G499</ns0:f>
        <ns0:v>6</ns0:v>
      </ns0:c>
      <ns0:c r="J499" s="150" t="n">
        <ns0:f>E499*(F499-G499)</ns0:f>
        <ns0:v>2</ns0:v>
      </ns0:c>
      <ns0:c r="K499" s="150" t="n">
        <ns0:f>IF(AND(B499="开局",G499=0,OR(D499="普通盒",D499="单颗暂存盒")),J499,0)</ns0:f>
        <ns0:v>0</ns0:v>
      </ns0:c>
      <ns0:c r="L499" s="150" t="n">
        <ns0:f>IF(AND(B499="开局",G499&gt;0,OR(D499="普通盒",D499="底部置顶盒",D499="炸弹盒")),J499,0)</ns0:f>
        <ns0:v>2</ns0:v>
      </ns0:c>
      <ns0:c r="M499" s="150" t="n">
        <ns0:f>IF(AND(B499="开局",OR(D499="固定颜色盒",D499="单向收纳盒")),J499,0)</ns0:f>
        <ns0:v>0</ns0:v>
      </ns0:c>
      <ns0:c r="N499" s="150" t="n">
        <ns0:f>IF(AND(B499="开局",OR(D499="数字盖盒",D499="普通冰冻盒",D499="数字冰冻盒",D499="数字冰冻单颗暂存盒")),J499,0)</ns0:f>
        <ns0:v>0</ns0:v>
      </ns0:c>
      <ns0:c r="O499" s="147" t="str">
        <ns0:f>IF(AND(E499&gt;0,E499=INT(E499),G499&gt;=0,G499&lt;=F499,G499=INT(G499),OR(AND(F499=1,OR(D499="单颗暂存盒",D499="数字冰冻单颗暂存盒")),AND(F499=4,NOT(OR(D499="单颗暂存盒",D499="数字冰冻单颗暂存盒")))),IF(OR(D499="数字盖盒",D499="数字冰冻盒",D499="数字冰冻单颗暂存盒"),AND(H499&gt;=1,H499=INT(H499)),H499=0),IF(B499="开局",AND(IF(OR(D499="数字盖盒",D499="普通冰冻盒",D499="数字冰冻盒",D499="炸弹盒",D499="底部置顶盒"),OR(G499=3,G499=4),TRUE),IF(OR(D499="单向收纳盒",D499="单颗暂存盒",D499="数字冰冻单颗暂存盒"),OR(G499=0,G499=1),TRUE),IF(OR(D499="固定颜色盒",D499="广告锁定周转盒"),G499=0,TRUE)),TRUE)),"通过","需调整")</ns0:f>
        <ns0:v>通过</ns0:v>
      </ns0:c>
      <ns0:c r="P499" s="147" t="str">
        <ns0:v>普通盒</ns0:v>
      </ns0:c>
      <ns0:c r="Q499" s="147" t="str">
        <ns0:v>固定层序见本关首行</ns0:v>
      </ns0:c>
      <ns0:c r="R499" s="150" t="n">
        <ns0:f>E499*H499</ns0:f>
        <ns0:v>0</ns0:v>
      </ns0:c>
    </ns0:row>
    <ns0:row r="500" ht="21" customHeight="1">
      <ns0:c r="A500" s="149" t="n">
        <ns0:v>77</ns0:v>
      </ns0:c>
      <ns0:c r="B500" s="145" t="str">
        <ns0:v>开局</ns0:v>
      </ns0:c>
      <ns0:c r="C500" s="145" t="str">
        <ns0:v>W8-077-03</ns0:v>
      </ns0:c>
      <ns0:c r="D500" s="145" t="str">
        <ns0:v>普通盒</ns0:v>
      </ns0:c>
      <ns0:c r="E500" s="152" t="n">
        <ns0:v>1</ns0:v>
      </ns0:c>
      <ns0:c r="F500" s="152" t="n">
        <ns0:v>4</ns0:v>
      </ns0:c>
      <ns0:c r="G500" s="152" t="n">
        <ns0:v>2</ns0:v>
      </ns0:c>
      <ns0:c r="H500" s="152" t="n">
        <ns0:v>0</ns0:v>
      </ns0:c>
      <ns0:c r="I500" s="149" t="n">
        <ns0:f>E500*G500</ns0:f>
        <ns0:v>2</ns0:v>
      </ns0:c>
      <ns0:c r="J500" s="149" t="n">
        <ns0:f>E500*(F500-G500)</ns0:f>
        <ns0:v>2</ns0:v>
      </ns0:c>
      <ns0:c r="K500" s="149" t="n">
        <ns0:f>IF(AND(B500="开局",G500=0,OR(D500="普通盒",D500="单颗暂存盒")),J500,0)</ns0:f>
        <ns0:v>0</ns0:v>
      </ns0:c>
      <ns0:c r="L500" s="149" t="n">
        <ns0:f>IF(AND(B500="开局",G500&gt;0,OR(D500="普通盒",D500="底部置顶盒",D500="炸弹盒")),J500,0)</ns0:f>
        <ns0:v>2</ns0:v>
      </ns0:c>
      <ns0:c r="M500" s="149" t="n">
        <ns0:f>IF(AND(B500="开局",OR(D500="固定颜色盒",D500="单向收纳盒")),J500,0)</ns0:f>
        <ns0:v>0</ns0:v>
      </ns0:c>
      <ns0:c r="N500" s="149" t="n">
        <ns0:f>IF(AND(B500="开局",OR(D500="数字盖盒",D500="普通冰冻盒",D500="数字冰冻盒",D500="数字冰冻单颗暂存盒")),J500,0)</ns0:f>
        <ns0:v>0</ns0:v>
      </ns0:c>
      <ns0:c r="O500" s="145" t="str">
        <ns0:f>IF(AND(E500&gt;0,E500=INT(E500),G500&gt;=0,G500&lt;=F500,G500=INT(G500),OR(AND(F500=1,OR(D500="单颗暂存盒",D500="数字冰冻单颗暂存盒")),AND(F500=4,NOT(OR(D500="单颗暂存盒",D500="数字冰冻单颗暂存盒")))),IF(OR(D500="数字盖盒",D500="数字冰冻盒",D500="数字冰冻单颗暂存盒"),AND(H500&gt;=1,H500=INT(H500)),H500=0),IF(B500="开局",AND(IF(OR(D500="数字盖盒",D500="普通冰冻盒",D500="数字冰冻盒",D500="炸弹盒",D500="底部置顶盒"),OR(G500=3,G500=4),TRUE),IF(OR(D500="单向收纳盒",D500="单颗暂存盒",D500="数字冰冻单颗暂存盒"),OR(G500=0,G500=1),TRUE),IF(OR(D500="固定颜色盒",D500="广告锁定周转盒"),G500=0,TRUE)),TRUE)),"通过","需调整")</ns0:f>
        <ns0:v>通过</ns0:v>
      </ns0:c>
      <ns0:c r="P500" s="145" t="str">
        <ns0:v>普通盒</ns0:v>
      </ns0:c>
      <ns0:c r="Q500" s="145" t="str">
        <ns0:v>固定层序见本关首行</ns0:v>
      </ns0:c>
      <ns0:c r="R500" s="149" t="n">
        <ns0:f>E500*H500</ns0:f>
        <ns0:v>0</ns0:v>
      </ns0:c>
    </ns0:row>
    <ns0:row r="501" ht="21" customHeight="1">
      <ns0:c r="A501" s="150" t="n">
        <ns0:v>77</ns0:v>
      </ns0:c>
      <ns0:c r="B501" s="147" t="str">
        <ns0:v>开局</ns0:v>
      </ns0:c>
      <ns0:c r="C501" s="147" t="str">
        <ns0:v>W8-077-04</ns0:v>
      </ns0:c>
      <ns0:c r="D501" s="147" t="str">
        <ns0:v>普通盒</ns0:v>
      </ns0:c>
      <ns0:c r="E501" s="152" t="n">
        <ns0:v>1</ns0:v>
      </ns0:c>
      <ns0:c r="F501" s="152" t="n">
        <ns0:v>4</ns0:v>
      </ns0:c>
      <ns0:c r="G501" s="152" t="n">
        <ns0:v>0</ns0:v>
      </ns0:c>
      <ns0:c r="H501" s="152" t="n">
        <ns0:v>0</ns0:v>
      </ns0:c>
      <ns0:c r="I501" s="150" t="n">
        <ns0:f>E501*G501</ns0:f>
        <ns0:v>0</ns0:v>
      </ns0:c>
      <ns0:c r="J501" s="150" t="n">
        <ns0:f>E501*(F501-G501)</ns0:f>
        <ns0:v>4</ns0:v>
      </ns0:c>
      <ns0:c r="K501" s="150" t="n">
        <ns0:f>IF(AND(B501="开局",G501=0,OR(D501="普通盒",D501="单颗暂存盒")),J501,0)</ns0:f>
        <ns0:v>4</ns0:v>
      </ns0:c>
      <ns0:c r="L501" s="150" t="n">
        <ns0:f>IF(AND(B501="开局",G501&gt;0,OR(D501="普通盒",D501="底部置顶盒",D501="炸弹盒")),J501,0)</ns0:f>
        <ns0:v>0</ns0:v>
      </ns0:c>
      <ns0:c r="M501" s="150" t="n">
        <ns0:f>IF(AND(B501="开局",OR(D501="固定颜色盒",D501="单向收纳盒")),J501,0)</ns0:f>
        <ns0:v>0</ns0:v>
      </ns0:c>
      <ns0:c r="N501" s="150" t="n">
        <ns0:f>IF(AND(B501="开局",OR(D501="数字盖盒",D501="普通冰冻盒",D501="数字冰冻盒",D501="数字冰冻单颗暂存盒")),J501,0)</ns0:f>
        <ns0:v>0</ns0:v>
      </ns0:c>
      <ns0:c r="O501" s="147" t="str">
        <ns0:f>IF(AND(E501&gt;0,E501=INT(E501),G501&gt;=0,G501&lt;=F501,G501=INT(G501),OR(AND(F501=1,OR(D501="单颗暂存盒",D501="数字冰冻单颗暂存盒")),AND(F501=4,NOT(OR(D501="单颗暂存盒",D501="数字冰冻单颗暂存盒")))),IF(OR(D501="数字盖盒",D501="数字冰冻盒",D501="数字冰冻单颗暂存盒"),AND(H501&gt;=1,H501=INT(H501)),H501=0),IF(B501="开局",AND(IF(OR(D501="数字盖盒",D501="普通冰冻盒",D501="数字冰冻盒",D501="炸弹盒",D501="底部置顶盒"),OR(G501=3,G501=4),TRUE),IF(OR(D501="单向收纳盒",D501="单颗暂存盒",D501="数字冰冻单颗暂存盒"),OR(G501=0,G501=1),TRUE),IF(OR(D501="固定颜色盒",D501="广告锁定周转盒"),G501=0,TRUE)),TRUE)),"通过","需调整")</ns0:f>
        <ns0:v>通过</ns0:v>
      </ns0:c>
      <ns0:c r="P501" s="147" t="str">
        <ns0:v>普通盒</ns0:v>
      </ns0:c>
      <ns0:c r="Q501" s="147" t="str">
        <ns0:v>固定层序见本关首行</ns0:v>
      </ns0:c>
      <ns0:c r="R501" s="150" t="n">
        <ns0:f>E501*H501</ns0:f>
        <ns0:v>0</ns0:v>
      </ns0:c>
    </ns0:row>
    <ns0:row r="502" ht="21" customHeight="1">
      <ns0:c r="A502" s="149" t="n">
        <ns0:v>77</ns0:v>
      </ns0:c>
      <ns0:c r="B502" s="145" t="str">
        <ns0:v>开局</ns0:v>
      </ns0:c>
      <ns0:c r="C502" s="145" t="str">
        <ns0:v>W8-077-05</ns0:v>
      </ns0:c>
      <ns0:c r="D502" s="145" t="str">
        <ns0:v>普通冰冻盒</ns0:v>
      </ns0:c>
      <ns0:c r="E502" s="152" t="n">
        <ns0:v>1</ns0:v>
      </ns0:c>
      <ns0:c r="F502" s="152" t="n">
        <ns0:v>4</ns0:v>
      </ns0:c>
      <ns0:c r="G502" s="152" t="n">
        <ns0:v>4</ns0:v>
      </ns0:c>
      <ns0:c r="H502" s="152" t="n">
        <ns0:v>0</ns0:v>
      </ns0:c>
      <ns0:c r="I502" s="149" t="n">
        <ns0:f>E502*G502</ns0:f>
        <ns0:v>4</ns0:v>
      </ns0:c>
      <ns0:c r="J502" s="149" t="n">
        <ns0:f>E502*(F502-G502)</ns0:f>
        <ns0:v>0</ns0:v>
      </ns0:c>
      <ns0:c r="K502" s="149" t="n">
        <ns0:f>IF(AND(B502="开局",G502=0,OR(D502="普通盒",D502="单颗暂存盒")),J502,0)</ns0:f>
        <ns0:v>0</ns0:v>
      </ns0:c>
      <ns0:c r="L502" s="149" t="n">
        <ns0:f>IF(AND(B502="开局",G502&gt;0,OR(D502="普通盒",D502="底部置顶盒",D502="炸弹盒")),J502,0)</ns0:f>
        <ns0:v>0</ns0:v>
      </ns0:c>
      <ns0:c r="M502" s="149" t="n">
        <ns0:f>IF(AND(B502="开局",OR(D502="固定颜色盒",D502="单向收纳盒")),J502,0)</ns0:f>
        <ns0:v>0</ns0:v>
      </ns0:c>
      <ns0:c r="N502" s="149" t="n">
        <ns0:f>IF(AND(B502="开局",OR(D502="数字盖盒",D502="普通冰冻盒",D502="数字冰冻盒",D502="数字冰冻单颗暂存盒")),J502,0)</ns0:f>
        <ns0:v>0</ns0:v>
      </ns0:c>
      <ns0:c r="O502" s="145" t="str">
        <ns0:f>IF(AND(E502&gt;0,E502=INT(E502),G502&gt;=0,G502&lt;=F502,G502=INT(G502),OR(AND(F502=1,OR(D502="单颗暂存盒",D502="数字冰冻单颗暂存盒")),AND(F502=4,NOT(OR(D502="单颗暂存盒",D502="数字冰冻单颗暂存盒")))),IF(OR(D502="数字盖盒",D502="数字冰冻盒",D502="数字冰冻单颗暂存盒"),AND(H502&gt;=1,H502=INT(H502)),H502=0),IF(B502="开局",AND(IF(OR(D502="数字盖盒",D502="普通冰冻盒",D502="数字冰冻盒",D502="炸弹盒",D502="底部置顶盒"),OR(G502=3,G502=4),TRUE),IF(OR(D502="单向收纳盒",D502="单颗暂存盒",D502="数字冰冻单颗暂存盒"),OR(G502=0,G502=1),TRUE),IF(OR(D502="固定颜色盒",D502="广告锁定周转盒"),G502=0,TRUE)),TRUE)),"通过","需调整")</ns0:f>
        <ns0:v>通过</ns0:v>
      </ns0:c>
      <ns0:c r="P502" s="145" t="str">
        <ns0:v>普通冰冻盒</ns0:v>
      </ns0:c>
      <ns0:c r="Q502" s="145" t="str">
        <ns0:v>固定层序见本关首行</ns0:v>
      </ns0:c>
      <ns0:c r="R502" s="149" t="n">
        <ns0:f>E502*H502</ns0:f>
        <ns0:v>0</ns0:v>
      </ns0:c>
    </ns0:row>
    <ns0:row r="503" ht="21" customHeight="1">
      <ns0:c r="A503" s="150" t="n">
        <ns0:v>77</ns0:v>
      </ns0:c>
      <ns0:c r="B503" s="147" t="str">
        <ns0:v>开局</ns0:v>
      </ns0:c>
      <ns0:c r="C503" s="147" t="str">
        <ns0:v>W8-077-06</ns0:v>
      </ns0:c>
      <ns0:c r="D503" s="147" t="str">
        <ns0:v>单颗暂存盒</ns0:v>
      </ns0:c>
      <ns0:c r="E503" s="152" t="n">
        <ns0:v>1</ns0:v>
      </ns0:c>
      <ns0:c r="F503" s="152" t="n">
        <ns0:v>1</ns0:v>
      </ns0:c>
      <ns0:c r="G503" s="152" t="n">
        <ns0:v>0</ns0:v>
      </ns0:c>
      <ns0:c r="H503" s="152" t="n">
        <ns0:v>0</ns0:v>
      </ns0:c>
      <ns0:c r="I503" s="150" t="n">
        <ns0:f>E503*G503</ns0:f>
        <ns0:v>0</ns0:v>
      </ns0:c>
      <ns0:c r="J503" s="150" t="n">
        <ns0:f>E503*(F503-G503)</ns0:f>
        <ns0:v>1</ns0:v>
      </ns0:c>
      <ns0:c r="K503" s="150" t="n">
        <ns0:f>IF(AND(B503="开局",G503=0,OR(D503="普通盒",D503="单颗暂存盒")),J503,0)</ns0:f>
        <ns0:v>1</ns0:v>
      </ns0:c>
      <ns0:c r="L503" s="150" t="n">
        <ns0:f>IF(AND(B503="开局",G503&gt;0,OR(D503="普通盒",D503="底部置顶盒",D503="炸弹盒")),J503,0)</ns0:f>
        <ns0:v>0</ns0:v>
      </ns0:c>
      <ns0:c r="M503" s="150" t="n">
        <ns0:f>IF(AND(B503="开局",OR(D503="固定颜色盒",D503="单向收纳盒")),J503,0)</ns0:f>
        <ns0:v>0</ns0:v>
      </ns0:c>
      <ns0:c r="N503" s="150" t="n">
        <ns0:f>IF(AND(B503="开局",OR(D503="数字盖盒",D503="普通冰冻盒",D503="数字冰冻盒",D503="数字冰冻单颗暂存盒")),J503,0)</ns0:f>
        <ns0:v>0</ns0:v>
      </ns0:c>
      <ns0:c r="O503" s="147" t="str">
        <ns0:f>IF(AND(E503&gt;0,E503=INT(E503),G503&gt;=0,G503&lt;=F503,G503=INT(G503),OR(AND(F503=1,OR(D503="单颗暂存盒",D503="数字冰冻单颗暂存盒")),AND(F503=4,NOT(OR(D503="单颗暂存盒",D503="数字冰冻单颗暂存盒")))),IF(OR(D503="数字盖盒",D503="数字冰冻盒",D503="数字冰冻单颗暂存盒"),AND(H503&gt;=1,H503=INT(H503)),H503=0),IF(B503="开局",AND(IF(OR(D503="数字盖盒",D503="普通冰冻盒",D503="数字冰冻盒",D503="炸弹盒",D503="底部置顶盒"),OR(G503=3,G503=4),TRUE),IF(OR(D503="单向收纳盒",D503="单颗暂存盒",D503="数字冰冻单颗暂存盒"),OR(G503=0,G503=1),TRUE),IF(OR(D503="固定颜色盒",D503="广告锁定周转盒"),G503=0,TRUE)),TRUE)),"通过","需调整")</ns0:f>
        <ns0:v>通过</ns0:v>
      </ns0:c>
      <ns0:c r="P503" s="147" t="str">
        <ns0:v>单颗暂存盒</ns0:v>
      </ns0:c>
      <ns0:c r="Q503" s="147" t="str">
        <ns0:v>固定层序见本关首行</ns0:v>
      </ns0:c>
      <ns0:c r="R503" s="150" t="n">
        <ns0:f>E503*H503</ns0:f>
        <ns0:v>0</ns0:v>
      </ns0:c>
    </ns0:row>
    <ns0:row r="504" ht="21" customHeight="1">
      <ns0:c r="A504" s="149" t="n">
        <ns0:v>77</ns0:v>
      </ns0:c>
      <ns0:c r="B504" s="145" t="str">
        <ns0:v>开局</ns0:v>
      </ns0:c>
      <ns0:c r="C504" s="145" t="str">
        <ns0:v>W8-077-07</ns0:v>
      </ns0:c>
      <ns0:c r="D504" s="145" t="str">
        <ns0:v>广告锁定周转盒</ns0:v>
      </ns0:c>
      <ns0:c r="E504" s="152" t="n">
        <ns0:v>2</ns0:v>
      </ns0:c>
      <ns0:c r="F504" s="152" t="n">
        <ns0:v>4</ns0:v>
      </ns0:c>
      <ns0:c r="G504" s="152" t="n">
        <ns0:v>0</ns0:v>
      </ns0:c>
      <ns0:c r="H504" s="152" t="n">
        <ns0:v>0</ns0:v>
      </ns0:c>
      <ns0:c r="I504" s="149" t="n">
        <ns0:f>E504*G504</ns0:f>
        <ns0:v>0</ns0:v>
      </ns0:c>
      <ns0:c r="J504" s="149" t="n">
        <ns0:f>E504*(F504-G504)</ns0:f>
        <ns0:v>8</ns0:v>
      </ns0:c>
      <ns0:c r="K504" s="149" t="n">
        <ns0:f>IF(AND(B504="开局",G504=0,OR(D504="普通盒",D504="单颗暂存盒")),J504,0)</ns0:f>
        <ns0:v>0</ns0:v>
      </ns0:c>
      <ns0:c r="L504" s="149" t="n">
        <ns0:f>IF(AND(B504="开局",G504&gt;0,OR(D504="普通盒",D504="底部置顶盒",D504="炸弹盒")),J504,0)</ns0:f>
        <ns0:v>0</ns0:v>
      </ns0:c>
      <ns0:c r="M504" s="149" t="n">
        <ns0:f>IF(AND(B504="开局",OR(D504="固定颜色盒",D504="单向收纳盒")),J504,0)</ns0:f>
        <ns0:v>0</ns0:v>
      </ns0:c>
      <ns0:c r="N504" s="149" t="n">
        <ns0:f>IF(AND(B504="开局",OR(D504="数字盖盒",D504="普通冰冻盒",D504="数字冰冻盒",D504="数字冰冻单颗暂存盒")),J504,0)</ns0:f>
        <ns0:v>0</ns0:v>
      </ns0:c>
      <ns0:c r="O504" s="145" t="str">
        <ns0:f>IF(AND(E504&gt;0,E504=INT(E504),G504&gt;=0,G504&lt;=F504,G504=INT(G504),OR(AND(F504=1,OR(D504="单颗暂存盒",D504="数字冰冻单颗暂存盒")),AND(F504=4,NOT(OR(D504="单颗暂存盒",D504="数字冰冻单颗暂存盒")))),IF(OR(D504="数字盖盒",D504="数字冰冻盒",D504="数字冰冻单颗暂存盒"),AND(H504&gt;=1,H504=INT(H504)),H504=0),IF(B504="开局",AND(IF(OR(D504="数字盖盒",D504="普通冰冻盒",D504="数字冰冻盒",D504="炸弹盒",D504="底部置顶盒"),OR(G504=3,G504=4),TRUE),IF(OR(D504="单向收纳盒",D504="单颗暂存盒",D504="数字冰冻单颗暂存盒"),OR(G504=0,G504=1),TRUE),IF(OR(D504="固定颜色盒",D504="广告锁定周转盒"),G504=0,TRUE)),TRUE)),"通过","需调整")</ns0:f>
        <ns0:v>通过</ns0:v>
      </ns0:c>
      <ns0:c r="P504" s="145" t="str">
        <ns0:v>双广告锁位</ns0:v>
      </ns0:c>
      <ns0:c r="Q504" s="145" t="str">
        <ns0:v>固定层序见本关首行</ns0:v>
      </ns0:c>
      <ns0:c r="R504" s="149" t="n">
        <ns0:f>E504*H504</ns0:f>
        <ns0:v>0</ns0:v>
      </ns0:c>
    </ns0:row>
    <ns0:row r="505" ht="21" customHeight="1">
      <ns0:c r="A505" s="150" t="n">
        <ns0:v>78</ns0:v>
      </ns0:c>
      <ns0:c r="B505" s="147" t="str">
        <ns0:v>开局</ns0:v>
      </ns0:c>
      <ns0:c r="C505" s="147" t="str">
        <ns0:v>W8-078-01</ns0:v>
      </ns0:c>
      <ns0:c r="D505" s="147" t="str">
        <ns0:v>普通盒</ns0:v>
      </ns0:c>
      <ns0:c r="E505" s="152" t="n">
        <ns0:v>12</ns0:v>
      </ns0:c>
      <ns0:c r="F505" s="152" t="n">
        <ns0:v>4</ns0:v>
      </ns0:c>
      <ns0:c r="G505" s="152" t="n">
        <ns0:v>4</ns0:v>
      </ns0:c>
      <ns0:c r="H505" s="152" t="n">
        <ns0:v>0</ns0:v>
      </ns0:c>
      <ns0:c r="I505" s="150" t="n">
        <ns0:f>E505*G505</ns0:f>
        <ns0:v>48</ns0:v>
      </ns0:c>
      <ns0:c r="J505" s="150" t="n">
        <ns0:f>E505*(F505-G505)</ns0:f>
        <ns0:v>0</ns0:v>
      </ns0:c>
      <ns0:c r="K505" s="150" t="n">
        <ns0:f>IF(AND(B505="开局",G505=0,OR(D505="普通盒",D505="单颗暂存盒")),J505,0)</ns0:f>
        <ns0:v>0</ns0:v>
      </ns0:c>
      <ns0:c r="L505" s="150" t="n">
        <ns0:f>IF(AND(B505="开局",G505&gt;0,OR(D505="普通盒",D505="底部置顶盒",D505="炸弹盒")),J505,0)</ns0:f>
        <ns0:v>0</ns0:v>
      </ns0:c>
      <ns0:c r="M505" s="150" t="n">
        <ns0:f>IF(AND(B505="开局",OR(D505="固定颜色盒",D505="单向收纳盒")),J505,0)</ns0:f>
        <ns0:v>0</ns0:v>
      </ns0:c>
      <ns0:c r="N505" s="150" t="n">
        <ns0:f>IF(AND(B505="开局",OR(D505="数字盖盒",D505="普通冰冻盒",D505="数字冰冻盒",D505="数字冰冻单颗暂存盒")),J505,0)</ns0:f>
        <ns0:v>0</ns0:v>
      </ns0:c>
      <ns0:c r="O505" s="147" t="str">
        <ns0:f>IF(AND(E505&gt;0,E505=INT(E505),G505&gt;=0,G505&lt;=F505,G505=INT(G505),OR(AND(F505=1,OR(D505="单颗暂存盒",D505="数字冰冻单颗暂存盒")),AND(F505=4,NOT(OR(D505="单颗暂存盒",D505="数字冰冻单颗暂存盒")))),IF(OR(D505="数字盖盒",D505="数字冰冻盒",D505="数字冰冻单颗暂存盒"),AND(H505&gt;=1,H505=INT(H505)),H505=0),IF(B505="开局",AND(IF(OR(D505="数字盖盒",D505="普通冰冻盒",D505="数字冰冻盒",D505="炸弹盒",D505="底部置顶盒"),OR(G505=3,G505=4),TRUE),IF(OR(D505="单向收纳盒",D505="单颗暂存盒",D505="数字冰冻单颗暂存盒"),OR(G505=0,G505=1),TRUE),IF(OR(D505="固定颜色盒",D505="广告锁定周转盒"),G505=0,TRUE)),TRUE)),"通过","需调整")</ns0:f>
        <ns0:v>通过</ns0:v>
      </ns0:c>
      <ns0:c r="P505" s="147" t="str">
        <ns0:v>普通盒</ns0:v>
      </ns0:c>
      <ns0:c r="Q505" s="147" t="str">
        <ns0:v>层序JSON:{"reference":"2026-10-12 第71至80关续接设计；自主层序、双循环分工与组合机关波动","slots":[{"group_id":"W8-078-01","layers":[0,6,5,3]},{"group_id":"W8-078-01","layers":[8,6,0,5]},{"group_id":"W8-078-01","layers":[8,8,4,12]},{"group_id":"W8-078-03","layers":[4]},{"group_id":"W8-078-03","layers":[0]},{"group_id":"W8-078-02","layers":[3,8,2]},{"group_id":"W8-078-01","layers":[6,3,8,2]},{"group_id":"W8-078-01","layers":[2,2,6,2]},{"group_id":"W8-078-01","layers":[3,3,6,4]},{"group_id":"W8-078-01","layers":[8,3,2,5]},{"group_id":"W8-078-01","layers":[8,4,4,0]},{"group_id":"W8-078-01","layers":[5,6,3,3],"hidden":[1,2,3]},{"group_id":"W8-078-01","layers":[4,12,5,5]},{"group_id":"W8-078-01","layers":[4,6,0,5]},{"group_id":"W8-078-01","layers":[5,2,8,0]},{"group_id":"W8-078-02","layers":[6,0,4]},{"group_id":"W8-078-04","layers":[12,2,0,12]},{"group_id":"W8-078-05","layers":[],"fixed_flavor":12}],"stock":[],"demand_sequences":[[5,2,12,3,8,6,3,5],[0,4,6,8,0,4,2]]}</ns0:v>
      </ns0:c>
      <ns0:c r="R505" s="150" t="n">
        <ns0:f>E505*H505</ns0:f>
        <ns0:v>0</ns0:v>
      </ns0:c>
    </ns0:row>
    <ns0:row r="506" ht="21" customHeight="1">
      <ns0:c r="A506" s="149" t="n">
        <ns0:v>78</ns0:v>
      </ns0:c>
      <ns0:c r="B506" s="145" t="str">
        <ns0:v>开局</ns0:v>
      </ns0:c>
      <ns0:c r="C506" s="145" t="str">
        <ns0:v>W8-078-02</ns0:v>
      </ns0:c>
      <ns0:c r="D506" s="145" t="str">
        <ns0:v>普通盒</ns0:v>
      </ns0:c>
      <ns0:c r="E506" s="152" t="n">
        <ns0:v>2</ns0:v>
      </ns0:c>
      <ns0:c r="F506" s="152" t="n">
        <ns0:v>4</ns0:v>
      </ns0:c>
      <ns0:c r="G506" s="152" t="n">
        <ns0:v>3</ns0:v>
      </ns0:c>
      <ns0:c r="H506" s="152" t="n">
        <ns0:v>0</ns0:v>
      </ns0:c>
      <ns0:c r="I506" s="149" t="n">
        <ns0:f>E506*G506</ns0:f>
        <ns0:v>6</ns0:v>
      </ns0:c>
      <ns0:c r="J506" s="149" t="n">
        <ns0:f>E506*(F506-G506)</ns0:f>
        <ns0:v>2</ns0:v>
      </ns0:c>
      <ns0:c r="K506" s="149" t="n">
        <ns0:f>IF(AND(B506="开局",G506=0,OR(D506="普通盒",D506="单颗暂存盒")),J506,0)</ns0:f>
        <ns0:v>0</ns0:v>
      </ns0:c>
      <ns0:c r="L506" s="149" t="n">
        <ns0:f>IF(AND(B506="开局",G506&gt;0,OR(D506="普通盒",D506="底部置顶盒",D506="炸弹盒")),J506,0)</ns0:f>
        <ns0:v>2</ns0:v>
      </ns0:c>
      <ns0:c r="M506" s="149" t="n">
        <ns0:f>IF(AND(B506="开局",OR(D506="固定颜色盒",D506="单向收纳盒")),J506,0)</ns0:f>
        <ns0:v>0</ns0:v>
      </ns0:c>
      <ns0:c r="N506" s="149" t="n">
        <ns0:f>IF(AND(B506="开局",OR(D506="数字盖盒",D506="普通冰冻盒",D506="数字冰冻盒",D506="数字冰冻单颗暂存盒")),J506,0)</ns0:f>
        <ns0:v>0</ns0:v>
      </ns0:c>
      <ns0:c r="O506" s="145" t="str">
        <ns0:f>IF(AND(E506&gt;0,E506=INT(E506),G506&gt;=0,G506&lt;=F506,G506=INT(G506),OR(AND(F506=1,OR(D506="单颗暂存盒",D506="数字冰冻单颗暂存盒")),AND(F506=4,NOT(OR(D506="单颗暂存盒",D506="数字冰冻单颗暂存盒")))),IF(OR(D506="数字盖盒",D506="数字冰冻盒",D506="数字冰冻单颗暂存盒"),AND(H506&gt;=1,H506=INT(H506)),H506=0),IF(B506="开局",AND(IF(OR(D506="数字盖盒",D506="普通冰冻盒",D506="数字冰冻盒",D506="炸弹盒",D506="底部置顶盒"),OR(G506=3,G506=4),TRUE),IF(OR(D506="单向收纳盒",D506="单颗暂存盒",D506="数字冰冻单颗暂存盒"),OR(G506=0,G506=1),TRUE),IF(OR(D506="固定颜色盒",D506="广告锁定周转盒"),G506=0,TRUE)),TRUE)),"通过","需调整")</ns0:f>
        <ns0:v>通过</ns0:v>
      </ns0:c>
      <ns0:c r="P506" s="145" t="str">
        <ns0:v>普通盒</ns0:v>
      </ns0:c>
      <ns0:c r="Q506" s="145" t="str">
        <ns0:v>固定层序见本关首行</ns0:v>
      </ns0:c>
      <ns0:c r="R506" s="149" t="n">
        <ns0:f>E506*H506</ns0:f>
        <ns0:v>0</ns0:v>
      </ns0:c>
    </ns0:row>
    <ns0:row r="507" ht="21" customHeight="1">
      <ns0:c r="A507" s="150" t="n">
        <ns0:v>78</ns0:v>
      </ns0:c>
      <ns0:c r="B507" s="147" t="str">
        <ns0:v>开局</ns0:v>
      </ns0:c>
      <ns0:c r="C507" s="147" t="str">
        <ns0:v>W8-078-03</ns0:v>
      </ns0:c>
      <ns0:c r="D507" s="147" t="str">
        <ns0:v>普通盒</ns0:v>
      </ns0:c>
      <ns0:c r="E507" s="152" t="n">
        <ns0:v>2</ns0:v>
      </ns0:c>
      <ns0:c r="F507" s="152" t="n">
        <ns0:v>4</ns0:v>
      </ns0:c>
      <ns0:c r="G507" s="152" t="n">
        <ns0:v>1</ns0:v>
      </ns0:c>
      <ns0:c r="H507" s="152" t="n">
        <ns0:v>0</ns0:v>
      </ns0:c>
      <ns0:c r="I507" s="150" t="n">
        <ns0:f>E507*G507</ns0:f>
        <ns0:v>2</ns0:v>
      </ns0:c>
      <ns0:c r="J507" s="150" t="n">
        <ns0:f>E507*(F507-G507)</ns0:f>
        <ns0:v>6</ns0:v>
      </ns0:c>
      <ns0:c r="K507" s="150" t="n">
        <ns0:f>IF(AND(B507="开局",G507=0,OR(D507="普通盒",D507="单颗暂存盒")),J507,0)</ns0:f>
        <ns0:v>0</ns0:v>
      </ns0:c>
      <ns0:c r="L507" s="150" t="n">
        <ns0:f>IF(AND(B507="开局",G507&gt;0,OR(D507="普通盒",D507="底部置顶盒",D507="炸弹盒")),J507,0)</ns0:f>
        <ns0:v>6</ns0:v>
      </ns0:c>
      <ns0:c r="M507" s="150" t="n">
        <ns0:f>IF(AND(B507="开局",OR(D507="固定颜色盒",D507="单向收纳盒")),J507,0)</ns0:f>
        <ns0:v>0</ns0:v>
      </ns0:c>
      <ns0:c r="N507" s="150" t="n">
        <ns0:f>IF(AND(B507="开局",OR(D507="数字盖盒",D507="普通冰冻盒",D507="数字冰冻盒",D507="数字冰冻单颗暂存盒")),J507,0)</ns0:f>
        <ns0:v>0</ns0:v>
      </ns0:c>
      <ns0:c r="O507" s="147" t="str">
        <ns0:f>IF(AND(E507&gt;0,E507=INT(E507),G507&gt;=0,G507&lt;=F507,G507=INT(G507),OR(AND(F507=1,OR(D507="单颗暂存盒",D507="数字冰冻单颗暂存盒")),AND(F507=4,NOT(OR(D507="单颗暂存盒",D507="数字冰冻单颗暂存盒")))),IF(OR(D507="数字盖盒",D507="数字冰冻盒",D507="数字冰冻单颗暂存盒"),AND(H507&gt;=1,H507=INT(H507)),H507=0),IF(B507="开局",AND(IF(OR(D507="数字盖盒",D507="普通冰冻盒",D507="数字冰冻盒",D507="炸弹盒",D507="底部置顶盒"),OR(G507=3,G507=4),TRUE),IF(OR(D507="单向收纳盒",D507="单颗暂存盒",D507="数字冰冻单颗暂存盒"),OR(G507=0,G507=1),TRUE),IF(OR(D507="固定颜色盒",D507="广告锁定周转盒"),G507=0,TRUE)),TRUE)),"通过","需调整")</ns0:f>
        <ns0:v>通过</ns0:v>
      </ns0:c>
      <ns0:c r="P507" s="147" t="str">
        <ns0:v>普通盒</ns0:v>
      </ns0:c>
      <ns0:c r="Q507" s="147" t="str">
        <ns0:v>固定层序见本关首行</ns0:v>
      </ns0:c>
      <ns0:c r="R507" s="150" t="n">
        <ns0:f>E507*H507</ns0:f>
        <ns0:v>0</ns0:v>
      </ns0:c>
    </ns0:row>
    <ns0:row r="508" ht="21" customHeight="1">
      <ns0:c r="A508" s="149" t="n">
        <ns0:v>78</ns0:v>
      </ns0:c>
      <ns0:c r="B508" s="145" t="str">
        <ns0:v>开局</ns0:v>
      </ns0:c>
      <ns0:c r="C508" s="145" t="str">
        <ns0:v>W8-078-04</ns0:v>
      </ns0:c>
      <ns0:c r="D508" s="145" t="str">
        <ns0:v>底部置顶盒</ns0:v>
      </ns0:c>
      <ns0:c r="E508" s="152" t="n">
        <ns0:v>1</ns0:v>
      </ns0:c>
      <ns0:c r="F508" s="152" t="n">
        <ns0:v>4</ns0:v>
      </ns0:c>
      <ns0:c r="G508" s="152" t="n">
        <ns0:v>4</ns0:v>
      </ns0:c>
      <ns0:c r="H508" s="152" t="n">
        <ns0:v>0</ns0:v>
      </ns0:c>
      <ns0:c r="I508" s="149" t="n">
        <ns0:f>E508*G508</ns0:f>
        <ns0:v>4</ns0:v>
      </ns0:c>
      <ns0:c r="J508" s="149" t="n">
        <ns0:f>E508*(F508-G508)</ns0:f>
        <ns0:v>0</ns0:v>
      </ns0:c>
      <ns0:c r="K508" s="149" t="n">
        <ns0:f>IF(AND(B508="开局",G508=0,OR(D508="普通盒",D508="单颗暂存盒")),J508,0)</ns0:f>
        <ns0:v>0</ns0:v>
      </ns0:c>
      <ns0:c r="L508" s="149" t="n">
        <ns0:f>IF(AND(B508="开局",G508&gt;0,OR(D508="普通盒",D508="底部置顶盒",D508="炸弹盒")),J508,0)</ns0:f>
        <ns0:v>0</ns0:v>
      </ns0:c>
      <ns0:c r="M508" s="149" t="n">
        <ns0:f>IF(AND(B508="开局",OR(D508="固定颜色盒",D508="单向收纳盒")),J508,0)</ns0:f>
        <ns0:v>0</ns0:v>
      </ns0:c>
      <ns0:c r="N508" s="149" t="n">
        <ns0:f>IF(AND(B508="开局",OR(D508="数字盖盒",D508="普通冰冻盒",D508="数字冰冻盒",D508="数字冰冻单颗暂存盒")),J508,0)</ns0:f>
        <ns0:v>0</ns0:v>
      </ns0:c>
      <ns0:c r="O508" s="145" t="str">
        <ns0:f>IF(AND(E508&gt;0,E508=INT(E508),G508&gt;=0,G508&lt;=F508,G508=INT(G508),OR(AND(F508=1,OR(D508="单颗暂存盒",D508="数字冰冻单颗暂存盒")),AND(F508=4,NOT(OR(D508="单颗暂存盒",D508="数字冰冻单颗暂存盒")))),IF(OR(D508="数字盖盒",D508="数字冰冻盒",D508="数字冰冻单颗暂存盒"),AND(H508&gt;=1,H508=INT(H508)),H508=0),IF(B508="开局",AND(IF(OR(D508="数字盖盒",D508="普通冰冻盒",D508="数字冰冻盒",D508="炸弹盒",D508="底部置顶盒"),OR(G508=3,G508=4),TRUE),IF(OR(D508="单向收纳盒",D508="单颗暂存盒",D508="数字冰冻单颗暂存盒"),OR(G508=0,G508=1),TRUE),IF(OR(D508="固定颜色盒",D508="广告锁定周转盒"),G508=0,TRUE)),TRUE)),"通过","需调整")</ns0:f>
        <ns0:v>通过</ns0:v>
      </ns0:c>
      <ns0:c r="P508" s="145" t="str">
        <ns0:v>底部置顶盒</ns0:v>
      </ns0:c>
      <ns0:c r="Q508" s="145" t="str">
        <ns0:v>固定层序见本关首行</ns0:v>
      </ns0:c>
      <ns0:c r="R508" s="149" t="n">
        <ns0:f>E508*H508</ns0:f>
        <ns0:v>0</ns0:v>
      </ns0:c>
    </ns0:row>
    <ns0:row r="509" ht="21" customHeight="1">
      <ns0:c r="A509" s="150" t="n">
        <ns0:v>78</ns0:v>
      </ns0:c>
      <ns0:c r="B509" s="147" t="str">
        <ns0:v>开局</ns0:v>
      </ns0:c>
      <ns0:c r="C509" s="147" t="str">
        <ns0:v>W8-078-05</ns0:v>
      </ns0:c>
      <ns0:c r="D509" s="147" t="str">
        <ns0:v>固定颜色盒</ns0:v>
      </ns0:c>
      <ns0:c r="E509" s="152" t="n">
        <ns0:v>1</ns0:v>
      </ns0:c>
      <ns0:c r="F509" s="152" t="n">
        <ns0:v>4</ns0:v>
      </ns0:c>
      <ns0:c r="G509" s="152" t="n">
        <ns0:v>0</ns0:v>
      </ns0:c>
      <ns0:c r="H509" s="152" t="n">
        <ns0:v>0</ns0:v>
      </ns0:c>
      <ns0:c r="I509" s="150" t="n">
        <ns0:f>E509*G509</ns0:f>
        <ns0:v>0</ns0:v>
      </ns0:c>
      <ns0:c r="J509" s="150" t="n">
        <ns0:f>E509*(F509-G509)</ns0:f>
        <ns0:v>4</ns0:v>
      </ns0:c>
      <ns0:c r="K509" s="150" t="n">
        <ns0:f>IF(AND(B509="开局",G509=0,OR(D509="普通盒",D509="单颗暂存盒")),J509,0)</ns0:f>
        <ns0:v>0</ns0:v>
      </ns0:c>
      <ns0:c r="L509" s="150" t="n">
        <ns0:f>IF(AND(B509="开局",G509&gt;0,OR(D509="普通盒",D509="底部置顶盒",D509="炸弹盒")),J509,0)</ns0:f>
        <ns0:v>0</ns0:v>
      </ns0:c>
      <ns0:c r="M509" s="150" t="n">
        <ns0:f>IF(AND(B509="开局",OR(D509="固定颜色盒",D509="单向收纳盒")),J509,0)</ns0:f>
        <ns0:v>4</ns0:v>
      </ns0:c>
      <ns0:c r="N509" s="150" t="n">
        <ns0:f>IF(AND(B509="开局",OR(D509="数字盖盒",D509="普通冰冻盒",D509="数字冰冻盒",D509="数字冰冻单颗暂存盒")),J509,0)</ns0:f>
        <ns0:v>0</ns0:v>
      </ns0:c>
      <ns0:c r="O509" s="147" t="str">
        <ns0:f>IF(AND(E509&gt;0,E509=INT(E509),G509&gt;=0,G509&lt;=F509,G509=INT(G509),OR(AND(F509=1,OR(D509="单颗暂存盒",D509="数字冰冻单颗暂存盒")),AND(F509=4,NOT(OR(D509="单颗暂存盒",D509="数字冰冻单颗暂存盒")))),IF(OR(D509="数字盖盒",D509="数字冰冻盒",D509="数字冰冻单颗暂存盒"),AND(H509&gt;=1,H509=INT(H509)),H509=0),IF(B509="开局",AND(IF(OR(D509="数字盖盒",D509="普通冰冻盒",D509="数字冰冻盒",D509="炸弹盒",D509="底部置顶盒"),OR(G509=3,G509=4),TRUE),IF(OR(D509="单向收纳盒",D509="单颗暂存盒",D509="数字冰冻单颗暂存盒"),OR(G509=0,G509=1),TRUE),IF(OR(D509="固定颜色盒",D509="广告锁定周转盒"),G509=0,TRUE)),TRUE)),"通过","需调整")</ns0:f>
        <ns0:v>通过</ns0:v>
      </ns0:c>
      <ns0:c r="P509" s="147" t="str">
        <ns0:v>固定颜色盒</ns0:v>
      </ns0:c>
      <ns0:c r="Q509" s="147" t="str">
        <ns0:v>固定层序见本关首行</ns0:v>
      </ns0:c>
      <ns0:c r="R509" s="150" t="n">
        <ns0:f>E509*H509</ns0:f>
        <ns0:v>0</ns0:v>
      </ns0:c>
    </ns0:row>
    <ns0:row r="510" ht="21" customHeight="1">
      <ns0:c r="A510" s="149" t="n">
        <ns0:v>78</ns0:v>
      </ns0:c>
      <ns0:c r="B510" s="145" t="str">
        <ns0:v>开局</ns0:v>
      </ns0:c>
      <ns0:c r="C510" s="145" t="str">
        <ns0:v>W8-078-06</ns0:v>
      </ns0:c>
      <ns0:c r="D510" s="145" t="str">
        <ns0:v>广告锁定周转盒</ns0:v>
      </ns0:c>
      <ns0:c r="E510" s="152" t="n">
        <ns0:v>2</ns0:v>
      </ns0:c>
      <ns0:c r="F510" s="152" t="n">
        <ns0:v>4</ns0:v>
      </ns0:c>
      <ns0:c r="G510" s="152" t="n">
        <ns0:v>0</ns0:v>
      </ns0:c>
      <ns0:c r="H510" s="152" t="n">
        <ns0:v>0</ns0:v>
      </ns0:c>
      <ns0:c r="I510" s="149" t="n">
        <ns0:f>E510*G510</ns0:f>
        <ns0:v>0</ns0:v>
      </ns0:c>
      <ns0:c r="J510" s="149" t="n">
        <ns0:f>E510*(F510-G510)</ns0:f>
        <ns0:v>8</ns0:v>
      </ns0:c>
      <ns0:c r="K510" s="149" t="n">
        <ns0:f>IF(AND(B510="开局",G510=0,OR(D510="普通盒",D510="单颗暂存盒")),J510,0)</ns0:f>
        <ns0:v>0</ns0:v>
      </ns0:c>
      <ns0:c r="L510" s="149" t="n">
        <ns0:f>IF(AND(B510="开局",G510&gt;0,OR(D510="普通盒",D510="底部置顶盒",D510="炸弹盒")),J510,0)</ns0:f>
        <ns0:v>0</ns0:v>
      </ns0:c>
      <ns0:c r="M510" s="149" t="n">
        <ns0:f>IF(AND(B510="开局",OR(D510="固定颜色盒",D510="单向收纳盒")),J510,0)</ns0:f>
        <ns0:v>0</ns0:v>
      </ns0:c>
      <ns0:c r="N510" s="149" t="n">
        <ns0:f>IF(AND(B510="开局",OR(D510="数字盖盒",D510="普通冰冻盒",D510="数字冰冻盒",D510="数字冰冻单颗暂存盒")),J510,0)</ns0:f>
        <ns0:v>0</ns0:v>
      </ns0:c>
      <ns0:c r="O510" s="145" t="str">
        <ns0:f>IF(AND(E510&gt;0,E510=INT(E510),G510&gt;=0,G510&lt;=F510,G510=INT(G510),OR(AND(F510=1,OR(D510="单颗暂存盒",D510="数字冰冻单颗暂存盒")),AND(F510=4,NOT(OR(D510="单颗暂存盒",D510="数字冰冻单颗暂存盒")))),IF(OR(D510="数字盖盒",D510="数字冰冻盒",D510="数字冰冻单颗暂存盒"),AND(H510&gt;=1,H510=INT(H510)),H510=0),IF(B510="开局",AND(IF(OR(D510="数字盖盒",D510="普通冰冻盒",D510="数字冰冻盒",D510="炸弹盒",D510="底部置顶盒"),OR(G510=3,G510=4),TRUE),IF(OR(D510="单向收纳盒",D510="单颗暂存盒",D510="数字冰冻单颗暂存盒"),OR(G510=0,G510=1),TRUE),IF(OR(D510="固定颜色盒",D510="广告锁定周转盒"),G510=0,TRUE)),TRUE)),"通过","需调整")</ns0:f>
        <ns0:v>通过</ns0:v>
      </ns0:c>
      <ns0:c r="P510" s="145" t="str">
        <ns0:v>双广告锁位</ns0:v>
      </ns0:c>
      <ns0:c r="Q510" s="145" t="str">
        <ns0:v>固定层序见本关首行</ns0:v>
      </ns0:c>
      <ns0:c r="R510" s="149" t="n">
        <ns0:f>E510*H510</ns0:f>
        <ns0:v>0</ns0:v>
      </ns0:c>
    </ns0:row>
    <ns0:row r="511" ht="21" customHeight="1">
      <ns0:c r="A511" s="150" t="n">
        <ns0:v>79</ns0:v>
      </ns0:c>
      <ns0:c r="B511" s="147" t="str">
        <ns0:v>开局</ns0:v>
      </ns0:c>
      <ns0:c r="C511" s="147" t="str">
        <ns0:v>W8-079-01</ns0:v>
      </ns0:c>
      <ns0:c r="D511" s="147" t="str">
        <ns0:v>普通盒</ns0:v>
      </ns0:c>
      <ns0:c r="E511" s="152" t="n">
        <ns0:v>9</ns0:v>
      </ns0:c>
      <ns0:c r="F511" s="152" t="n">
        <ns0:v>4</ns0:v>
      </ns0:c>
      <ns0:c r="G511" s="152" t="n">
        <ns0:v>4</ns0:v>
      </ns0:c>
      <ns0:c r="H511" s="152" t="n">
        <ns0:v>0</ns0:v>
      </ns0:c>
      <ns0:c r="I511" s="150" t="n">
        <ns0:f>E511*G511</ns0:f>
        <ns0:v>36</ns0:v>
      </ns0:c>
      <ns0:c r="J511" s="150" t="n">
        <ns0:f>E511*(F511-G511)</ns0:f>
        <ns0:v>0</ns0:v>
      </ns0:c>
      <ns0:c r="K511" s="150" t="n">
        <ns0:f>IF(AND(B511="开局",G511=0,OR(D511="普通盒",D511="单颗暂存盒")),J511,0)</ns0:f>
        <ns0:v>0</ns0:v>
      </ns0:c>
      <ns0:c r="L511" s="150" t="n">
        <ns0:f>IF(AND(B511="开局",G511&gt;0,OR(D511="普通盒",D511="底部置顶盒",D511="炸弹盒")),J511,0)</ns0:f>
        <ns0:v>0</ns0:v>
      </ns0:c>
      <ns0:c r="M511" s="150" t="n">
        <ns0:f>IF(AND(B511="开局",OR(D511="固定颜色盒",D511="单向收纳盒")),J511,0)</ns0:f>
        <ns0:v>0</ns0:v>
      </ns0:c>
      <ns0:c r="N511" s="150" t="n">
        <ns0:f>IF(AND(B511="开局",OR(D511="数字盖盒",D511="普通冰冻盒",D511="数字冰冻盒",D511="数字冰冻单颗暂存盒")),J511,0)</ns0:f>
        <ns0:v>0</ns0:v>
      </ns0:c>
      <ns0:c r="O511" s="147" t="str">
        <ns0:f>IF(AND(E511&gt;0,E511=INT(E511),G511&gt;=0,G511&lt;=F511,G511=INT(G511),OR(AND(F511=1,OR(D511="单颗暂存盒",D511="数字冰冻单颗暂存盒")),AND(F511=4,NOT(OR(D511="单颗暂存盒",D511="数字冰冻单颗暂存盒")))),IF(OR(D511="数字盖盒",D511="数字冰冻盒",D511="数字冰冻单颗暂存盒"),AND(H511&gt;=1,H511=INT(H511)),H511=0),IF(B511="开局",AND(IF(OR(D511="数字盖盒",D511="普通冰冻盒",D511="数字冰冻盒",D511="炸弹盒",D511="底部置顶盒"),OR(G511=3,G511=4),TRUE),IF(OR(D511="单向收纳盒",D511="单颗暂存盒",D511="数字冰冻单颗暂存盒"),OR(G511=0,G511=1),TRUE),IF(OR(D511="固定颜色盒",D511="广告锁定周转盒"),G511=0,TRUE)),TRUE)),"通过","需调整")</ns0:f>
        <ns0:v>通过</ns0:v>
      </ns0:c>
      <ns0:c r="P511" s="147" t="str">
        <ns0:v>普通盒</ns0:v>
      </ns0:c>
      <ns0:c r="Q511" s="147" t="str">
        <ns0:v>层序JSON:{"reference":"2026-10-12 第71至80关续接设计；自主层序、双循环分工与组合机关波动","slots":[{"group_id":"W8-079-01","layers":[3,5,4,8]},{"group_id":"W8-079-03","layers":[2]},{"group_id":"W8-079-01","layers":[5,8,12,3]},{"group_id":"W8-079-01","layers":[4,12,6,0]},{"group_id":"W8-079-04","layers":[12,4,8,2]},{"group_id":"W8-079-02","layers":[8,0,3]},{"group_id":"W8-079-02","layers":[5,6,4]},{"group_id":"W8-079-01","layers":[4,0,6,5]},{"group_id":"W8-079-02","layers":[8,0,5]},{"group_id":"W8-079-01","layers":[12,0,4,2],"hidden":[1,2,3]},{"group_id":"W8-079-01","layers":[2,6,2,3]},{"group_id":"W8-079-06","layers":[3]},{"group_id":"W8-079-01","layers":[6,3,0,0]},{"group_id":"W8-079-05","layers":[2,0,4,4]},{"group_id":"W8-079-01","layers":[0,6,12,12]},{"group_id":"W8-079-01","layers":[8,0,5,5]},{"group_id":"W8-079-03","layers":[3]},{"group_id":"W8-079-04","layers":[8,12,5,3]}],"stock":[{"group_id":"W8-079-08","layers":[8,2,6,12]},{"group_id":"W8-079-08","layers":[0,0,6,2]}],"demand_sequences":[[3,5,4,2,3,2,8,5,6],[0,8,0,12,6,12,0,4]]}</ns0:v>
      </ns0:c>
      <ns0:c r="R511" s="150" t="n">
        <ns0:f>E511*H511</ns0:f>
        <ns0:v>0</ns0:v>
      </ns0:c>
    </ns0:row>
    <ns0:row r="512" ht="21" customHeight="1">
      <ns0:c r="A512" s="149" t="n">
        <ns0:v>79</ns0:v>
      </ns0:c>
      <ns0:c r="B512" s="145" t="str">
        <ns0:v>开局</ns0:v>
      </ns0:c>
      <ns0:c r="C512" s="145" t="str">
        <ns0:v>W8-079-02</ns0:v>
      </ns0:c>
      <ns0:c r="D512" s="145" t="str">
        <ns0:v>普通盒</ns0:v>
      </ns0:c>
      <ns0:c r="E512" s="152" t="n">
        <ns0:v>3</ns0:v>
      </ns0:c>
      <ns0:c r="F512" s="152" t="n">
        <ns0:v>4</ns0:v>
      </ns0:c>
      <ns0:c r="G512" s="152" t="n">
        <ns0:v>3</ns0:v>
      </ns0:c>
      <ns0:c r="H512" s="152" t="n">
        <ns0:v>0</ns0:v>
      </ns0:c>
      <ns0:c r="I512" s="149" t="n">
        <ns0:f>E512*G512</ns0:f>
        <ns0:v>9</ns0:v>
      </ns0:c>
      <ns0:c r="J512" s="149" t="n">
        <ns0:f>E512*(F512-G512)</ns0:f>
        <ns0:v>3</ns0:v>
      </ns0:c>
      <ns0:c r="K512" s="149" t="n">
        <ns0:f>IF(AND(B512="开局",G512=0,OR(D512="普通盒",D512="单颗暂存盒")),J512,0)</ns0:f>
        <ns0:v>0</ns0:v>
      </ns0:c>
      <ns0:c r="L512" s="149" t="n">
        <ns0:f>IF(AND(B512="开局",G512&gt;0,OR(D512="普通盒",D512="底部置顶盒",D512="炸弹盒")),J512,0)</ns0:f>
        <ns0:v>3</ns0:v>
      </ns0:c>
      <ns0:c r="M512" s="149" t="n">
        <ns0:f>IF(AND(B512="开局",OR(D512="固定颜色盒",D512="单向收纳盒")),J512,0)</ns0:f>
        <ns0:v>0</ns0:v>
      </ns0:c>
      <ns0:c r="N512" s="149" t="n">
        <ns0:f>IF(AND(B512="开局",OR(D512="数字盖盒",D512="普通冰冻盒",D512="数字冰冻盒",D512="数字冰冻单颗暂存盒")),J512,0)</ns0:f>
        <ns0:v>0</ns0:v>
      </ns0:c>
      <ns0:c r="O512" s="145" t="str">
        <ns0:f>IF(AND(E512&gt;0,E512=INT(E512),G512&gt;=0,G512&lt;=F512,G512=INT(G512),OR(AND(F512=1,OR(D512="单颗暂存盒",D512="数字冰冻单颗暂存盒")),AND(F512=4,NOT(OR(D512="单颗暂存盒",D512="数字冰冻单颗暂存盒")))),IF(OR(D512="数字盖盒",D512="数字冰冻盒",D512="数字冰冻单颗暂存盒"),AND(H512&gt;=1,H512=INT(H512)),H512=0),IF(B512="开局",AND(IF(OR(D512="数字盖盒",D512="普通冰冻盒",D512="数字冰冻盒",D512="炸弹盒",D512="底部置顶盒"),OR(G512=3,G512=4),TRUE),IF(OR(D512="单向收纳盒",D512="单颗暂存盒",D512="数字冰冻单颗暂存盒"),OR(G512=0,G512=1),TRUE),IF(OR(D512="固定颜色盒",D512="广告锁定周转盒"),G512=0,TRUE)),TRUE)),"通过","需调整")</ns0:f>
        <ns0:v>通过</ns0:v>
      </ns0:c>
      <ns0:c r="P512" s="145" t="str">
        <ns0:v>普通盒</ns0:v>
      </ns0:c>
      <ns0:c r="Q512" s="145" t="str">
        <ns0:v>固定层序见本关首行</ns0:v>
      </ns0:c>
      <ns0:c r="R512" s="149" t="n">
        <ns0:f>E512*H512</ns0:f>
        <ns0:v>0</ns0:v>
      </ns0:c>
    </ns0:row>
    <ns0:row r="513" ht="21" customHeight="1">
      <ns0:c r="A513" s="150" t="n">
        <ns0:v>79</ns0:v>
      </ns0:c>
      <ns0:c r="B513" s="147" t="str">
        <ns0:v>开局</ns0:v>
      </ns0:c>
      <ns0:c r="C513" s="147" t="str">
        <ns0:v>W8-079-03</ns0:v>
      </ns0:c>
      <ns0:c r="D513" s="147" t="str">
        <ns0:v>普通盒</ns0:v>
      </ns0:c>
      <ns0:c r="E513" s="152" t="n">
        <ns0:v>2</ns0:v>
      </ns0:c>
      <ns0:c r="F513" s="152" t="n">
        <ns0:v>4</ns0:v>
      </ns0:c>
      <ns0:c r="G513" s="152" t="n">
        <ns0:v>1</ns0:v>
      </ns0:c>
      <ns0:c r="H513" s="152" t="n">
        <ns0:v>0</ns0:v>
      </ns0:c>
      <ns0:c r="I513" s="150" t="n">
        <ns0:f>E513*G513</ns0:f>
        <ns0:v>2</ns0:v>
      </ns0:c>
      <ns0:c r="J513" s="150" t="n">
        <ns0:f>E513*(F513-G513)</ns0:f>
        <ns0:v>6</ns0:v>
      </ns0:c>
      <ns0:c r="K513" s="150" t="n">
        <ns0:f>IF(AND(B513="开局",G513=0,OR(D513="普通盒",D513="单颗暂存盒")),J513,0)</ns0:f>
        <ns0:v>0</ns0:v>
      </ns0:c>
      <ns0:c r="L513" s="150" t="n">
        <ns0:f>IF(AND(B513="开局",G513&gt;0,OR(D513="普通盒",D513="底部置顶盒",D513="炸弹盒")),J513,0)</ns0:f>
        <ns0:v>6</ns0:v>
      </ns0:c>
      <ns0:c r="M513" s="150" t="n">
        <ns0:f>IF(AND(B513="开局",OR(D513="固定颜色盒",D513="单向收纳盒")),J513,0)</ns0:f>
        <ns0:v>0</ns0:v>
      </ns0:c>
      <ns0:c r="N513" s="150" t="n">
        <ns0:f>IF(AND(B513="开局",OR(D513="数字盖盒",D513="普通冰冻盒",D513="数字冰冻盒",D513="数字冰冻单颗暂存盒")),J513,0)</ns0:f>
        <ns0:v>0</ns0:v>
      </ns0:c>
      <ns0:c r="O513" s="147" t="str">
        <ns0:f>IF(AND(E513&gt;0,E513=INT(E513),G513&gt;=0,G513&lt;=F513,G513=INT(G513),OR(AND(F513=1,OR(D513="单颗暂存盒",D513="数字冰冻单颗暂存盒")),AND(F513=4,NOT(OR(D513="单颗暂存盒",D513="数字冰冻单颗暂存盒")))),IF(OR(D513="数字盖盒",D513="数字冰冻盒",D513="数字冰冻单颗暂存盒"),AND(H513&gt;=1,H513=INT(H513)),H513=0),IF(B513="开局",AND(IF(OR(D513="数字盖盒",D513="普通冰冻盒",D513="数字冰冻盒",D513="炸弹盒",D513="底部置顶盒"),OR(G513=3,G513=4),TRUE),IF(OR(D513="单向收纳盒",D513="单颗暂存盒",D513="数字冰冻单颗暂存盒"),OR(G513=0,G513=1),TRUE),IF(OR(D513="固定颜色盒",D513="广告锁定周转盒"),G513=0,TRUE)),TRUE)),"通过","需调整")</ns0:f>
        <ns0:v>通过</ns0:v>
      </ns0:c>
      <ns0:c r="P513" s="147" t="str">
        <ns0:v>普通盒</ns0:v>
      </ns0:c>
      <ns0:c r="Q513" s="147" t="str">
        <ns0:v>固定层序见本关首行</ns0:v>
      </ns0:c>
      <ns0:c r="R513" s="150" t="n">
        <ns0:f>E513*H513</ns0:f>
        <ns0:v>0</ns0:v>
      </ns0:c>
    </ns0:row>
    <ns0:row r="514" ht="21" customHeight="1">
      <ns0:c r="A514" s="149" t="n">
        <ns0:v>79</ns0:v>
      </ns0:c>
      <ns0:c r="B514" s="145" t="str">
        <ns0:v>开局</ns0:v>
      </ns0:c>
      <ns0:c r="C514" s="145" t="str">
        <ns0:v>W8-079-04</ns0:v>
      </ns0:c>
      <ns0:c r="D514" s="145" t="str">
        <ns0:v>底部置顶盒</ns0:v>
      </ns0:c>
      <ns0:c r="E514" s="152" t="n">
        <ns0:v>2</ns0:v>
      </ns0:c>
      <ns0:c r="F514" s="152" t="n">
        <ns0:v>4</ns0:v>
      </ns0:c>
      <ns0:c r="G514" s="152" t="n">
        <ns0:v>4</ns0:v>
      </ns0:c>
      <ns0:c r="H514" s="152" t="n">
        <ns0:v>0</ns0:v>
      </ns0:c>
      <ns0:c r="I514" s="149" t="n">
        <ns0:f>E514*G514</ns0:f>
        <ns0:v>8</ns0:v>
      </ns0:c>
      <ns0:c r="J514" s="149" t="n">
        <ns0:f>E514*(F514-G514)</ns0:f>
        <ns0:v>0</ns0:v>
      </ns0:c>
      <ns0:c r="K514" s="149" t="n">
        <ns0:f>IF(AND(B514="开局",G514=0,OR(D514="普通盒",D514="单颗暂存盒")),J514,0)</ns0:f>
        <ns0:v>0</ns0:v>
      </ns0:c>
      <ns0:c r="L514" s="149" t="n">
        <ns0:f>IF(AND(B514="开局",G514&gt;0,OR(D514="普通盒",D514="底部置顶盒",D514="炸弹盒")),J514,0)</ns0:f>
        <ns0:v>0</ns0:v>
      </ns0:c>
      <ns0:c r="M514" s="149" t="n">
        <ns0:f>IF(AND(B514="开局",OR(D514="固定颜色盒",D514="单向收纳盒")),J514,0)</ns0:f>
        <ns0:v>0</ns0:v>
      </ns0:c>
      <ns0:c r="N514" s="149" t="n">
        <ns0:f>IF(AND(B514="开局",OR(D514="数字盖盒",D514="普通冰冻盒",D514="数字冰冻盒",D514="数字冰冻单颗暂存盒")),J514,0)</ns0:f>
        <ns0:v>0</ns0:v>
      </ns0:c>
      <ns0:c r="O514" s="145" t="str">
        <ns0:f>IF(AND(E514&gt;0,E514=INT(E514),G514&gt;=0,G514&lt;=F514,G514=INT(G514),OR(AND(F514=1,OR(D514="单颗暂存盒",D514="数字冰冻单颗暂存盒")),AND(F514=4,NOT(OR(D514="单颗暂存盒",D514="数字冰冻单颗暂存盒")))),IF(OR(D514="数字盖盒",D514="数字冰冻盒",D514="数字冰冻单颗暂存盒"),AND(H514&gt;=1,H514=INT(H514)),H514=0),IF(B514="开局",AND(IF(OR(D514="数字盖盒",D514="普通冰冻盒",D514="数字冰冻盒",D514="炸弹盒",D514="底部置顶盒"),OR(G514=3,G514=4),TRUE),IF(OR(D514="单向收纳盒",D514="单颗暂存盒",D514="数字冰冻单颗暂存盒"),OR(G514=0,G514=1),TRUE),IF(OR(D514="固定颜色盒",D514="广告锁定周转盒"),G514=0,TRUE)),TRUE)),"通过","需调整")</ns0:f>
        <ns0:v>通过</ns0:v>
      </ns0:c>
      <ns0:c r="P514" s="145" t="str">
        <ns0:v>底部置顶盒</ns0:v>
      </ns0:c>
      <ns0:c r="Q514" s="145" t="str">
        <ns0:v>固定层序见本关首行</ns0:v>
      </ns0:c>
      <ns0:c r="R514" s="149" t="n">
        <ns0:f>E514*H514</ns0:f>
        <ns0:v>0</ns0:v>
      </ns0:c>
    </ns0:row>
    <ns0:row r="515" ht="21" customHeight="1">
      <ns0:c r="A515" s="150" t="n">
        <ns0:v>79</ns0:v>
      </ns0:c>
      <ns0:c r="B515" s="147" t="str">
        <ns0:v>开局</ns0:v>
      </ns0:c>
      <ns0:c r="C515" s="147" t="str">
        <ns0:v>W8-079-05</ns0:v>
      </ns0:c>
      <ns0:c r="D515" s="147" t="str">
        <ns0:v>数字冰冻盒</ns0:v>
      </ns0:c>
      <ns0:c r="E515" s="152" t="n">
        <ns0:v>1</ns0:v>
      </ns0:c>
      <ns0:c r="F515" s="152" t="n">
        <ns0:v>4</ns0:v>
      </ns0:c>
      <ns0:c r="G515" s="152" t="n">
        <ns0:v>4</ns0:v>
      </ns0:c>
      <ns0:c r="H515" s="152" t="n">
        <ns0:v>2</ns0:v>
      </ns0:c>
      <ns0:c r="I515" s="150" t="n">
        <ns0:f>E515*G515</ns0:f>
        <ns0:v>4</ns0:v>
      </ns0:c>
      <ns0:c r="J515" s="150" t="n">
        <ns0:f>E515*(F515-G515)</ns0:f>
        <ns0:v>0</ns0:v>
      </ns0:c>
      <ns0:c r="K515" s="150" t="n">
        <ns0:f>IF(AND(B515="开局",G515=0,OR(D515="普通盒",D515="单颗暂存盒")),J515,0)</ns0:f>
        <ns0:v>0</ns0:v>
      </ns0:c>
      <ns0:c r="L515" s="150" t="n">
        <ns0:f>IF(AND(B515="开局",G515&gt;0,OR(D515="普通盒",D515="底部置顶盒",D515="炸弹盒")),J515,0)</ns0:f>
        <ns0:v>0</ns0:v>
      </ns0:c>
      <ns0:c r="M515" s="150" t="n">
        <ns0:f>IF(AND(B515="开局",OR(D515="固定颜色盒",D515="单向收纳盒")),J515,0)</ns0:f>
        <ns0:v>0</ns0:v>
      </ns0:c>
      <ns0:c r="N515" s="150" t="n">
        <ns0:f>IF(AND(B515="开局",OR(D515="数字盖盒",D515="普通冰冻盒",D515="数字冰冻盒",D515="数字冰冻单颗暂存盒")),J515,0)</ns0:f>
        <ns0:v>0</ns0:v>
      </ns0:c>
      <ns0:c r="O515" s="147" t="str">
        <ns0:f>IF(AND(E515&gt;0,E515=INT(E515),G515&gt;=0,G515&lt;=F515,G515=INT(G515),OR(AND(F515=1,OR(D515="单颗暂存盒",D515="数字冰冻单颗暂存盒")),AND(F515=4,NOT(OR(D515="单颗暂存盒",D515="数字冰冻单颗暂存盒")))),IF(OR(D515="数字盖盒",D515="数字冰冻盒",D515="数字冰冻单颗暂存盒"),AND(H515&gt;=1,H515=INT(H515)),H515=0),IF(B515="开局",AND(IF(OR(D515="数字盖盒",D515="普通冰冻盒",D515="数字冰冻盒",D515="炸弹盒",D515="底部置顶盒"),OR(G515=3,G515=4),TRUE),IF(OR(D515="单向收纳盒",D515="单颗暂存盒",D515="数字冰冻单颗暂存盒"),OR(G515=0,G515=1),TRUE),IF(OR(D515="固定颜色盒",D515="广告锁定周转盒"),G515=0,TRUE)),TRUE)),"通过","需调整")</ns0:f>
        <ns0:v>通过</ns0:v>
      </ns0:c>
      <ns0:c r="P515" s="147" t="str">
        <ns0:v>数字冰冻盒</ns0:v>
      </ns0:c>
      <ns0:c r="Q515" s="147" t="str">
        <ns0:v>固定层序见本关首行</ns0:v>
      </ns0:c>
      <ns0:c r="R515" s="150" t="n">
        <ns0:f>E515*H515</ns0:f>
        <ns0:v>2</ns0:v>
      </ns0:c>
    </ns0:row>
    <ns0:row r="516" ht="21" customHeight="1">
      <ns0:c r="A516" s="149" t="n">
        <ns0:v>79</ns0:v>
      </ns0:c>
      <ns0:c r="B516" s="145" t="str">
        <ns0:v>开局</ns0:v>
      </ns0:c>
      <ns0:c r="C516" s="145" t="str">
        <ns0:v>W8-079-06</ns0:v>
      </ns0:c>
      <ns0:c r="D516" s="145" t="str">
        <ns0:v>单颗暂存盒</ns0:v>
      </ns0:c>
      <ns0:c r="E516" s="152" t="n">
        <ns0:v>1</ns0:v>
      </ns0:c>
      <ns0:c r="F516" s="152" t="n">
        <ns0:v>1</ns0:v>
      </ns0:c>
      <ns0:c r="G516" s="152" t="n">
        <ns0:v>1</ns0:v>
      </ns0:c>
      <ns0:c r="H516" s="152" t="n">
        <ns0:v>0</ns0:v>
      </ns0:c>
      <ns0:c r="I516" s="149" t="n">
        <ns0:f>E516*G516</ns0:f>
        <ns0:v>1</ns0:v>
      </ns0:c>
      <ns0:c r="J516" s="149" t="n">
        <ns0:f>E516*(F516-G516)</ns0:f>
        <ns0:v>0</ns0:v>
      </ns0:c>
      <ns0:c r="K516" s="149" t="n">
        <ns0:f>IF(AND(B516="开局",G516=0,OR(D516="普通盒",D516="单颗暂存盒")),J516,0)</ns0:f>
        <ns0:v>0</ns0:v>
      </ns0:c>
      <ns0:c r="L516" s="149" t="n">
        <ns0:f>IF(AND(B516="开局",G516&gt;0,OR(D516="普通盒",D516="底部置顶盒",D516="炸弹盒")),J516,0)</ns0:f>
        <ns0:v>0</ns0:v>
      </ns0:c>
      <ns0:c r="M516" s="149" t="n">
        <ns0:f>IF(AND(B516="开局",OR(D516="固定颜色盒",D516="单向收纳盒")),J516,0)</ns0:f>
        <ns0:v>0</ns0:v>
      </ns0:c>
      <ns0:c r="N516" s="149" t="n">
        <ns0:f>IF(AND(B516="开局",OR(D516="数字盖盒",D516="普通冰冻盒",D516="数字冰冻盒",D516="数字冰冻单颗暂存盒")),J516,0)</ns0:f>
        <ns0:v>0</ns0:v>
      </ns0:c>
      <ns0:c r="O516" s="145" t="str">
        <ns0:f>IF(AND(E516&gt;0,E516=INT(E516),G516&gt;=0,G516&lt;=F516,G516=INT(G516),OR(AND(F516=1,OR(D516="单颗暂存盒",D516="数字冰冻单颗暂存盒")),AND(F516=4,NOT(OR(D516="单颗暂存盒",D516="数字冰冻单颗暂存盒")))),IF(OR(D516="数字盖盒",D516="数字冰冻盒",D516="数字冰冻单颗暂存盒"),AND(H516&gt;=1,H516=INT(H516)),H516=0),IF(B516="开局",AND(IF(OR(D516="数字盖盒",D516="普通冰冻盒",D516="数字冰冻盒",D516="炸弹盒",D516="底部置顶盒"),OR(G516=3,G516=4),TRUE),IF(OR(D516="单向收纳盒",D516="单颗暂存盒",D516="数字冰冻单颗暂存盒"),OR(G516=0,G516=1),TRUE),IF(OR(D516="固定颜色盒",D516="广告锁定周转盒"),G516=0,TRUE)),TRUE)),"通过","需调整")</ns0:f>
        <ns0:v>通过</ns0:v>
      </ns0:c>
      <ns0:c r="P516" s="145" t="str">
        <ns0:v>单颗暂存盒</ns0:v>
      </ns0:c>
      <ns0:c r="Q516" s="145" t="str">
        <ns0:v>固定层序见本关首行</ns0:v>
      </ns0:c>
      <ns0:c r="R516" s="149" t="n">
        <ns0:f>E516*H516</ns0:f>
        <ns0:v>0</ns0:v>
      </ns0:c>
    </ns0:row>
    <ns0:row r="517" ht="21" customHeight="1">
      <ns0:c r="A517" s="150" t="n">
        <ns0:v>79</ns0:v>
      </ns0:c>
      <ns0:c r="B517" s="147" t="str">
        <ns0:v>开局</ns0:v>
      </ns0:c>
      <ns0:c r="C517" s="147" t="str">
        <ns0:v>W8-079-07</ns0:v>
      </ns0:c>
      <ns0:c r="D517" s="147" t="str">
        <ns0:v>广告锁定周转盒</ns0:v>
      </ns0:c>
      <ns0:c r="E517" s="152" t="n">
        <ns0:v>2</ns0:v>
      </ns0:c>
      <ns0:c r="F517" s="152" t="n">
        <ns0:v>4</ns0:v>
      </ns0:c>
      <ns0:c r="G517" s="152" t="n">
        <ns0:v>0</ns0:v>
      </ns0:c>
      <ns0:c r="H517" s="152" t="n">
        <ns0:v>0</ns0:v>
      </ns0:c>
      <ns0:c r="I517" s="150" t="n">
        <ns0:f>E517*G517</ns0:f>
        <ns0:v>0</ns0:v>
      </ns0:c>
      <ns0:c r="J517" s="150" t="n">
        <ns0:f>E517*(F517-G517)</ns0:f>
        <ns0:v>8</ns0:v>
      </ns0:c>
      <ns0:c r="K517" s="150" t="n">
        <ns0:f>IF(AND(B517="开局",G517=0,OR(D517="普通盒",D517="单颗暂存盒")),J517,0)</ns0:f>
        <ns0:v>0</ns0:v>
      </ns0:c>
      <ns0:c r="L517" s="150" t="n">
        <ns0:f>IF(AND(B517="开局",G517&gt;0,OR(D517="普通盒",D517="底部置顶盒",D517="炸弹盒")),J517,0)</ns0:f>
        <ns0:v>0</ns0:v>
      </ns0:c>
      <ns0:c r="M517" s="150" t="n">
        <ns0:f>IF(AND(B517="开局",OR(D517="固定颜色盒",D517="单向收纳盒")),J517,0)</ns0:f>
        <ns0:v>0</ns0:v>
      </ns0:c>
      <ns0:c r="N517" s="150" t="n">
        <ns0:f>IF(AND(B517="开局",OR(D517="数字盖盒",D517="普通冰冻盒",D517="数字冰冻盒",D517="数字冰冻单颗暂存盒")),J517,0)</ns0:f>
        <ns0:v>0</ns0:v>
      </ns0:c>
      <ns0:c r="O517" s="147" t="str">
        <ns0:f>IF(AND(E517&gt;0,E517=INT(E517),G517&gt;=0,G517&lt;=F517,G517=INT(G517),OR(AND(F517=1,OR(D517="单颗暂存盒",D517="数字冰冻单颗暂存盒")),AND(F517=4,NOT(OR(D517="单颗暂存盒",D517="数字冰冻单颗暂存盒")))),IF(OR(D517="数字盖盒",D517="数字冰冻盒",D517="数字冰冻单颗暂存盒"),AND(H517&gt;=1,H517=INT(H517)),H517=0),IF(B517="开局",AND(IF(OR(D517="数字盖盒",D517="普通冰冻盒",D517="数字冰冻盒",D517="炸弹盒",D517="底部置顶盒"),OR(G517=3,G517=4),TRUE),IF(OR(D517="单向收纳盒",D517="单颗暂存盒",D517="数字冰冻单颗暂存盒"),OR(G517=0,G517=1),TRUE),IF(OR(D517="固定颜色盒",D517="广告锁定周转盒"),G517=0,TRUE)),TRUE)),"通过","需调整")</ns0:f>
        <ns0:v>通过</ns0:v>
      </ns0:c>
      <ns0:c r="P517" s="147" t="str">
        <ns0:v>双广告锁位</ns0:v>
      </ns0:c>
      <ns0:c r="Q517" s="147" t="str">
        <ns0:v>固定层序见本关首行</ns0:v>
      </ns0:c>
      <ns0:c r="R517" s="150" t="n">
        <ns0:f>E517*H517</ns0:f>
        <ns0:v>0</ns0:v>
      </ns0:c>
    </ns0:row>
    <ns0:row r="518" ht="21" customHeight="1">
      <ns0:c r="A518" s="149" t="n">
        <ns0:v>79</ns0:v>
      </ns0:c>
      <ns0:c r="B518" s="145" t="str">
        <ns0:v>备货</ns0:v>
      </ns0:c>
      <ns0:c r="C518" s="145" t="str">
        <ns0:v>W8-079-08</ns0:v>
      </ns0:c>
      <ns0:c r="D518" s="145" t="str">
        <ns0:v>普通盒</ns0:v>
      </ns0:c>
      <ns0:c r="E518" s="152" t="n">
        <ns0:v>2</ns0:v>
      </ns0:c>
      <ns0:c r="F518" s="152" t="n">
        <ns0:v>4</ns0:v>
      </ns0:c>
      <ns0:c r="G518" s="152" t="n">
        <ns0:v>4</ns0:v>
      </ns0:c>
      <ns0:c r="H518" s="152" t="n">
        <ns0:v>0</ns0:v>
      </ns0:c>
      <ns0:c r="I518" s="149" t="n">
        <ns0:f>E518*G518</ns0:f>
        <ns0:v>8</ns0:v>
      </ns0:c>
      <ns0:c r="J518" s="149" t="n">
        <ns0:f>E518*(F518-G518)</ns0:f>
        <ns0:v>0</ns0:v>
      </ns0:c>
      <ns0:c r="K518" s="149" t="n">
        <ns0:f>IF(AND(B518="开局",G518=0,OR(D518="普通盒",D518="单颗暂存盒")),J518,0)</ns0:f>
        <ns0:v>0</ns0:v>
      </ns0:c>
      <ns0:c r="L518" s="149" t="n">
        <ns0:f>IF(AND(B518="开局",G518&gt;0,OR(D518="普通盒",D518="底部置顶盒",D518="炸弹盒")),J518,0)</ns0:f>
        <ns0:v>0</ns0:v>
      </ns0:c>
      <ns0:c r="M518" s="149" t="n">
        <ns0:f>IF(AND(B518="开局",OR(D518="固定颜色盒",D518="单向收纳盒")),J518,0)</ns0:f>
        <ns0:v>0</ns0:v>
      </ns0:c>
      <ns0:c r="N518" s="149" t="n">
        <ns0:f>IF(AND(B518="开局",OR(D518="数字盖盒",D518="普通冰冻盒",D518="数字冰冻盒",D518="数字冰冻单颗暂存盒")),J518,0)</ns0:f>
        <ns0:v>0</ns0:v>
      </ns0:c>
      <ns0:c r="O518" s="145" t="str">
        <ns0:f>IF(AND(E518&gt;0,E518=INT(E518),G518&gt;=0,G518&lt;=F518,G518=INT(G518),OR(AND(F518=1,OR(D518="单颗暂存盒",D518="数字冰冻单颗暂存盒")),AND(F518=4,NOT(OR(D518="单颗暂存盒",D518="数字冰冻单颗暂存盒")))),IF(OR(D518="数字盖盒",D518="数字冰冻盒",D518="数字冰冻单颗暂存盒"),AND(H518&gt;=1,H518=INT(H518)),H518=0),IF(B518="开局",AND(IF(OR(D518="数字盖盒",D518="普通冰冻盒",D518="数字冰冻盒",D518="炸弹盒",D518="底部置顶盒"),OR(G518=3,G518=4),TRUE),IF(OR(D518="单向收纳盒",D518="单颗暂存盒",D518="数字冰冻单颗暂存盒"),OR(G518=0,G518=1),TRUE),IF(OR(D518="固定颜色盒",D518="广告锁定周转盒"),G518=0,TRUE)),TRUE)),"通过","需调整")</ns0:f>
        <ns0:v>通过</ns0:v>
      </ns0:c>
      <ns0:c r="P518" s="145" t="str">
        <ns0:v>连续侧边补货</ns0:v>
      </ns0:c>
      <ns0:c r="Q518" s="145" t="str">
        <ns0:v>固定层序见本关首行</ns0:v>
      </ns0:c>
      <ns0:c r="R518" s="149" t="n">
        <ns0:f>E518*H518</ns0:f>
        <ns0:v>0</ns0:v>
      </ns0:c>
    </ns0:row>
    <ns0:row r="519" ht="21" customHeight="1">
      <ns0:c r="A519" s="150" t="n">
        <ns0:v>80</ns0:v>
      </ns0:c>
      <ns0:c r="B519" s="147" t="str">
        <ns0:v>开局</ns0:v>
      </ns0:c>
      <ns0:c r="C519" s="147" t="str">
        <ns0:v>W8-080-01</ns0:v>
      </ns0:c>
      <ns0:c r="D519" s="147" t="str">
        <ns0:v>普通盒</ns0:v>
      </ns0:c>
      <ns0:c r="E519" s="152" t="n">
        <ns0:v>12</ns0:v>
      </ns0:c>
      <ns0:c r="F519" s="152" t="n">
        <ns0:v>4</ns0:v>
      </ns0:c>
      <ns0:c r="G519" s="152" t="n">
        <ns0:v>4</ns0:v>
      </ns0:c>
      <ns0:c r="H519" s="152" t="n">
        <ns0:v>0</ns0:v>
      </ns0:c>
      <ns0:c r="I519" s="150" t="n">
        <ns0:f>E519*G519</ns0:f>
        <ns0:v>48</ns0:v>
      </ns0:c>
      <ns0:c r="J519" s="150" t="n">
        <ns0:f>E519*(F519-G519)</ns0:f>
        <ns0:v>0</ns0:v>
      </ns0:c>
      <ns0:c r="K519" s="150" t="n">
        <ns0:f>IF(AND(B519="开局",G519=0,OR(D519="普通盒",D519="单颗暂存盒")),J519,0)</ns0:f>
        <ns0:v>0</ns0:v>
      </ns0:c>
      <ns0:c r="L519" s="150" t="n">
        <ns0:f>IF(AND(B519="开局",G519&gt;0,OR(D519="普通盒",D519="底部置顶盒",D519="炸弹盒")),J519,0)</ns0:f>
        <ns0:v>0</ns0:v>
      </ns0:c>
      <ns0:c r="M519" s="150" t="n">
        <ns0:f>IF(AND(B519="开局",OR(D519="固定颜色盒",D519="单向收纳盒")),J519,0)</ns0:f>
        <ns0:v>0</ns0:v>
      </ns0:c>
      <ns0:c r="N519" s="150" t="n">
        <ns0:f>IF(AND(B519="开局",OR(D519="数字盖盒",D519="普通冰冻盒",D519="数字冰冻盒",D519="数字冰冻单颗暂存盒")),J519,0)</ns0:f>
        <ns0:v>0</ns0:v>
      </ns0:c>
      <ns0:c r="O519" s="147" t="str">
        <ns0:f>IF(AND(E519&gt;0,E519=INT(E519),G519&gt;=0,G519&lt;=F519,G519=INT(G519),OR(AND(F519=1,OR(D519="单颗暂存盒",D519="数字冰冻单颗暂存盒")),AND(F519=4,NOT(OR(D519="单颗暂存盒",D519="数字冰冻单颗暂存盒")))),IF(OR(D519="数字盖盒",D519="数字冰冻盒",D519="数字冰冻单颗暂存盒"),AND(H519&gt;=1,H519=INT(H519)),H519=0),IF(B519="开局",AND(IF(OR(D519="数字盖盒",D519="普通冰冻盒",D519="数字冰冻盒",D519="炸弹盒",D519="底部置顶盒"),OR(G519=3,G519=4),TRUE),IF(OR(D519="单向收纳盒",D519="单颗暂存盒",D519="数字冰冻单颗暂存盒"),OR(G519=0,G519=1),TRUE),IF(OR(D519="固定颜色盒",D519="广告锁定周转盒"),G519=0,TRUE)),TRUE)),"通过","需调整")</ns0:f>
        <ns0:v>通过</ns0:v>
      </ns0:c>
      <ns0:c r="P519" s="147" t="str">
        <ns0:v>普通盒</ns0:v>
      </ns0:c>
      <ns0:c r="Q519" s="147" t="str">
        <ns0:v>层序JSON:{"reference":"2026-10-12 第71至80关续接设计；自主层序、双循环分工与组合机关波动","slots":[{"group_id":"W8-080-02","layers":[0,3,5]},{"group_id":"W8-080-01","layers":[6,8,6,6]},{"group_id":"W8-080-01","layers":[5,6,8,6]},{"group_id":"W8-080-03","layers":[5]},{"group_id":"W8-080-01","layers":[6,4,0,8]},{"group_id":"W8-080-01","layers":[0,2,5,3]},{"group_id":"W8-080-01","layers":[4,3,2,0]},{"group_id":"W8-080-01","layers":[4,5,4,2]},{"group_id":"W8-080-01","layers":[5,6,4,5]},{"group_id":"W8-080-01","layers":[0,2,4,4]},{"group_id":"W8-080-01","layers":[2,3,3,3]},{"group_id":"W8-080-01","layers":[0,8,2,0]},{"group_id":"W8-080-05","layers":[2,2,8,6]},{"group_id":"W8-080-01","layers":[0,8,5,3]},{"group_id":"W8-080-01","layers":[8,4,8,3]},{"group_id":"W8-080-04","layers":[]},{"group_id":"W8-080-06","layers":[],"fixed_flavor":5}],"stock":[],"demand_sequences":[[3,4,5,2,0,5,8],[2,0,6,8,4,6,3]]}</ns0:v>
      </ns0:c>
      <ns0:c r="R519" s="150" t="n">
        <ns0:f>E519*H519</ns0:f>
        <ns0:v>0</ns0:v>
      </ns0:c>
    </ns0:row>
    <ns0:row r="520" ht="21" customHeight="1">
      <ns0:c r="A520" s="149" t="n">
        <ns0:v>80</ns0:v>
      </ns0:c>
      <ns0:c r="B520" s="145" t="str">
        <ns0:v>开局</ns0:v>
      </ns0:c>
      <ns0:c r="C520" s="145" t="str">
        <ns0:v>W8-080-02</ns0:v>
      </ns0:c>
      <ns0:c r="D520" s="145" t="str">
        <ns0:v>普通盒</ns0:v>
      </ns0:c>
      <ns0:c r="E520" s="152" t="n">
        <ns0:v>1</ns0:v>
      </ns0:c>
      <ns0:c r="F520" s="152" t="n">
        <ns0:v>4</ns0:v>
      </ns0:c>
      <ns0:c r="G520" s="152" t="n">
        <ns0:v>3</ns0:v>
      </ns0:c>
      <ns0:c r="H520" s="152" t="n">
        <ns0:v>0</ns0:v>
      </ns0:c>
      <ns0:c r="I520" s="149" t="n">
        <ns0:f>E520*G520</ns0:f>
        <ns0:v>3</ns0:v>
      </ns0:c>
      <ns0:c r="J520" s="149" t="n">
        <ns0:f>E520*(F520-G520)</ns0:f>
        <ns0:v>1</ns0:v>
      </ns0:c>
      <ns0:c r="K520" s="149" t="n">
        <ns0:f>IF(AND(B520="开局",G520=0,OR(D520="普通盒",D520="单颗暂存盒")),J520,0)</ns0:f>
        <ns0:v>0</ns0:v>
      </ns0:c>
      <ns0:c r="L520" s="149" t="n">
        <ns0:f>IF(AND(B520="开局",G520&gt;0,OR(D520="普通盒",D520="底部置顶盒",D520="炸弹盒")),J520,0)</ns0:f>
        <ns0:v>1</ns0:v>
      </ns0:c>
      <ns0:c r="M520" s="149" t="n">
        <ns0:f>IF(AND(B520="开局",OR(D520="固定颜色盒",D520="单向收纳盒")),J520,0)</ns0:f>
        <ns0:v>0</ns0:v>
      </ns0:c>
      <ns0:c r="N520" s="149" t="n">
        <ns0:f>IF(AND(B520="开局",OR(D520="数字盖盒",D520="普通冰冻盒",D520="数字冰冻盒",D520="数字冰冻单颗暂存盒")),J520,0)</ns0:f>
        <ns0:v>0</ns0:v>
      </ns0:c>
      <ns0:c r="O520" s="145" t="str">
        <ns0:f>IF(AND(E520&gt;0,E520=INT(E520),G520&gt;=0,G520&lt;=F520,G520=INT(G520),OR(AND(F520=1,OR(D520="单颗暂存盒",D520="数字冰冻单颗暂存盒")),AND(F520=4,NOT(OR(D520="单颗暂存盒",D520="数字冰冻单颗暂存盒")))),IF(OR(D520="数字盖盒",D520="数字冰冻盒",D520="数字冰冻单颗暂存盒"),AND(H520&gt;=1,H520=INT(H520)),H520=0),IF(B520="开局",AND(IF(OR(D520="数字盖盒",D520="普通冰冻盒",D520="数字冰冻盒",D520="炸弹盒",D520="底部置顶盒"),OR(G520=3,G520=4),TRUE),IF(OR(D520="单向收纳盒",D520="单颗暂存盒",D520="数字冰冻单颗暂存盒"),OR(G520=0,G520=1),TRUE),IF(OR(D520="固定颜色盒",D520="广告锁定周转盒"),G520=0,TRUE)),TRUE)),"通过","需调整")</ns0:f>
        <ns0:v>通过</ns0:v>
      </ns0:c>
      <ns0:c r="P520" s="145" t="str">
        <ns0:v>普通盒</ns0:v>
      </ns0:c>
      <ns0:c r="Q520" s="145" t="str">
        <ns0:v>固定层序见本关首行</ns0:v>
      </ns0:c>
      <ns0:c r="R520" s="149" t="n">
        <ns0:f>E520*H520</ns0:f>
        <ns0:v>0</ns0:v>
      </ns0:c>
    </ns0:row>
    <ns0:row r="521" ht="21" customHeight="1">
      <ns0:c r="A521" s="150" t="n">
        <ns0:v>80</ns0:v>
      </ns0:c>
      <ns0:c r="B521" s="147" t="str">
        <ns0:v>开局</ns0:v>
      </ns0:c>
      <ns0:c r="C521" s="147" t="str">
        <ns0:v>W8-080-03</ns0:v>
      </ns0:c>
      <ns0:c r="D521" s="147" t="str">
        <ns0:v>普通盒</ns0:v>
      </ns0:c>
      <ns0:c r="E521" s="152" t="n">
        <ns0:v>1</ns0:v>
      </ns0:c>
      <ns0:c r="F521" s="152" t="n">
        <ns0:v>4</ns0:v>
      </ns0:c>
      <ns0:c r="G521" s="152" t="n">
        <ns0:v>1</ns0:v>
      </ns0:c>
      <ns0:c r="H521" s="152" t="n">
        <ns0:v>0</ns0:v>
      </ns0:c>
      <ns0:c r="I521" s="150" t="n">
        <ns0:f>E521*G521</ns0:f>
        <ns0:v>1</ns0:v>
      </ns0:c>
      <ns0:c r="J521" s="150" t="n">
        <ns0:f>E521*(F521-G521)</ns0:f>
        <ns0:v>3</ns0:v>
      </ns0:c>
      <ns0:c r="K521" s="150" t="n">
        <ns0:f>IF(AND(B521="开局",G521=0,OR(D521="普通盒",D521="单颗暂存盒")),J521,0)</ns0:f>
        <ns0:v>0</ns0:v>
      </ns0:c>
      <ns0:c r="L521" s="150" t="n">
        <ns0:f>IF(AND(B521="开局",G521&gt;0,OR(D521="普通盒",D521="底部置顶盒",D521="炸弹盒")),J521,0)</ns0:f>
        <ns0:v>3</ns0:v>
      </ns0:c>
      <ns0:c r="M521" s="150" t="n">
        <ns0:f>IF(AND(B521="开局",OR(D521="固定颜色盒",D521="单向收纳盒")),J521,0)</ns0:f>
        <ns0:v>0</ns0:v>
      </ns0:c>
      <ns0:c r="N521" s="150" t="n">
        <ns0:f>IF(AND(B521="开局",OR(D521="数字盖盒",D521="普通冰冻盒",D521="数字冰冻盒",D521="数字冰冻单颗暂存盒")),J521,0)</ns0:f>
        <ns0:v>0</ns0:v>
      </ns0:c>
      <ns0:c r="O521" s="147" t="str">
        <ns0:f>IF(AND(E521&gt;0,E521=INT(E521),G521&gt;=0,G521&lt;=F521,G521=INT(G521),OR(AND(F521=1,OR(D521="单颗暂存盒",D521="数字冰冻单颗暂存盒")),AND(F521=4,NOT(OR(D521="单颗暂存盒",D521="数字冰冻单颗暂存盒")))),IF(OR(D521="数字盖盒",D521="数字冰冻盒",D521="数字冰冻单颗暂存盒"),AND(H521&gt;=1,H521=INT(H521)),H521=0),IF(B521="开局",AND(IF(OR(D521="数字盖盒",D521="普通冰冻盒",D521="数字冰冻盒",D521="炸弹盒",D521="底部置顶盒"),OR(G521=3,G521=4),TRUE),IF(OR(D521="单向收纳盒",D521="单颗暂存盒",D521="数字冰冻单颗暂存盒"),OR(G521=0,G521=1),TRUE),IF(OR(D521="固定颜色盒",D521="广告锁定周转盒"),G521=0,TRUE)),TRUE)),"通过","需调整")</ns0:f>
        <ns0:v>通过</ns0:v>
      </ns0:c>
      <ns0:c r="P521" s="147" t="str">
        <ns0:v>普通盒</ns0:v>
      </ns0:c>
      <ns0:c r="Q521" s="147" t="str">
        <ns0:v>固定层序见本关首行</ns0:v>
      </ns0:c>
      <ns0:c r="R521" s="150" t="n">
        <ns0:f>E521*H521</ns0:f>
        <ns0:v>0</ns0:v>
      </ns0:c>
    </ns0:row>
    <ns0:row r="522" ht="21" customHeight="1">
      <ns0:c r="A522" s="149" t="n">
        <ns0:v>80</ns0:v>
      </ns0:c>
      <ns0:c r="B522" s="145" t="str">
        <ns0:v>开局</ns0:v>
      </ns0:c>
      <ns0:c r="C522" s="145" t="str">
        <ns0:v>W8-080-04</ns0:v>
      </ns0:c>
      <ns0:c r="D522" s="145" t="str">
        <ns0:v>普通盒</ns0:v>
      </ns0:c>
      <ns0:c r="E522" s="152" t="n">
        <ns0:v>1</ns0:v>
      </ns0:c>
      <ns0:c r="F522" s="152" t="n">
        <ns0:v>4</ns0:v>
      </ns0:c>
      <ns0:c r="G522" s="152" t="n">
        <ns0:v>0</ns0:v>
      </ns0:c>
      <ns0:c r="H522" s="152" t="n">
        <ns0:v>0</ns0:v>
      </ns0:c>
      <ns0:c r="I522" s="149" t="n">
        <ns0:f>E522*G522</ns0:f>
        <ns0:v>0</ns0:v>
      </ns0:c>
      <ns0:c r="J522" s="149" t="n">
        <ns0:f>E522*(F522-G522)</ns0:f>
        <ns0:v>4</ns0:v>
      </ns0:c>
      <ns0:c r="K522" s="149" t="n">
        <ns0:f>IF(AND(B522="开局",G522=0,OR(D522="普通盒",D522="单颗暂存盒")),J522,0)</ns0:f>
        <ns0:v>4</ns0:v>
      </ns0:c>
      <ns0:c r="L522" s="149" t="n">
        <ns0:f>IF(AND(B522="开局",G522&gt;0,OR(D522="普通盒",D522="底部置顶盒",D522="炸弹盒")),J522,0)</ns0:f>
        <ns0:v>0</ns0:v>
      </ns0:c>
      <ns0:c r="M522" s="149" t="n">
        <ns0:f>IF(AND(B522="开局",OR(D522="固定颜色盒",D522="单向收纳盒")),J522,0)</ns0:f>
        <ns0:v>0</ns0:v>
      </ns0:c>
      <ns0:c r="N522" s="149" t="n">
        <ns0:f>IF(AND(B522="开局",OR(D522="数字盖盒",D522="普通冰冻盒",D522="数字冰冻盒",D522="数字冰冻单颗暂存盒")),J522,0)</ns0:f>
        <ns0:v>0</ns0:v>
      </ns0:c>
      <ns0:c r="O522" s="145" t="str">
        <ns0:f>IF(AND(E522&gt;0,E522=INT(E522),G522&gt;=0,G522&lt;=F522,G522=INT(G522),OR(AND(F522=1,OR(D522="单颗暂存盒",D522="数字冰冻单颗暂存盒")),AND(F522=4,NOT(OR(D522="单颗暂存盒",D522="数字冰冻单颗暂存盒")))),IF(OR(D522="数字盖盒",D522="数字冰冻盒",D522="数字冰冻单颗暂存盒"),AND(H522&gt;=1,H522=INT(H522)),H522=0),IF(B522="开局",AND(IF(OR(D522="数字盖盒",D522="普通冰冻盒",D522="数字冰冻盒",D522="炸弹盒",D522="底部置顶盒"),OR(G522=3,G522=4),TRUE),IF(OR(D522="单向收纳盒",D522="单颗暂存盒",D522="数字冰冻单颗暂存盒"),OR(G522=0,G522=1),TRUE),IF(OR(D522="固定颜色盒",D522="广告锁定周转盒"),G522=0,TRUE)),TRUE)),"通过","需调整")</ns0:f>
        <ns0:v>通过</ns0:v>
      </ns0:c>
      <ns0:c r="P522" s="145" t="str">
        <ns0:v>普通盒</ns0:v>
      </ns0:c>
      <ns0:c r="Q522" s="145" t="str">
        <ns0:v>固定层序见本关首行</ns0:v>
      </ns0:c>
      <ns0:c r="R522" s="149" t="n">
        <ns0:f>E522*H522</ns0:f>
        <ns0:v>0</ns0:v>
      </ns0:c>
    </ns0:row>
    <ns0:row r="523" ht="21" customHeight="1">
      <ns0:c r="A523" s="150" t="n">
        <ns0:v>80</ns0:v>
      </ns0:c>
      <ns0:c r="B523" s="147" t="str">
        <ns0:v>开局</ns0:v>
      </ns0:c>
      <ns0:c r="C523" s="147" t="str">
        <ns0:v>W8-080-05</ns0:v>
      </ns0:c>
      <ns0:c r="D523" s="147" t="str">
        <ns0:v>普通冰冻盒</ns0:v>
      </ns0:c>
      <ns0:c r="E523" s="152" t="n">
        <ns0:v>1</ns0:v>
      </ns0:c>
      <ns0:c r="F523" s="152" t="n">
        <ns0:v>4</ns0:v>
      </ns0:c>
      <ns0:c r="G523" s="152" t="n">
        <ns0:v>4</ns0:v>
      </ns0:c>
      <ns0:c r="H523" s="152" t="n">
        <ns0:v>0</ns0:v>
      </ns0:c>
      <ns0:c r="I523" s="150" t="n">
        <ns0:f>E523*G523</ns0:f>
        <ns0:v>4</ns0:v>
      </ns0:c>
      <ns0:c r="J523" s="150" t="n">
        <ns0:f>E523*(F523-G523)</ns0:f>
        <ns0:v>0</ns0:v>
      </ns0:c>
      <ns0:c r="K523" s="150" t="n">
        <ns0:f>IF(AND(B523="开局",G523=0,OR(D523="普通盒",D523="单颗暂存盒")),J523,0)</ns0:f>
        <ns0:v>0</ns0:v>
      </ns0:c>
      <ns0:c r="L523" s="150" t="n">
        <ns0:f>IF(AND(B523="开局",G523&gt;0,OR(D523="普通盒",D523="底部置顶盒",D523="炸弹盒")),J523,0)</ns0:f>
        <ns0:v>0</ns0:v>
      </ns0:c>
      <ns0:c r="M523" s="150" t="n">
        <ns0:f>IF(AND(B523="开局",OR(D523="固定颜色盒",D523="单向收纳盒")),J523,0)</ns0:f>
        <ns0:v>0</ns0:v>
      </ns0:c>
      <ns0:c r="N523" s="150" t="n">
        <ns0:f>IF(AND(B523="开局",OR(D523="数字盖盒",D523="普通冰冻盒",D523="数字冰冻盒",D523="数字冰冻单颗暂存盒")),J523,0)</ns0:f>
        <ns0:v>0</ns0:v>
      </ns0:c>
      <ns0:c r="O523" s="147" t="str">
        <ns0:f>IF(AND(E523&gt;0,E523=INT(E523),G523&gt;=0,G523&lt;=F523,G523=INT(G523),OR(AND(F523=1,OR(D523="单颗暂存盒",D523="数字冰冻单颗暂存盒")),AND(F523=4,NOT(OR(D523="单颗暂存盒",D523="数字冰冻单颗暂存盒")))),IF(OR(D523="数字盖盒",D523="数字冰冻盒",D523="数字冰冻单颗暂存盒"),AND(H523&gt;=1,H523=INT(H523)),H523=0),IF(B523="开局",AND(IF(OR(D523="数字盖盒",D523="普通冰冻盒",D523="数字冰冻盒",D523="炸弹盒",D523="底部置顶盒"),OR(G523=3,G523=4),TRUE),IF(OR(D523="单向收纳盒",D523="单颗暂存盒",D523="数字冰冻单颗暂存盒"),OR(G523=0,G523=1),TRUE),IF(OR(D523="固定颜色盒",D523="广告锁定周转盒"),G523=0,TRUE)),TRUE)),"通过","需调整")</ns0:f>
        <ns0:v>通过</ns0:v>
      </ns0:c>
      <ns0:c r="P523" s="147" t="str">
        <ns0:v>普通冰冻盒</ns0:v>
      </ns0:c>
      <ns0:c r="Q523" s="147" t="str">
        <ns0:v>固定层序见本关首行</ns0:v>
      </ns0:c>
      <ns0:c r="R523" s="150" t="n">
        <ns0:f>E523*H523</ns0:f>
        <ns0:v>0</ns0:v>
      </ns0:c>
    </ns0:row>
    <ns0:row r="524" ht="21" customHeight="1">
      <ns0:c r="A524" s="149" t="n">
        <ns0:v>80</ns0:v>
      </ns0:c>
      <ns0:c r="B524" s="145" t="str">
        <ns0:v>开局</ns0:v>
      </ns0:c>
      <ns0:c r="C524" s="145" t="str">
        <ns0:v>W8-080-06</ns0:v>
      </ns0:c>
      <ns0:c r="D524" s="145" t="str">
        <ns0:v>固定颜色盒</ns0:v>
      </ns0:c>
      <ns0:c r="E524" s="152" t="n">
        <ns0:v>1</ns0:v>
      </ns0:c>
      <ns0:c r="F524" s="152" t="n">
        <ns0:v>4</ns0:v>
      </ns0:c>
      <ns0:c r="G524" s="152" t="n">
        <ns0:v>0</ns0:v>
      </ns0:c>
      <ns0:c r="H524" s="152" t="n">
        <ns0:v>0</ns0:v>
      </ns0:c>
      <ns0:c r="I524" s="149" t="n">
        <ns0:f>E524*G524</ns0:f>
        <ns0:v>0</ns0:v>
      </ns0:c>
      <ns0:c r="J524" s="149" t="n">
        <ns0:f>E524*(F524-G524)</ns0:f>
        <ns0:v>4</ns0:v>
      </ns0:c>
      <ns0:c r="K524" s="149" t="n">
        <ns0:f>IF(AND(B524="开局",G524=0,OR(D524="普通盒",D524="单颗暂存盒")),J524,0)</ns0:f>
        <ns0:v>0</ns0:v>
      </ns0:c>
      <ns0:c r="L524" s="149" t="n">
        <ns0:f>IF(AND(B524="开局",G524&gt;0,OR(D524="普通盒",D524="底部置顶盒",D524="炸弹盒")),J524,0)</ns0:f>
        <ns0:v>0</ns0:v>
      </ns0:c>
      <ns0:c r="M524" s="149" t="n">
        <ns0:f>IF(AND(B524="开局",OR(D524="固定颜色盒",D524="单向收纳盒")),J524,0)</ns0:f>
        <ns0:v>4</ns0:v>
      </ns0:c>
      <ns0:c r="N524" s="149" t="n">
        <ns0:f>IF(AND(B524="开局",OR(D524="数字盖盒",D524="普通冰冻盒",D524="数字冰冻盒",D524="数字冰冻单颗暂存盒")),J524,0)</ns0:f>
        <ns0:v>0</ns0:v>
      </ns0:c>
      <ns0:c r="O524" s="145" t="str">
        <ns0:f>IF(AND(E524&gt;0,E524=INT(E524),G524&gt;=0,G524&lt;=F524,G524=INT(G524),OR(AND(F524=1,OR(D524="单颗暂存盒",D524="数字冰冻单颗暂存盒")),AND(F524=4,NOT(OR(D524="单颗暂存盒",D524="数字冰冻单颗暂存盒")))),IF(OR(D524="数字盖盒",D524="数字冰冻盒",D524="数字冰冻单颗暂存盒"),AND(H524&gt;=1,H524=INT(H524)),H524=0),IF(B524="开局",AND(IF(OR(D524="数字盖盒",D524="普通冰冻盒",D524="数字冰冻盒",D524="炸弹盒",D524="底部置顶盒"),OR(G524=3,G524=4),TRUE),IF(OR(D524="单向收纳盒",D524="单颗暂存盒",D524="数字冰冻单颗暂存盒"),OR(G524=0,G524=1),TRUE),IF(OR(D524="固定颜色盒",D524="广告锁定周转盒"),G524=0,TRUE)),TRUE)),"通过","需调整")</ns0:f>
        <ns0:v>通过</ns0:v>
      </ns0:c>
      <ns0:c r="P524" s="145" t="str">
        <ns0:v>固定颜色盒</ns0:v>
      </ns0:c>
      <ns0:c r="Q524" s="145" t="str">
        <ns0:v>固定层序见本关首行</ns0:v>
      </ns0:c>
      <ns0:c r="R524" s="149" t="n">
        <ns0:f>E524*H524</ns0:f>
        <ns0:v>0</ns0:v>
      </ns0:c>
    </ns0:row>
    <ns0:row r="525" ht="21" customHeight="1">
      <ns0:c r="A525" s="150" t="n">
        <ns0:v>80</ns0:v>
      </ns0:c>
      <ns0:c r="B525" s="147" t="str">
        <ns0:v>开局</ns0:v>
      </ns0:c>
      <ns0:c r="C525" s="147" t="str">
        <ns0:v>W8-080-07</ns0:v>
      </ns0:c>
      <ns0:c r="D525" s="147" t="str">
        <ns0:v>广告锁定周转盒</ns0:v>
      </ns0:c>
      <ns0:c r="E525" s="152" t="n">
        <ns0:v>2</ns0:v>
      </ns0:c>
      <ns0:c r="F525" s="152" t="n">
        <ns0:v>4</ns0:v>
      </ns0:c>
      <ns0:c r="G525" s="152" t="n">
        <ns0:v>0</ns0:v>
      </ns0:c>
      <ns0:c r="H525" s="152" t="n">
        <ns0:v>0</ns0:v>
      </ns0:c>
      <ns0:c r="I525" s="150" t="n">
        <ns0:f>E525*G525</ns0:f>
        <ns0:v>0</ns0:v>
      </ns0:c>
      <ns0:c r="J525" s="150" t="n">
        <ns0:f>E525*(F525-G525)</ns0:f>
        <ns0:v>8</ns0:v>
      </ns0:c>
      <ns0:c r="K525" s="150" t="n">
        <ns0:f>IF(AND(B525="开局",G525=0,OR(D525="普通盒",D525="单颗暂存盒")),J525,0)</ns0:f>
        <ns0:v>0</ns0:v>
      </ns0:c>
      <ns0:c r="L525" s="150" t="n">
        <ns0:f>IF(AND(B525="开局",G525&gt;0,OR(D525="普通盒",D525="底部置顶盒",D525="炸弹盒")),J525,0)</ns0:f>
        <ns0:v>0</ns0:v>
      </ns0:c>
      <ns0:c r="M525" s="150" t="n">
        <ns0:f>IF(AND(B525="开局",OR(D525="固定颜色盒",D525="单向收纳盒")),J525,0)</ns0:f>
        <ns0:v>0</ns0:v>
      </ns0:c>
      <ns0:c r="N525" s="150" t="n">
        <ns0:f>IF(AND(B525="开局",OR(D525="数字盖盒",D525="普通冰冻盒",D525="数字冰冻盒",D525="数字冰冻单颗暂存盒")),J525,0)</ns0:f>
        <ns0:v>0</ns0:v>
      </ns0:c>
      <ns0:c r="O525" s="147" t="str">
        <ns0:f>IF(AND(E525&gt;0,E525=INT(E525),G525&gt;=0,G525&lt;=F525,G525=INT(G525),OR(AND(F525=1,OR(D525="单颗暂存盒",D525="数字冰冻单颗暂存盒")),AND(F525=4,NOT(OR(D525="单颗暂存盒",D525="数字冰冻单颗暂存盒")))),IF(OR(D525="数字盖盒",D525="数字冰冻盒",D525="数字冰冻单颗暂存盒"),AND(H525&gt;=1,H525=INT(H525)),H525=0),IF(B525="开局",AND(IF(OR(D525="数字盖盒",D525="普通冰冻盒",D525="数字冰冻盒",D525="炸弹盒",D525="底部置顶盒"),OR(G525=3,G525=4),TRUE),IF(OR(D525="单向收纳盒",D525="单颗暂存盒",D525="数字冰冻单颗暂存盒"),OR(G525=0,G525=1),TRUE),IF(OR(D525="固定颜色盒",D525="广告锁定周转盒"),G525=0,TRUE)),TRUE)),"通过","需调整")</ns0:f>
        <ns0:v>通过</ns0:v>
      </ns0:c>
      <ns0:c r="P525" s="147" t="str">
        <ns0:v>双广告锁位</ns0:v>
      </ns0:c>
      <ns0:c r="Q525" s="147" t="str">
        <ns0:v>固定层序见本关首行</ns0:v>
      </ns0:c>
      <ns0:c r="R525" s="150" t="n">
        <ns0:f>E525*H525</ns0:f>
        <ns0:v>0</ns0:v>
      </ns0:c>
    </ns0:row>
    <ns0:row r="526" ht="21" customHeight="1">
      <ns0:c r="A526" s="149"/>
      <ns0:c r="B526" s="145"/>
      <ns0:c r="C526" s="145"/>
      <ns0:c r="D526" s="145"/>
      <ns0:c r="E526" s="152"/>
      <ns0:c r="F526" s="152"/>
      <ns0:c r="G526" s="152"/>
      <ns0:c r="H526" s="152"/>
      <ns0:c r="I526" s="149"/>
      <ns0:c r="J526" s="149"/>
      <ns0:c r="K526" s="149"/>
      <ns0:c r="L526" s="149"/>
      <ns0:c r="M526" s="149"/>
      <ns0:c r="N526" s="149"/>
      <ns0:c r="O526" s="145"/>
      <ns0:c r="P526" s="145"/>
      <ns0:c r="Q526" s="145"/>
      <ns0:c r="R526" s="149"/>
    </ns0:row>
    <ns0:row r="527" ht="21" customHeight="1">
      <ns0:c r="A527" s="150"/>
      <ns0:c r="B527" s="147"/>
      <ns0:c r="C527" s="147"/>
      <ns0:c r="D527" s="147"/>
      <ns0:c r="E527" s="152"/>
      <ns0:c r="F527" s="152"/>
      <ns0:c r="G527" s="152"/>
      <ns0:c r="H527" s="152"/>
      <ns0:c r="I527" s="150"/>
      <ns0:c r="J527" s="150"/>
      <ns0:c r="K527" s="150"/>
      <ns0:c r="L527" s="150"/>
      <ns0:c r="M527" s="150"/>
      <ns0:c r="N527" s="150"/>
      <ns0:c r="O527" s="147"/>
      <ns0:c r="P527" s="147"/>
      <ns0:c r="Q527" s="147"/>
      <ns0:c r="R527" s="150"/>
    </ns0:row>
    <ns0:row r="528" ht="21" customHeight="1">
      <ns0:c r="A528" s="149"/>
      <ns0:c r="B528" s="145"/>
      <ns0:c r="C528" s="145"/>
      <ns0:c r="D528" s="145"/>
      <ns0:c r="E528" s="152"/>
      <ns0:c r="F528" s="152"/>
      <ns0:c r="G528" s="152"/>
      <ns0:c r="H528" s="152"/>
      <ns0:c r="I528" s="149"/>
      <ns0:c r="J528" s="149"/>
      <ns0:c r="K528" s="149"/>
      <ns0:c r="L528" s="149"/>
      <ns0:c r="M528" s="149"/>
      <ns0:c r="N528" s="149"/>
      <ns0:c r="O528" s="145"/>
      <ns0:c r="P528" s="145"/>
      <ns0:c r="Q528" s="145"/>
      <ns0:c r="R528" s="149"/>
    </ns0:row>
    <ns0:row r="529" ht="21" customHeight="1">
      <ns0:c r="A529" s="150"/>
      <ns0:c r="B529" s="147"/>
      <ns0:c r="C529" s="147"/>
      <ns0:c r="D529" s="147"/>
      <ns0:c r="E529" s="152"/>
      <ns0:c r="F529" s="152"/>
      <ns0:c r="G529" s="152"/>
      <ns0:c r="H529" s="152"/>
      <ns0:c r="I529" s="150"/>
      <ns0:c r="J529" s="150"/>
      <ns0:c r="K529" s="150"/>
      <ns0:c r="L529" s="150"/>
      <ns0:c r="M529" s="150"/>
      <ns0:c r="N529" s="150"/>
      <ns0:c r="O529" s="147"/>
      <ns0:c r="P529" s="147"/>
      <ns0:c r="Q529" s="147"/>
      <ns0:c r="R529" s="150"/>
    </ns0:row>
    <ns0:row r="530" ht="21" customHeight="1">
      <ns0:c r="A530" s="149"/>
      <ns0:c r="B530" s="145"/>
      <ns0:c r="C530" s="145"/>
      <ns0:c r="D530" s="145"/>
      <ns0:c r="E530" s="152"/>
      <ns0:c r="F530" s="152"/>
      <ns0:c r="G530" s="152"/>
      <ns0:c r="H530" s="152"/>
      <ns0:c r="I530" s="149"/>
      <ns0:c r="J530" s="149"/>
      <ns0:c r="K530" s="149"/>
      <ns0:c r="L530" s="149"/>
      <ns0:c r="M530" s="149"/>
      <ns0:c r="N530" s="149"/>
      <ns0:c r="O530" s="145"/>
      <ns0:c r="P530" s="145"/>
      <ns0:c r="Q530" s="145"/>
      <ns0:c r="R530" s="149"/>
    </ns0:row>
    <ns0:row r="531" ht="21" customHeight="1">
      <ns0:c r="A531" s="150"/>
      <ns0:c r="B531" s="147"/>
      <ns0:c r="C531" s="147"/>
      <ns0:c r="D531" s="147"/>
      <ns0:c r="E531" s="152"/>
      <ns0:c r="F531" s="152"/>
      <ns0:c r="G531" s="152"/>
      <ns0:c r="H531" s="152"/>
      <ns0:c r="I531" s="150"/>
      <ns0:c r="J531" s="150"/>
      <ns0:c r="K531" s="150"/>
      <ns0:c r="L531" s="150"/>
      <ns0:c r="M531" s="150"/>
      <ns0:c r="N531" s="150"/>
      <ns0:c r="O531" s="147"/>
      <ns0:c r="P531" s="147"/>
      <ns0:c r="Q531" s="147"/>
      <ns0:c r="R531" s="150"/>
    </ns0:row>
    <ns0:row r="532" ht="21" customHeight="1">
      <ns0:c r="A532" s="149"/>
      <ns0:c r="B532" s="145"/>
      <ns0:c r="C532" s="145"/>
      <ns0:c r="D532" s="145"/>
      <ns0:c r="E532" s="152"/>
      <ns0:c r="F532" s="152"/>
      <ns0:c r="G532" s="152"/>
      <ns0:c r="H532" s="152"/>
      <ns0:c r="I532" s="149"/>
      <ns0:c r="J532" s="149"/>
      <ns0:c r="K532" s="149"/>
      <ns0:c r="L532" s="149"/>
      <ns0:c r="M532" s="149"/>
      <ns0:c r="N532" s="149"/>
      <ns0:c r="O532" s="145"/>
      <ns0:c r="P532" s="145"/>
      <ns0:c r="Q532" s="145"/>
      <ns0:c r="R532" s="149"/>
    </ns0:row>
    <ns0:row r="533" ht="21" customHeight="1">
      <ns0:c r="A533" s="150"/>
      <ns0:c r="B533" s="147"/>
      <ns0:c r="C533" s="147"/>
      <ns0:c r="D533" s="147"/>
      <ns0:c r="E533" s="152"/>
      <ns0:c r="F533" s="152"/>
      <ns0:c r="G533" s="152"/>
      <ns0:c r="H533" s="152"/>
      <ns0:c r="I533" s="150"/>
      <ns0:c r="J533" s="150"/>
      <ns0:c r="K533" s="150"/>
      <ns0:c r="L533" s="150"/>
      <ns0:c r="M533" s="150"/>
      <ns0:c r="N533" s="150"/>
      <ns0:c r="O533" s="147"/>
      <ns0:c r="P533" s="147"/>
      <ns0:c r="Q533" s="147"/>
      <ns0:c r="R533" s="150"/>
    </ns0:row>
    <ns0:row r="534" ht="21" customHeight="1">
      <ns0:c r="A534" s="149"/>
      <ns0:c r="B534" s="145"/>
      <ns0:c r="C534" s="145"/>
      <ns0:c r="D534" s="145"/>
      <ns0:c r="E534" s="152"/>
      <ns0:c r="F534" s="152"/>
      <ns0:c r="G534" s="152"/>
      <ns0:c r="H534" s="152"/>
      <ns0:c r="I534" s="149"/>
      <ns0:c r="J534" s="149"/>
      <ns0:c r="K534" s="149"/>
      <ns0:c r="L534" s="149"/>
      <ns0:c r="M534" s="149"/>
      <ns0:c r="N534" s="149"/>
      <ns0:c r="O534" s="145"/>
      <ns0:c r="P534" s="145"/>
      <ns0:c r="Q534" s="145"/>
      <ns0:c r="R534" s="149"/>
    </ns0:row>
    <ns0:row r="535" ht="21" customHeight="1">
      <ns0:c r="A535" s="150"/>
      <ns0:c r="B535" s="147"/>
      <ns0:c r="C535" s="147"/>
      <ns0:c r="D535" s="147"/>
      <ns0:c r="E535" s="152"/>
      <ns0:c r="F535" s="152"/>
      <ns0:c r="G535" s="152"/>
      <ns0:c r="H535" s="152"/>
      <ns0:c r="I535" s="150"/>
      <ns0:c r="J535" s="150"/>
      <ns0:c r="K535" s="150"/>
      <ns0:c r="L535" s="150"/>
      <ns0:c r="M535" s="150"/>
      <ns0:c r="N535" s="150"/>
      <ns0:c r="O535" s="147"/>
      <ns0:c r="P535" s="147"/>
      <ns0:c r="Q535" s="147"/>
      <ns0:c r="R535" s="150"/>
    </ns0:row>
    <ns0:row r="536" ht="21" customHeight="1">
      <ns0:c r="A536" s="149"/>
      <ns0:c r="B536" s="145"/>
      <ns0:c r="C536" s="145"/>
      <ns0:c r="D536" s="145"/>
      <ns0:c r="E536" s="152"/>
      <ns0:c r="F536" s="152"/>
      <ns0:c r="G536" s="152"/>
      <ns0:c r="H536" s="152"/>
      <ns0:c r="I536" s="149"/>
      <ns0:c r="J536" s="149"/>
      <ns0:c r="K536" s="149"/>
      <ns0:c r="L536" s="149"/>
      <ns0:c r="M536" s="149"/>
      <ns0:c r="N536" s="149"/>
      <ns0:c r="O536" s="145"/>
      <ns0:c r="P536" s="145"/>
      <ns0:c r="Q536" s="145"/>
      <ns0:c r="R536" s="149"/>
    </ns0:row>
    <ns0:row r="537" ht="21" customHeight="1">
      <ns0:c r="A537" s="150"/>
      <ns0:c r="B537" s="147"/>
      <ns0:c r="C537" s="147"/>
      <ns0:c r="D537" s="147"/>
      <ns0:c r="E537" s="152"/>
      <ns0:c r="F537" s="152"/>
      <ns0:c r="G537" s="152"/>
      <ns0:c r="H537" s="152"/>
      <ns0:c r="I537" s="150"/>
      <ns0:c r="J537" s="150"/>
      <ns0:c r="K537" s="150"/>
      <ns0:c r="L537" s="150"/>
      <ns0:c r="M537" s="150"/>
      <ns0:c r="N537" s="150"/>
      <ns0:c r="O537" s="147"/>
      <ns0:c r="P537" s="147"/>
      <ns0:c r="Q537" s="147"/>
      <ns0:c r="R537" s="150"/>
    </ns0:row>
    <ns0:row r="538" ht="21" customHeight="1">
      <ns0:c r="A538" s="149"/>
      <ns0:c r="B538" s="145"/>
      <ns0:c r="C538" s="145"/>
      <ns0:c r="D538" s="145"/>
      <ns0:c r="E538" s="152"/>
      <ns0:c r="F538" s="152"/>
      <ns0:c r="G538" s="152"/>
      <ns0:c r="H538" s="152"/>
      <ns0:c r="I538" s="149"/>
      <ns0:c r="J538" s="149"/>
      <ns0:c r="K538" s="149"/>
      <ns0:c r="L538" s="149"/>
      <ns0:c r="M538" s="149"/>
      <ns0:c r="N538" s="149"/>
      <ns0:c r="O538" s="145"/>
      <ns0:c r="P538" s="145"/>
      <ns0:c r="Q538" s="145"/>
      <ns0:c r="R538" s="149"/>
    </ns0:row>
    <ns0:row r="539" ht="21" customHeight="1">
      <ns0:c r="A539" s="150"/>
      <ns0:c r="B539" s="147"/>
      <ns0:c r="C539" s="147"/>
      <ns0:c r="D539" s="147"/>
      <ns0:c r="E539" s="152"/>
      <ns0:c r="F539" s="152"/>
      <ns0:c r="G539" s="152"/>
      <ns0:c r="H539" s="152"/>
      <ns0:c r="I539" s="150"/>
      <ns0:c r="J539" s="150"/>
      <ns0:c r="K539" s="150"/>
      <ns0:c r="L539" s="150"/>
      <ns0:c r="M539" s="150"/>
      <ns0:c r="N539" s="150"/>
      <ns0:c r="O539" s="147"/>
      <ns0:c r="P539" s="147"/>
      <ns0:c r="Q539" s="147"/>
      <ns0:c r="R539" s="150"/>
    </ns0:row>
    <ns0:row r="540" ht="21" customHeight="1">
      <ns0:c r="A540" s="149" t="n">
        <ns0:v>81</ns0:v>
      </ns0:c>
      <ns0:c r="B540" s="145" t="str">
        <ns0:v>开局</ns0:v>
      </ns0:c>
      <ns0:c r="C540" s="145" t="str">
        <ns0:v>W9-081-01</ns0:v>
      </ns0:c>
      <ns0:c r="D540" s="145" t="str">
        <ns0:v>普通盒</ns0:v>
      </ns0:c>
      <ns0:c r="E540" s="152" t="n">
        <ns0:v>11</ns0:v>
      </ns0:c>
      <ns0:c r="F540" s="152" t="n">
        <ns0:v>4</ns0:v>
      </ns0:c>
      <ns0:c r="G540" s="152" t="n">
        <ns0:v>4</ns0:v>
      </ns0:c>
      <ns0:c r="H540" s="152" t="n">
        <ns0:v>0</ns0:v>
      </ns0:c>
      <ns0:c r="I540" s="149" t="n">
        <ns0:f>E540*G540</ns0:f>
        <ns0:v>44</ns0:v>
      </ns0:c>
      <ns0:c r="J540" s="149" t="n">
        <ns0:f>E540*(F540-G540)</ns0:f>
        <ns0:v>0</ns0:v>
      </ns0:c>
      <ns0:c r="K540" s="149" t="n">
        <ns0:f>IF(AND(B540="开局",G540=0,OR(D540="普通盒",D540="单颗暂存盒")),J540,0)</ns0:f>
        <ns0:v>0</ns0:v>
      </ns0:c>
      <ns0:c r="L540" s="149" t="n">
        <ns0:f>IF(AND(B540="开局",G540&gt;0,OR(D540="普通盒",D540="底部置顶盒",D540="炸弹盒")),J540,0)</ns0:f>
        <ns0:v>0</ns0:v>
      </ns0:c>
      <ns0:c r="M540" s="149" t="n">
        <ns0:f>IF(AND(B540="开局",OR(D540="固定颜色盒",D540="单向收纳盒")),J540,0)</ns0:f>
        <ns0:v>0</ns0:v>
      </ns0:c>
      <ns0:c r="N540" s="149" t="n">
        <ns0:f>IF(AND(B540="开局",OR(D540="数字盖盒",D540="普通冰冻盒",D540="数字冰冻盒",D540="数字冰冻单颗暂存盒")),J540,0)</ns0:f>
        <ns0:v>0</ns0:v>
      </ns0:c>
      <ns0:c r="O540" s="145" t="str">
        <ns0:f>IF(AND(E540&gt;0,E540=INT(E540),G540&gt;=0,G540&lt;=F540,G540=INT(G540),OR(AND(F540=1,OR(D540="单颗暂存盒",D540="数字冰冻单颗暂存盒")),AND(F540=4,NOT(OR(D540="单颗暂存盒",D540="数字冰冻单颗暂存盒")))),IF(OR(D540="数字盖盒",D540="数字冰冻盒",D540="数字冰冻单颗暂存盒"),AND(H540&gt;=1,H540=INT(H540)),H540=0),IF(B540="开局",AND(IF(OR(D540="数字盖盒",D540="普通冰冻盒",D540="数字冰冻盒",D540="炸弹盒",D540="底部置顶盒"),OR(G540=3,G540=4),TRUE),IF(OR(D540="单向收纳盒",D540="单颗暂存盒",D540="数字冰冻单颗暂存盒"),OR(G540=0,G540=1),TRUE),IF(OR(D540="固定颜色盒",D540="广告锁定周转盒"),G540=0,TRUE)),TRUE)),"通过","需调整")</ns0:f>
        <ns0:v>通过</ns0:v>
      </ns0:c>
      <ns0:c r="P540" s="145" t="str">
        <ns0:v>普通盒</ns0:v>
      </ns0:c>
      <ns0:c r="Q540" s="145" t="str">
        <ns0:v>层序JSON:{"reference":"2026-10-12 第81至90关炸弹学习与缓和节奏；固定层序、明牌拆弹材料与组合机关","slots":[{"group_id":"W9-081-01","layers":[3,2,3,8]},{"group_id":"W9-081-05","layers":[4,6,4,4],"bomb_seconds":120},{"group_id":"W9-081-01","layers":[0,6,5,3]},{"group_id":"W9-081-03","layers":[6]},{"group_id":"W9-081-01","layers":[3,2,5,6]},{"group_id":"W9-081-01","layers":[5,4,8,6]},{"group_id":"W9-081-01","layers":[0,3,3,5]},{"group_id":"W9-081-01","layers":[4,4,5,6]},{"group_id":"W9-081-01","layers":[2,4,3,2]},{"group_id":"W9-081-02","layers":[6,4,0]},{"group_id":"W9-081-01","layers":[5,0,5,0]},{"group_id":"W9-081-01","layers":[3,2,5,0]},{"group_id":"W9-081-01","layers":[2,0,2,0]},{"group_id":"W9-081-01","layers":[8,8,6,2]},{"group_id":"W9-081-04","layers":[]},{"group_id":"W9-081-04","layers":[]}],"stock":[],"demand_sequences":[[4,3,5,2,6,5,0],[6,4,0,8,3,2]]}</ns0:v>
      </ns0:c>
      <ns0:c r="R540" s="149" t="n">
        <ns0:f>E540*H540</ns0:f>
        <ns0:v>0</ns0:v>
      </ns0:c>
    </ns0:row>
    <ns0:row r="541" ht="21" customHeight="1">
      <ns0:c r="A541" s="150" t="n">
        <ns0:v>81</ns0:v>
      </ns0:c>
      <ns0:c r="B541" s="147" t="str">
        <ns0:v>开局</ns0:v>
      </ns0:c>
      <ns0:c r="C541" s="147" t="str">
        <ns0:v>W9-081-02</ns0:v>
      </ns0:c>
      <ns0:c r="D541" s="147" t="str">
        <ns0:v>普通盒</ns0:v>
      </ns0:c>
      <ns0:c r="E541" s="152" t="n">
        <ns0:v>1</ns0:v>
      </ns0:c>
      <ns0:c r="F541" s="152" t="n">
        <ns0:v>4</ns0:v>
      </ns0:c>
      <ns0:c r="G541" s="152" t="n">
        <ns0:v>3</ns0:v>
      </ns0:c>
      <ns0:c r="H541" s="152" t="n">
        <ns0:v>0</ns0:v>
      </ns0:c>
      <ns0:c r="I541" s="150" t="n">
        <ns0:f>E541*G541</ns0:f>
        <ns0:v>3</ns0:v>
      </ns0:c>
      <ns0:c r="J541" s="150" t="n">
        <ns0:f>E541*(F541-G541)</ns0:f>
        <ns0:v>1</ns0:v>
      </ns0:c>
      <ns0:c r="K541" s="150" t="n">
        <ns0:f>IF(AND(B541="开局",G541=0,OR(D541="普通盒",D541="单颗暂存盒")),J541,0)</ns0:f>
        <ns0:v>0</ns0:v>
      </ns0:c>
      <ns0:c r="L541" s="150" t="n">
        <ns0:f>IF(AND(B541="开局",G541&gt;0,OR(D541="普通盒",D541="底部置顶盒",D541="炸弹盒")),J541,0)</ns0:f>
        <ns0:v>1</ns0:v>
      </ns0:c>
      <ns0:c r="M541" s="150" t="n">
        <ns0:f>IF(AND(B541="开局",OR(D541="固定颜色盒",D541="单向收纳盒")),J541,0)</ns0:f>
        <ns0:v>0</ns0:v>
      </ns0:c>
      <ns0:c r="N541" s="150" t="n">
        <ns0:f>IF(AND(B541="开局",OR(D541="数字盖盒",D541="普通冰冻盒",D541="数字冰冻盒",D541="数字冰冻单颗暂存盒")),J541,0)</ns0:f>
        <ns0:v>0</ns0:v>
      </ns0:c>
      <ns0:c r="O541" s="147" t="str">
        <ns0:f>IF(AND(E541&gt;0,E541=INT(E541),G541&gt;=0,G541&lt;=F541,G541=INT(G541),OR(AND(F541=1,OR(D541="单颗暂存盒",D541="数字冰冻单颗暂存盒")),AND(F541=4,NOT(OR(D541="单颗暂存盒",D541="数字冰冻单颗暂存盒")))),IF(OR(D541="数字盖盒",D541="数字冰冻盒",D541="数字冰冻单颗暂存盒"),AND(H541&gt;=1,H541=INT(H541)),H541=0),IF(B541="开局",AND(IF(OR(D541="数字盖盒",D541="普通冰冻盒",D541="数字冰冻盒",D541="炸弹盒",D541="底部置顶盒"),OR(G541=3,G541=4),TRUE),IF(OR(D541="单向收纳盒",D541="单颗暂存盒",D541="数字冰冻单颗暂存盒"),OR(G541=0,G541=1),TRUE),IF(OR(D541="固定颜色盒",D541="广告锁定周转盒"),G541=0,TRUE)),TRUE)),"通过","需调整")</ns0:f>
        <ns0:v>通过</ns0:v>
      </ns0:c>
      <ns0:c r="P541" s="147" t="str">
        <ns0:v>普通盒</ns0:v>
      </ns0:c>
      <ns0:c r="Q541" s="147" t="str">
        <ns0:v>固定层序见本关首行</ns0:v>
      </ns0:c>
      <ns0:c r="R541" s="150" t="n">
        <ns0:f>E541*H541</ns0:f>
        <ns0:v>0</ns0:v>
      </ns0:c>
    </ns0:row>
    <ns0:row r="542" ht="21" customHeight="1">
      <ns0:c r="A542" s="149" t="n">
        <ns0:v>81</ns0:v>
      </ns0:c>
      <ns0:c r="B542" s="145" t="str">
        <ns0:v>开局</ns0:v>
      </ns0:c>
      <ns0:c r="C542" s="145" t="str">
        <ns0:v>W9-081-03</ns0:v>
      </ns0:c>
      <ns0:c r="D542" s="145" t="str">
        <ns0:v>普通盒</ns0:v>
      </ns0:c>
      <ns0:c r="E542" s="152" t="n">
        <ns0:v>1</ns0:v>
      </ns0:c>
      <ns0:c r="F542" s="152" t="n">
        <ns0:v>4</ns0:v>
      </ns0:c>
      <ns0:c r="G542" s="152" t="n">
        <ns0:v>1</ns0:v>
      </ns0:c>
      <ns0:c r="H542" s="152" t="n">
        <ns0:v>0</ns0:v>
      </ns0:c>
      <ns0:c r="I542" s="149" t="n">
        <ns0:f>E542*G542</ns0:f>
        <ns0:v>1</ns0:v>
      </ns0:c>
      <ns0:c r="J542" s="149" t="n">
        <ns0:f>E542*(F542-G542)</ns0:f>
        <ns0:v>3</ns0:v>
      </ns0:c>
      <ns0:c r="K542" s="149" t="n">
        <ns0:f>IF(AND(B542="开局",G542=0,OR(D542="普通盒",D542="单颗暂存盒")),J542,0)</ns0:f>
        <ns0:v>0</ns0:v>
      </ns0:c>
      <ns0:c r="L542" s="149" t="n">
        <ns0:f>IF(AND(B542="开局",G542&gt;0,OR(D542="普通盒",D542="底部置顶盒",D542="炸弹盒")),J542,0)</ns0:f>
        <ns0:v>3</ns0:v>
      </ns0:c>
      <ns0:c r="M542" s="149" t="n">
        <ns0:f>IF(AND(B542="开局",OR(D542="固定颜色盒",D542="单向收纳盒")),J542,0)</ns0:f>
        <ns0:v>0</ns0:v>
      </ns0:c>
      <ns0:c r="N542" s="149" t="n">
        <ns0:f>IF(AND(B542="开局",OR(D542="数字盖盒",D542="普通冰冻盒",D542="数字冰冻盒",D542="数字冰冻单颗暂存盒")),J542,0)</ns0:f>
        <ns0:v>0</ns0:v>
      </ns0:c>
      <ns0:c r="O542" s="145" t="str">
        <ns0:f>IF(AND(E542&gt;0,E542=INT(E542),G542&gt;=0,G542&lt;=F542,G542=INT(G542),OR(AND(F542=1,OR(D542="单颗暂存盒",D542="数字冰冻单颗暂存盒")),AND(F542=4,NOT(OR(D542="单颗暂存盒",D542="数字冰冻单颗暂存盒")))),IF(OR(D542="数字盖盒",D542="数字冰冻盒",D542="数字冰冻单颗暂存盒"),AND(H542&gt;=1,H542=INT(H542)),H542=0),IF(B542="开局",AND(IF(OR(D542="数字盖盒",D542="普通冰冻盒",D542="数字冰冻盒",D542="炸弹盒",D542="底部置顶盒"),OR(G542=3,G542=4),TRUE),IF(OR(D542="单向收纳盒",D542="单颗暂存盒",D542="数字冰冻单颗暂存盒"),OR(G542=0,G542=1),TRUE),IF(OR(D542="固定颜色盒",D542="广告锁定周转盒"),G542=0,TRUE)),TRUE)),"通过","需调整")</ns0:f>
        <ns0:v>通过</ns0:v>
      </ns0:c>
      <ns0:c r="P542" s="145" t="str">
        <ns0:v>普通盒</ns0:v>
      </ns0:c>
      <ns0:c r="Q542" s="145" t="str">
        <ns0:v>固定层序见本关首行</ns0:v>
      </ns0:c>
      <ns0:c r="R542" s="149" t="n">
        <ns0:f>E542*H542</ns0:f>
        <ns0:v>0</ns0:v>
      </ns0:c>
    </ns0:row>
    <ns0:row r="543" ht="21" customHeight="1">
      <ns0:c r="A543" s="150" t="n">
        <ns0:v>81</ns0:v>
      </ns0:c>
      <ns0:c r="B543" s="147" t="str">
        <ns0:v>开局</ns0:v>
      </ns0:c>
      <ns0:c r="C543" s="147" t="str">
        <ns0:v>W9-081-04</ns0:v>
      </ns0:c>
      <ns0:c r="D543" s="147" t="str">
        <ns0:v>普通盒</ns0:v>
      </ns0:c>
      <ns0:c r="E543" s="152" t="n">
        <ns0:v>2</ns0:v>
      </ns0:c>
      <ns0:c r="F543" s="152" t="n">
        <ns0:v>4</ns0:v>
      </ns0:c>
      <ns0:c r="G543" s="152" t="n">
        <ns0:v>0</ns0:v>
      </ns0:c>
      <ns0:c r="H543" s="152" t="n">
        <ns0:v>0</ns0:v>
      </ns0:c>
      <ns0:c r="I543" s="150" t="n">
        <ns0:f>E543*G543</ns0:f>
        <ns0:v>0</ns0:v>
      </ns0:c>
      <ns0:c r="J543" s="150" t="n">
        <ns0:f>E543*(F543-G543)</ns0:f>
        <ns0:v>8</ns0:v>
      </ns0:c>
      <ns0:c r="K543" s="150" t="n">
        <ns0:f>IF(AND(B543="开局",G543=0,OR(D543="普通盒",D543="单颗暂存盒")),J543,0)</ns0:f>
        <ns0:v>8</ns0:v>
      </ns0:c>
      <ns0:c r="L543" s="150" t="n">
        <ns0:f>IF(AND(B543="开局",G543&gt;0,OR(D543="普通盒",D543="底部置顶盒",D543="炸弹盒")),J543,0)</ns0:f>
        <ns0:v>0</ns0:v>
      </ns0:c>
      <ns0:c r="M543" s="150" t="n">
        <ns0:f>IF(AND(B543="开局",OR(D543="固定颜色盒",D543="单向收纳盒")),J543,0)</ns0:f>
        <ns0:v>0</ns0:v>
      </ns0:c>
      <ns0:c r="N543" s="150" t="n">
        <ns0:f>IF(AND(B543="开局",OR(D543="数字盖盒",D543="普通冰冻盒",D543="数字冰冻盒",D543="数字冰冻单颗暂存盒")),J543,0)</ns0:f>
        <ns0:v>0</ns0:v>
      </ns0:c>
      <ns0:c r="O543" s="147" t="str">
        <ns0:f>IF(AND(E543&gt;0,E543=INT(E543),G543&gt;=0,G543&lt;=F543,G543=INT(G543),OR(AND(F543=1,OR(D543="单颗暂存盒",D543="数字冰冻单颗暂存盒")),AND(F543=4,NOT(OR(D543="单颗暂存盒",D543="数字冰冻单颗暂存盒")))),IF(OR(D543="数字盖盒",D543="数字冰冻盒",D543="数字冰冻单颗暂存盒"),AND(H543&gt;=1,H543=INT(H543)),H543=0),IF(B543="开局",AND(IF(OR(D543="数字盖盒",D543="普通冰冻盒",D543="数字冰冻盒",D543="炸弹盒",D543="底部置顶盒"),OR(G543=3,G543=4),TRUE),IF(OR(D543="单向收纳盒",D543="单颗暂存盒",D543="数字冰冻单颗暂存盒"),OR(G543=0,G543=1),TRUE),IF(OR(D543="固定颜色盒",D543="广告锁定周转盒"),G543=0,TRUE)),TRUE)),"通过","需调整")</ns0:f>
        <ns0:v>通过</ns0:v>
      </ns0:c>
      <ns0:c r="P543" s="147" t="str">
        <ns0:v>普通盒</ns0:v>
      </ns0:c>
      <ns0:c r="Q543" s="147" t="str">
        <ns0:v>固定层序见本关首行</ns0:v>
      </ns0:c>
      <ns0:c r="R543" s="150" t="n">
        <ns0:f>E543*H543</ns0:f>
        <ns0:v>0</ns0:v>
      </ns0:c>
    </ns0:row>
    <ns0:row r="544" ht="21" customHeight="1">
      <ns0:c r="A544" s="149" t="n">
        <ns0:v>81</ns0:v>
      </ns0:c>
      <ns0:c r="B544" s="145" t="str">
        <ns0:v>开局</ns0:v>
      </ns0:c>
      <ns0:c r="C544" s="145" t="str">
        <ns0:v>W9-081-05</ns0:v>
      </ns0:c>
      <ns0:c r="D544" s="145" t="str">
        <ns0:v>炸弹盒</ns0:v>
      </ns0:c>
      <ns0:c r="E544" s="152" t="n">
        <ns0:v>1</ns0:v>
      </ns0:c>
      <ns0:c r="F544" s="152" t="n">
        <ns0:v>4</ns0:v>
      </ns0:c>
      <ns0:c r="G544" s="152" t="n">
        <ns0:v>4</ns0:v>
      </ns0:c>
      <ns0:c r="H544" s="152" t="n">
        <ns0:v>0</ns0:v>
      </ns0:c>
      <ns0:c r="I544" s="149" t="n">
        <ns0:f>E544*G544</ns0:f>
        <ns0:v>4</ns0:v>
      </ns0:c>
      <ns0:c r="J544" s="149" t="n">
        <ns0:f>E544*(F544-G544)</ns0:f>
        <ns0:v>0</ns0:v>
      </ns0:c>
      <ns0:c r="K544" s="149" t="n">
        <ns0:f>IF(AND(B544="开局",G544=0,OR(D544="普通盒",D544="单颗暂存盒")),J544,0)</ns0:f>
        <ns0:v>0</ns0:v>
      </ns0:c>
      <ns0:c r="L544" s="149" t="n">
        <ns0:f>IF(AND(B544="开局",G544&gt;0,OR(D544="普通盒",D544="底部置顶盒",D544="炸弹盒")),J544,0)</ns0:f>
        <ns0:v>0</ns0:v>
      </ns0:c>
      <ns0:c r="M544" s="149" t="n">
        <ns0:f>IF(AND(B544="开局",OR(D544="固定颜色盒",D544="单向收纳盒")),J544,0)</ns0:f>
        <ns0:v>0</ns0:v>
      </ns0:c>
      <ns0:c r="N544" s="149" t="n">
        <ns0:f>IF(AND(B544="开局",OR(D544="数字盖盒",D544="普通冰冻盒",D544="数字冰冻盒",D544="数字冰冻单颗暂存盒")),J544,0)</ns0:f>
        <ns0:v>0</ns0:v>
      </ns0:c>
      <ns0:c r="O544" s="145" t="str">
        <ns0:f>IF(AND(E544&gt;0,E544=INT(E544),G544&gt;=0,G544&lt;=F544,G544=INT(G544),OR(AND(F544=1,OR(D544="单颗暂存盒",D544="数字冰冻单颗暂存盒")),AND(F544=4,NOT(OR(D544="单颗暂存盒",D544="数字冰冻单颗暂存盒")))),IF(OR(D544="数字盖盒",D544="数字冰冻盒",D544="数字冰冻单颗暂存盒"),AND(H544&gt;=1,H544=INT(H544)),H544=0),IF(B544="开局",AND(IF(OR(D544="数字盖盒",D544="普通冰冻盒",D544="数字冰冻盒",D544="炸弹盒",D544="底部置顶盒"),OR(G544=3,G544=4),TRUE),IF(OR(D544="单向收纳盒",D544="单颗暂存盒",D544="数字冰冻单颗暂存盒"),OR(G544=0,G544=1),TRUE),IF(OR(D544="固定颜色盒",D544="广告锁定周转盒"),G544=0,TRUE)),TRUE)),"通过","需调整")</ns0:f>
        <ns0:v>通过</ns0:v>
      </ns0:c>
      <ns0:c r="P544" s="145" t="str">
        <ns0:v>炸弹盒</ns0:v>
      </ns0:c>
      <ns0:c r="Q544" s="145" t="str">
        <ns0:v>固定层序见本关首行</ns0:v>
      </ns0:c>
      <ns0:c r="R544" s="149" t="n">
        <ns0:f>E544*H544</ns0:f>
        <ns0:v>0</ns0:v>
      </ns0:c>
    </ns0:row>
    <ns0:row r="545" ht="21" customHeight="1">
      <ns0:c r="A545" s="150" t="n">
        <ns0:v>81</ns0:v>
      </ns0:c>
      <ns0:c r="B545" s="147" t="str">
        <ns0:v>开局</ns0:v>
      </ns0:c>
      <ns0:c r="C545" s="147" t="str">
        <ns0:v>W9-081-06</ns0:v>
      </ns0:c>
      <ns0:c r="D545" s="147" t="str">
        <ns0:v>广告锁定周转盒</ns0:v>
      </ns0:c>
      <ns0:c r="E545" s="152" t="n">
        <ns0:v>2</ns0:v>
      </ns0:c>
      <ns0:c r="F545" s="152" t="n">
        <ns0:v>4</ns0:v>
      </ns0:c>
      <ns0:c r="G545" s="152" t="n">
        <ns0:v>0</ns0:v>
      </ns0:c>
      <ns0:c r="H545" s="152" t="n">
        <ns0:v>0</ns0:v>
      </ns0:c>
      <ns0:c r="I545" s="150" t="n">
        <ns0:f>E545*G545</ns0:f>
        <ns0:v>0</ns0:v>
      </ns0:c>
      <ns0:c r="J545" s="150" t="n">
        <ns0:f>E545*(F545-G545)</ns0:f>
        <ns0:v>8</ns0:v>
      </ns0:c>
      <ns0:c r="K545" s="150" t="n">
        <ns0:f>IF(AND(B545="开局",G545=0,OR(D545="普通盒",D545="单颗暂存盒")),J545,0)</ns0:f>
        <ns0:v>0</ns0:v>
      </ns0:c>
      <ns0:c r="L545" s="150" t="n">
        <ns0:f>IF(AND(B545="开局",G545&gt;0,OR(D545="普通盒",D545="底部置顶盒",D545="炸弹盒")),J545,0)</ns0:f>
        <ns0:v>0</ns0:v>
      </ns0:c>
      <ns0:c r="M545" s="150" t="n">
        <ns0:f>IF(AND(B545="开局",OR(D545="固定颜色盒",D545="单向收纳盒")),J545,0)</ns0:f>
        <ns0:v>0</ns0:v>
      </ns0:c>
      <ns0:c r="N545" s="150" t="n">
        <ns0:f>IF(AND(B545="开局",OR(D545="数字盖盒",D545="普通冰冻盒",D545="数字冰冻盒",D545="数字冰冻单颗暂存盒")),J545,0)</ns0:f>
        <ns0:v>0</ns0:v>
      </ns0:c>
      <ns0:c r="O545" s="147" t="str">
        <ns0:f>IF(AND(E545&gt;0,E545=INT(E545),G545&gt;=0,G545&lt;=F545,G545=INT(G545),OR(AND(F545=1,OR(D545="单颗暂存盒",D545="数字冰冻单颗暂存盒")),AND(F545=4,NOT(OR(D545="单颗暂存盒",D545="数字冰冻单颗暂存盒")))),IF(OR(D545="数字盖盒",D545="数字冰冻盒",D545="数字冰冻单颗暂存盒"),AND(H545&gt;=1,H545=INT(H545)),H545=0),IF(B545="开局",AND(IF(OR(D545="数字盖盒",D545="普通冰冻盒",D545="数字冰冻盒",D545="炸弹盒",D545="底部置顶盒"),OR(G545=3,G545=4),TRUE),IF(OR(D545="单向收纳盒",D545="单颗暂存盒",D545="数字冰冻单颗暂存盒"),OR(G545=0,G545=1),TRUE),IF(OR(D545="固定颜色盒",D545="广告锁定周转盒"),G545=0,TRUE)),TRUE)),"通过","需调整")</ns0:f>
        <ns0:v>通过</ns0:v>
      </ns0:c>
      <ns0:c r="P545" s="147" t="str">
        <ns0:v>双广告锁位</ns0:v>
      </ns0:c>
      <ns0:c r="Q545" s="147" t="str">
        <ns0:v>固定层序见本关首行</ns0:v>
      </ns0:c>
      <ns0:c r="R545" s="150" t="n">
        <ns0:f>E545*H545</ns0:f>
        <ns0:v>0</ns0:v>
      </ns0:c>
    </ns0:row>
    <ns0:row r="546" ht="21" customHeight="1">
      <ns0:c r="A546" s="149" t="n">
        <ns0:v>82</ns0:v>
      </ns0:c>
      <ns0:c r="B546" s="145" t="str">
        <ns0:v>开局</ns0:v>
      </ns0:c>
      <ns0:c r="C546" s="145" t="str">
        <ns0:v>W9-082-01</ns0:v>
      </ns0:c>
      <ns0:c r="D546" s="145" t="str">
        <ns0:v>普通盒</ns0:v>
      </ns0:c>
      <ns0:c r="E546" s="152" t="n">
        <ns0:v>12</ns0:v>
      </ns0:c>
      <ns0:c r="F546" s="152" t="n">
        <ns0:v>4</ns0:v>
      </ns0:c>
      <ns0:c r="G546" s="152" t="n">
        <ns0:v>4</ns0:v>
      </ns0:c>
      <ns0:c r="H546" s="152" t="n">
        <ns0:v>0</ns0:v>
      </ns0:c>
      <ns0:c r="I546" s="149" t="n">
        <ns0:f>E546*G546</ns0:f>
        <ns0:v>48</ns0:v>
      </ns0:c>
      <ns0:c r="J546" s="149" t="n">
        <ns0:f>E546*(F546-G546)</ns0:f>
        <ns0:v>0</ns0:v>
      </ns0:c>
      <ns0:c r="K546" s="149" t="n">
        <ns0:f>IF(AND(B546="开局",G546=0,OR(D546="普通盒",D546="单颗暂存盒")),J546,0)</ns0:f>
        <ns0:v>0</ns0:v>
      </ns0:c>
      <ns0:c r="L546" s="149" t="n">
        <ns0:f>IF(AND(B546="开局",G546&gt;0,OR(D546="普通盒",D546="底部置顶盒",D546="炸弹盒")),J546,0)</ns0:f>
        <ns0:v>0</ns0:v>
      </ns0:c>
      <ns0:c r="M546" s="149" t="n">
        <ns0:f>IF(AND(B546="开局",OR(D546="固定颜色盒",D546="单向收纳盒")),J546,0)</ns0:f>
        <ns0:v>0</ns0:v>
      </ns0:c>
      <ns0:c r="N546" s="149" t="n">
        <ns0:f>IF(AND(B546="开局",OR(D546="数字盖盒",D546="普通冰冻盒",D546="数字冰冻盒",D546="数字冰冻单颗暂存盒")),J546,0)</ns0:f>
        <ns0:v>0</ns0:v>
      </ns0:c>
      <ns0:c r="O546" s="145" t="str">
        <ns0:f>IF(AND(E546&gt;0,E546=INT(E546),G546&gt;=0,G546&lt;=F546,G546=INT(G546),OR(AND(F546=1,OR(D546="单颗暂存盒",D546="数字冰冻单颗暂存盒")),AND(F546=4,NOT(OR(D546="单颗暂存盒",D546="数字冰冻单颗暂存盒")))),IF(OR(D546="数字盖盒",D546="数字冰冻盒",D546="数字冰冻单颗暂存盒"),AND(H546&gt;=1,H546=INT(H546)),H546=0),IF(B546="开局",AND(IF(OR(D546="数字盖盒",D546="普通冰冻盒",D546="数字冰冻盒",D546="炸弹盒",D546="底部置顶盒"),OR(G546=3,G546=4),TRUE),IF(OR(D546="单向收纳盒",D546="单颗暂存盒",D546="数字冰冻单颗暂存盒"),OR(G546=0,G546=1),TRUE),IF(OR(D546="固定颜色盒",D546="广告锁定周转盒"),G546=0,TRUE)),TRUE)),"通过","需调整")</ns0:f>
        <ns0:v>通过</ns0:v>
      </ns0:c>
      <ns0:c r="P546" s="145" t="str">
        <ns0:v>普通盒</ns0:v>
      </ns0:c>
      <ns0:c r="Q546" s="145" t="str">
        <ns0:v>层序JSON:{"reference":"2026-10-12 第81至90关炸弹学习与缓和节奏；固定层序、明牌拆弹材料与组合机关","slots":[{"group_id":"W9-082-01","layers":[0,6,4,5]},{"group_id":"W9-082-01","layers":[4,0,5,4]},{"group_id":"W9-082-01","layers":[5,2,4,2]},{"group_id":"W9-082-06","layers":[0,8,0],"bomb_seconds":105},{"group_id":"W9-082-01","layers":[8,0,0,6]},{"group_id":"W9-082-01","layers":[8,4,5,3]},{"group_id":"W9-082-01","layers":[6,5,5,0]},{"group_id":"W9-082-02","layers":[0,3,8]},{"group_id":"W9-082-01","layers":[0,2,2,0]},{"group_id":"W9-082-02","layers":[6,3,8]},{"group_id":"W9-082-01","layers":[4,2,0,8]},{"group_id":"W9-082-01","layers":[3,2,5,4]},{"group_id":"W9-082-03","layers":[3,2]},{"group_id":"W9-082-01","layers":[3,6,5,3]},{"group_id":"W9-082-04","layers":[4]},{"group_id":"W9-082-01","layers":[6,0,2,8]},{"group_id":"W9-082-01","layers":[8,6,6,3]},{"group_id":"W9-082-05","layers":[]}],"stock":[],"demand_sequences":[[0,8,0,3,5,6,3,8],[4,2,6,4,0,5,2]]}</ns0:v>
      </ns0:c>
      <ns0:c r="R546" s="149" t="n">
        <ns0:f>E546*H546</ns0:f>
        <ns0:v>0</ns0:v>
      </ns0:c>
    </ns0:row>
    <ns0:row r="547" ht="21" customHeight="1">
      <ns0:c r="A547" s="150" t="n">
        <ns0:v>82</ns0:v>
      </ns0:c>
      <ns0:c r="B547" s="147" t="str">
        <ns0:v>开局</ns0:v>
      </ns0:c>
      <ns0:c r="C547" s="147" t="str">
        <ns0:v>W9-082-02</ns0:v>
      </ns0:c>
      <ns0:c r="D547" s="147" t="str">
        <ns0:v>普通盒</ns0:v>
      </ns0:c>
      <ns0:c r="E547" s="152" t="n">
        <ns0:v>2</ns0:v>
      </ns0:c>
      <ns0:c r="F547" s="152" t="n">
        <ns0:v>4</ns0:v>
      </ns0:c>
      <ns0:c r="G547" s="152" t="n">
        <ns0:v>3</ns0:v>
      </ns0:c>
      <ns0:c r="H547" s="152" t="n">
        <ns0:v>0</ns0:v>
      </ns0:c>
      <ns0:c r="I547" s="150" t="n">
        <ns0:f>E547*G547</ns0:f>
        <ns0:v>6</ns0:v>
      </ns0:c>
      <ns0:c r="J547" s="150" t="n">
        <ns0:f>E547*(F547-G547)</ns0:f>
        <ns0:v>2</ns0:v>
      </ns0:c>
      <ns0:c r="K547" s="150" t="n">
        <ns0:f>IF(AND(B547="开局",G547=0,OR(D547="普通盒",D547="单颗暂存盒")),J547,0)</ns0:f>
        <ns0:v>0</ns0:v>
      </ns0:c>
      <ns0:c r="L547" s="150" t="n">
        <ns0:f>IF(AND(B547="开局",G547&gt;0,OR(D547="普通盒",D547="底部置顶盒",D547="炸弹盒")),J547,0)</ns0:f>
        <ns0:v>2</ns0:v>
      </ns0:c>
      <ns0:c r="M547" s="150" t="n">
        <ns0:f>IF(AND(B547="开局",OR(D547="固定颜色盒",D547="单向收纳盒")),J547,0)</ns0:f>
        <ns0:v>0</ns0:v>
      </ns0:c>
      <ns0:c r="N547" s="150" t="n">
        <ns0:f>IF(AND(B547="开局",OR(D547="数字盖盒",D547="普通冰冻盒",D547="数字冰冻盒",D547="数字冰冻单颗暂存盒")),J547,0)</ns0:f>
        <ns0:v>0</ns0:v>
      </ns0:c>
      <ns0:c r="O547" s="147" t="str">
        <ns0:f>IF(AND(E547&gt;0,E547=INT(E547),G547&gt;=0,G547&lt;=F547,G547=INT(G547),OR(AND(F547=1,OR(D547="单颗暂存盒",D547="数字冰冻单颗暂存盒")),AND(F547=4,NOT(OR(D547="单颗暂存盒",D547="数字冰冻单颗暂存盒")))),IF(OR(D547="数字盖盒",D547="数字冰冻盒",D547="数字冰冻单颗暂存盒"),AND(H547&gt;=1,H547=INT(H547)),H547=0),IF(B547="开局",AND(IF(OR(D547="数字盖盒",D547="普通冰冻盒",D547="数字冰冻盒",D547="炸弹盒",D547="底部置顶盒"),OR(G547=3,G547=4),TRUE),IF(OR(D547="单向收纳盒",D547="单颗暂存盒",D547="数字冰冻单颗暂存盒"),OR(G547=0,G547=1),TRUE),IF(OR(D547="固定颜色盒",D547="广告锁定周转盒"),G547=0,TRUE)),TRUE)),"通过","需调整")</ns0:f>
        <ns0:v>通过</ns0:v>
      </ns0:c>
      <ns0:c r="P547" s="147" t="str">
        <ns0:v>普通盒</ns0:v>
      </ns0:c>
      <ns0:c r="Q547" s="147" t="str">
        <ns0:v>固定层序见本关首行</ns0:v>
      </ns0:c>
      <ns0:c r="R547" s="150" t="n">
        <ns0:f>E547*H547</ns0:f>
        <ns0:v>0</ns0:v>
      </ns0:c>
    </ns0:row>
    <ns0:row r="548" ht="21" customHeight="1">
      <ns0:c r="A548" s="149" t="n">
        <ns0:v>82</ns0:v>
      </ns0:c>
      <ns0:c r="B548" s="145" t="str">
        <ns0:v>开局</ns0:v>
      </ns0:c>
      <ns0:c r="C548" s="145" t="str">
        <ns0:v>W9-082-03</ns0:v>
      </ns0:c>
      <ns0:c r="D548" s="145" t="str">
        <ns0:v>普通盒</ns0:v>
      </ns0:c>
      <ns0:c r="E548" s="152" t="n">
        <ns0:v>1</ns0:v>
      </ns0:c>
      <ns0:c r="F548" s="152" t="n">
        <ns0:v>4</ns0:v>
      </ns0:c>
      <ns0:c r="G548" s="152" t="n">
        <ns0:v>2</ns0:v>
      </ns0:c>
      <ns0:c r="H548" s="152" t="n">
        <ns0:v>0</ns0:v>
      </ns0:c>
      <ns0:c r="I548" s="149" t="n">
        <ns0:f>E548*G548</ns0:f>
        <ns0:v>2</ns0:v>
      </ns0:c>
      <ns0:c r="J548" s="149" t="n">
        <ns0:f>E548*(F548-G548)</ns0:f>
        <ns0:v>2</ns0:v>
      </ns0:c>
      <ns0:c r="K548" s="149" t="n">
        <ns0:f>IF(AND(B548="开局",G548=0,OR(D548="普通盒",D548="单颗暂存盒")),J548,0)</ns0:f>
        <ns0:v>0</ns0:v>
      </ns0:c>
      <ns0:c r="L548" s="149" t="n">
        <ns0:f>IF(AND(B548="开局",G548&gt;0,OR(D548="普通盒",D548="底部置顶盒",D548="炸弹盒")),J548,0)</ns0:f>
        <ns0:v>2</ns0:v>
      </ns0:c>
      <ns0:c r="M548" s="149" t="n">
        <ns0:f>IF(AND(B548="开局",OR(D548="固定颜色盒",D548="单向收纳盒")),J548,0)</ns0:f>
        <ns0:v>0</ns0:v>
      </ns0:c>
      <ns0:c r="N548" s="149" t="n">
        <ns0:f>IF(AND(B548="开局",OR(D548="数字盖盒",D548="普通冰冻盒",D548="数字冰冻盒",D548="数字冰冻单颗暂存盒")),J548,0)</ns0:f>
        <ns0:v>0</ns0:v>
      </ns0:c>
      <ns0:c r="O548" s="145" t="str">
        <ns0:f>IF(AND(E548&gt;0,E548=INT(E548),G548&gt;=0,G548&lt;=F548,G548=INT(G548),OR(AND(F548=1,OR(D548="单颗暂存盒",D548="数字冰冻单颗暂存盒")),AND(F548=4,NOT(OR(D548="单颗暂存盒",D548="数字冰冻单颗暂存盒")))),IF(OR(D548="数字盖盒",D548="数字冰冻盒",D548="数字冰冻单颗暂存盒"),AND(H548&gt;=1,H548=INT(H548)),H548=0),IF(B548="开局",AND(IF(OR(D548="数字盖盒",D548="普通冰冻盒",D548="数字冰冻盒",D548="炸弹盒",D548="底部置顶盒"),OR(G548=3,G548=4),TRUE),IF(OR(D548="单向收纳盒",D548="单颗暂存盒",D548="数字冰冻单颗暂存盒"),OR(G548=0,G548=1),TRUE),IF(OR(D548="固定颜色盒",D548="广告锁定周转盒"),G548=0,TRUE)),TRUE)),"通过","需调整")</ns0:f>
        <ns0:v>通过</ns0:v>
      </ns0:c>
      <ns0:c r="P548" s="145" t="str">
        <ns0:v>普通盒</ns0:v>
      </ns0:c>
      <ns0:c r="Q548" s="145" t="str">
        <ns0:v>固定层序见本关首行</ns0:v>
      </ns0:c>
      <ns0:c r="R548" s="149" t="n">
        <ns0:f>E548*H548</ns0:f>
        <ns0:v>0</ns0:v>
      </ns0:c>
    </ns0:row>
    <ns0:row r="549" ht="21" customHeight="1">
      <ns0:c r="A549" s="150" t="n">
        <ns0:v>82</ns0:v>
      </ns0:c>
      <ns0:c r="B549" s="147" t="str">
        <ns0:v>开局</ns0:v>
      </ns0:c>
      <ns0:c r="C549" s="147" t="str">
        <ns0:v>W9-082-04</ns0:v>
      </ns0:c>
      <ns0:c r="D549" s="147" t="str">
        <ns0:v>普通盒</ns0:v>
      </ns0:c>
      <ns0:c r="E549" s="152" t="n">
        <ns0:v>1</ns0:v>
      </ns0:c>
      <ns0:c r="F549" s="152" t="n">
        <ns0:v>4</ns0:v>
      </ns0:c>
      <ns0:c r="G549" s="152" t="n">
        <ns0:v>1</ns0:v>
      </ns0:c>
      <ns0:c r="H549" s="152" t="n">
        <ns0:v>0</ns0:v>
      </ns0:c>
      <ns0:c r="I549" s="150" t="n">
        <ns0:f>E549*G549</ns0:f>
        <ns0:v>1</ns0:v>
      </ns0:c>
      <ns0:c r="J549" s="150" t="n">
        <ns0:f>E549*(F549-G549)</ns0:f>
        <ns0:v>3</ns0:v>
      </ns0:c>
      <ns0:c r="K549" s="150" t="n">
        <ns0:f>IF(AND(B549="开局",G549=0,OR(D549="普通盒",D549="单颗暂存盒")),J549,0)</ns0:f>
        <ns0:v>0</ns0:v>
      </ns0:c>
      <ns0:c r="L549" s="150" t="n">
        <ns0:f>IF(AND(B549="开局",G549&gt;0,OR(D549="普通盒",D549="底部置顶盒",D549="炸弹盒")),J549,0)</ns0:f>
        <ns0:v>3</ns0:v>
      </ns0:c>
      <ns0:c r="M549" s="150" t="n">
        <ns0:f>IF(AND(B549="开局",OR(D549="固定颜色盒",D549="单向收纳盒")),J549,0)</ns0:f>
        <ns0:v>0</ns0:v>
      </ns0:c>
      <ns0:c r="N549" s="150" t="n">
        <ns0:f>IF(AND(B549="开局",OR(D549="数字盖盒",D549="普通冰冻盒",D549="数字冰冻盒",D549="数字冰冻单颗暂存盒")),J549,0)</ns0:f>
        <ns0:v>0</ns0:v>
      </ns0:c>
      <ns0:c r="O549" s="147" t="str">
        <ns0:f>IF(AND(E549&gt;0,E549=INT(E549),G549&gt;=0,G549&lt;=F549,G549=INT(G549),OR(AND(F549=1,OR(D549="单颗暂存盒",D549="数字冰冻单颗暂存盒")),AND(F549=4,NOT(OR(D549="单颗暂存盒",D549="数字冰冻单颗暂存盒")))),IF(OR(D549="数字盖盒",D549="数字冰冻盒",D549="数字冰冻单颗暂存盒"),AND(H549&gt;=1,H549=INT(H549)),H549=0),IF(B549="开局",AND(IF(OR(D549="数字盖盒",D549="普通冰冻盒",D549="数字冰冻盒",D549="炸弹盒",D549="底部置顶盒"),OR(G549=3,G549=4),TRUE),IF(OR(D549="单向收纳盒",D549="单颗暂存盒",D549="数字冰冻单颗暂存盒"),OR(G549=0,G549=1),TRUE),IF(OR(D549="固定颜色盒",D549="广告锁定周转盒"),G549=0,TRUE)),TRUE)),"通过","需调整")</ns0:f>
        <ns0:v>通过</ns0:v>
      </ns0:c>
      <ns0:c r="P549" s="147" t="str">
        <ns0:v>普通盒</ns0:v>
      </ns0:c>
      <ns0:c r="Q549" s="147" t="str">
        <ns0:v>固定层序见本关首行</ns0:v>
      </ns0:c>
      <ns0:c r="R549" s="150" t="n">
        <ns0:f>E549*H549</ns0:f>
        <ns0:v>0</ns0:v>
      </ns0:c>
    </ns0:row>
    <ns0:row r="550" ht="21" customHeight="1">
      <ns0:c r="A550" s="149" t="n">
        <ns0:v>82</ns0:v>
      </ns0:c>
      <ns0:c r="B550" s="145" t="str">
        <ns0:v>开局</ns0:v>
      </ns0:c>
      <ns0:c r="C550" s="145" t="str">
        <ns0:v>W9-082-05</ns0:v>
      </ns0:c>
      <ns0:c r="D550" s="145" t="str">
        <ns0:v>普通盒</ns0:v>
      </ns0:c>
      <ns0:c r="E550" s="152" t="n">
        <ns0:v>1</ns0:v>
      </ns0:c>
      <ns0:c r="F550" s="152" t="n">
        <ns0:v>4</ns0:v>
      </ns0:c>
      <ns0:c r="G550" s="152" t="n">
        <ns0:v>0</ns0:v>
      </ns0:c>
      <ns0:c r="H550" s="152" t="n">
        <ns0:v>0</ns0:v>
      </ns0:c>
      <ns0:c r="I550" s="149" t="n">
        <ns0:f>E550*G550</ns0:f>
        <ns0:v>0</ns0:v>
      </ns0:c>
      <ns0:c r="J550" s="149" t="n">
        <ns0:f>E550*(F550-G550)</ns0:f>
        <ns0:v>4</ns0:v>
      </ns0:c>
      <ns0:c r="K550" s="149" t="n">
        <ns0:f>IF(AND(B550="开局",G550=0,OR(D550="普通盒",D550="单颗暂存盒")),J550,0)</ns0:f>
        <ns0:v>4</ns0:v>
      </ns0:c>
      <ns0:c r="L550" s="149" t="n">
        <ns0:f>IF(AND(B550="开局",G550&gt;0,OR(D550="普通盒",D550="底部置顶盒",D550="炸弹盒")),J550,0)</ns0:f>
        <ns0:v>0</ns0:v>
      </ns0:c>
      <ns0:c r="M550" s="149" t="n">
        <ns0:f>IF(AND(B550="开局",OR(D550="固定颜色盒",D550="单向收纳盒")),J550,0)</ns0:f>
        <ns0:v>0</ns0:v>
      </ns0:c>
      <ns0:c r="N550" s="149" t="n">
        <ns0:f>IF(AND(B550="开局",OR(D550="数字盖盒",D550="普通冰冻盒",D550="数字冰冻盒",D550="数字冰冻单颗暂存盒")),J550,0)</ns0:f>
        <ns0:v>0</ns0:v>
      </ns0:c>
      <ns0:c r="O550" s="145" t="str">
        <ns0:f>IF(AND(E550&gt;0,E550=INT(E550),G550&gt;=0,G550&lt;=F550,G550=INT(G550),OR(AND(F550=1,OR(D550="单颗暂存盒",D550="数字冰冻单颗暂存盒")),AND(F550=4,NOT(OR(D550="单颗暂存盒",D550="数字冰冻单颗暂存盒")))),IF(OR(D550="数字盖盒",D550="数字冰冻盒",D550="数字冰冻单颗暂存盒"),AND(H550&gt;=1,H550=INT(H550)),H550=0),IF(B550="开局",AND(IF(OR(D550="数字盖盒",D550="普通冰冻盒",D550="数字冰冻盒",D550="炸弹盒",D550="底部置顶盒"),OR(G550=3,G550=4),TRUE),IF(OR(D550="单向收纳盒",D550="单颗暂存盒",D550="数字冰冻单颗暂存盒"),OR(G550=0,G550=1),TRUE),IF(OR(D550="固定颜色盒",D550="广告锁定周转盒"),G550=0,TRUE)),TRUE)),"通过","需调整")</ns0:f>
        <ns0:v>通过</ns0:v>
      </ns0:c>
      <ns0:c r="P550" s="145" t="str">
        <ns0:v>普通盒</ns0:v>
      </ns0:c>
      <ns0:c r="Q550" s="145" t="str">
        <ns0:v>固定层序见本关首行</ns0:v>
      </ns0:c>
      <ns0:c r="R550" s="149" t="n">
        <ns0:f>E550*H550</ns0:f>
        <ns0:v>0</ns0:v>
      </ns0:c>
    </ns0:row>
    <ns0:row r="551" ht="21" customHeight="1">
      <ns0:c r="A551" s="150" t="n">
        <ns0:v>82</ns0:v>
      </ns0:c>
      <ns0:c r="B551" s="147" t="str">
        <ns0:v>开局</ns0:v>
      </ns0:c>
      <ns0:c r="C551" s="147" t="str">
        <ns0:v>W9-082-06</ns0:v>
      </ns0:c>
      <ns0:c r="D551" s="147" t="str">
        <ns0:v>炸弹盒</ns0:v>
      </ns0:c>
      <ns0:c r="E551" s="152" t="n">
        <ns0:v>1</ns0:v>
      </ns0:c>
      <ns0:c r="F551" s="152" t="n">
        <ns0:v>4</ns0:v>
      </ns0:c>
      <ns0:c r="G551" s="152" t="n">
        <ns0:v>3</ns0:v>
      </ns0:c>
      <ns0:c r="H551" s="152" t="n">
        <ns0:v>0</ns0:v>
      </ns0:c>
      <ns0:c r="I551" s="150" t="n">
        <ns0:f>E551*G551</ns0:f>
        <ns0:v>3</ns0:v>
      </ns0:c>
      <ns0:c r="J551" s="150" t="n">
        <ns0:f>E551*(F551-G551)</ns0:f>
        <ns0:v>1</ns0:v>
      </ns0:c>
      <ns0:c r="K551" s="150" t="n">
        <ns0:f>IF(AND(B551="开局",G551=0,OR(D551="普通盒",D551="单颗暂存盒")),J551,0)</ns0:f>
        <ns0:v>0</ns0:v>
      </ns0:c>
      <ns0:c r="L551" s="150" t="n">
        <ns0:f>IF(AND(B551="开局",G551&gt;0,OR(D551="普通盒",D551="底部置顶盒",D551="炸弹盒")),J551,0)</ns0:f>
        <ns0:v>1</ns0:v>
      </ns0:c>
      <ns0:c r="M551" s="150" t="n">
        <ns0:f>IF(AND(B551="开局",OR(D551="固定颜色盒",D551="单向收纳盒")),J551,0)</ns0:f>
        <ns0:v>0</ns0:v>
      </ns0:c>
      <ns0:c r="N551" s="150" t="n">
        <ns0:f>IF(AND(B551="开局",OR(D551="数字盖盒",D551="普通冰冻盒",D551="数字冰冻盒",D551="数字冰冻单颗暂存盒")),J551,0)</ns0:f>
        <ns0:v>0</ns0:v>
      </ns0:c>
      <ns0:c r="O551" s="147" t="str">
        <ns0:f>IF(AND(E551&gt;0,E551=INT(E551),G551&gt;=0,G551&lt;=F551,G551=INT(G551),OR(AND(F551=1,OR(D551="单颗暂存盒",D551="数字冰冻单颗暂存盒")),AND(F551=4,NOT(OR(D551="单颗暂存盒",D551="数字冰冻单颗暂存盒")))),IF(OR(D551="数字盖盒",D551="数字冰冻盒",D551="数字冰冻单颗暂存盒"),AND(H551&gt;=1,H551=INT(H551)),H551=0),IF(B551="开局",AND(IF(OR(D551="数字盖盒",D551="普通冰冻盒",D551="数字冰冻盒",D551="炸弹盒",D551="底部置顶盒"),OR(G551=3,G551=4),TRUE),IF(OR(D551="单向收纳盒",D551="单颗暂存盒",D551="数字冰冻单颗暂存盒"),OR(G551=0,G551=1),TRUE),IF(OR(D551="固定颜色盒",D551="广告锁定周转盒"),G551=0,TRUE)),TRUE)),"通过","需调整")</ns0:f>
        <ns0:v>通过</ns0:v>
      </ns0:c>
      <ns0:c r="P551" s="147" t="str">
        <ns0:v>炸弹盒</ns0:v>
      </ns0:c>
      <ns0:c r="Q551" s="147" t="str">
        <ns0:v>固定层序见本关首行</ns0:v>
      </ns0:c>
      <ns0:c r="R551" s="150" t="n">
        <ns0:f>E551*H551</ns0:f>
        <ns0:v>0</ns0:v>
      </ns0:c>
    </ns0:row>
    <ns0:row r="552" ht="21" customHeight="1">
      <ns0:c r="A552" s="149" t="n">
        <ns0:v>82</ns0:v>
      </ns0:c>
      <ns0:c r="B552" s="145" t="str">
        <ns0:v>开局</ns0:v>
      </ns0:c>
      <ns0:c r="C552" s="145" t="str">
        <ns0:v>W9-082-07</ns0:v>
      </ns0:c>
      <ns0:c r="D552" s="145" t="str">
        <ns0:v>广告锁定周转盒</ns0:v>
      </ns0:c>
      <ns0:c r="E552" s="152" t="n">
        <ns0:v>2</ns0:v>
      </ns0:c>
      <ns0:c r="F552" s="152" t="n">
        <ns0:v>4</ns0:v>
      </ns0:c>
      <ns0:c r="G552" s="152" t="n">
        <ns0:v>0</ns0:v>
      </ns0:c>
      <ns0:c r="H552" s="152" t="n">
        <ns0:v>0</ns0:v>
      </ns0:c>
      <ns0:c r="I552" s="149" t="n">
        <ns0:f>E552*G552</ns0:f>
        <ns0:v>0</ns0:v>
      </ns0:c>
      <ns0:c r="J552" s="149" t="n">
        <ns0:f>E552*(F552-G552)</ns0:f>
        <ns0:v>8</ns0:v>
      </ns0:c>
      <ns0:c r="K552" s="149" t="n">
        <ns0:f>IF(AND(B552="开局",G552=0,OR(D552="普通盒",D552="单颗暂存盒")),J552,0)</ns0:f>
        <ns0:v>0</ns0:v>
      </ns0:c>
      <ns0:c r="L552" s="149" t="n">
        <ns0:f>IF(AND(B552="开局",G552&gt;0,OR(D552="普通盒",D552="底部置顶盒",D552="炸弹盒")),J552,0)</ns0:f>
        <ns0:v>0</ns0:v>
      </ns0:c>
      <ns0:c r="M552" s="149" t="n">
        <ns0:f>IF(AND(B552="开局",OR(D552="固定颜色盒",D552="单向收纳盒")),J552,0)</ns0:f>
        <ns0:v>0</ns0:v>
      </ns0:c>
      <ns0:c r="N552" s="149" t="n">
        <ns0:f>IF(AND(B552="开局",OR(D552="数字盖盒",D552="普通冰冻盒",D552="数字冰冻盒",D552="数字冰冻单颗暂存盒")),J552,0)</ns0:f>
        <ns0:v>0</ns0:v>
      </ns0:c>
      <ns0:c r="O552" s="145" t="str">
        <ns0:f>IF(AND(E552&gt;0,E552=INT(E552),G552&gt;=0,G552&lt;=F552,G552=INT(G552),OR(AND(F552=1,OR(D552="单颗暂存盒",D552="数字冰冻单颗暂存盒")),AND(F552=4,NOT(OR(D552="单颗暂存盒",D552="数字冰冻单颗暂存盒")))),IF(OR(D552="数字盖盒",D552="数字冰冻盒",D552="数字冰冻单颗暂存盒"),AND(H552&gt;=1,H552=INT(H552)),H552=0),IF(B552="开局",AND(IF(OR(D552="数字盖盒",D552="普通冰冻盒",D552="数字冰冻盒",D552="炸弹盒",D552="底部置顶盒"),OR(G552=3,G552=4),TRUE),IF(OR(D552="单向收纳盒",D552="单颗暂存盒",D552="数字冰冻单颗暂存盒"),OR(G552=0,G552=1),TRUE),IF(OR(D552="固定颜色盒",D552="广告锁定周转盒"),G552=0,TRUE)),TRUE)),"通过","需调整")</ns0:f>
        <ns0:v>通过</ns0:v>
      </ns0:c>
      <ns0:c r="P552" s="145" t="str">
        <ns0:v>双广告锁位</ns0:v>
      </ns0:c>
      <ns0:c r="Q552" s="145" t="str">
        <ns0:v>固定层序见本关首行</ns0:v>
      </ns0:c>
      <ns0:c r="R552" s="149" t="n">
        <ns0:f>E552*H552</ns0:f>
        <ns0:v>0</ns0:v>
      </ns0:c>
    </ns0:row>
    <ns0:row r="553" ht="21" customHeight="1">
      <ns0:c r="A553" s="150" t="n">
        <ns0:v>83</ns0:v>
      </ns0:c>
      <ns0:c r="B553" s="147" t="str">
        <ns0:v>开局</ns0:v>
      </ns0:c>
      <ns0:c r="C553" s="147" t="str">
        <ns0:v>W9-083-01</ns0:v>
      </ns0:c>
      <ns0:c r="D553" s="147" t="str">
        <ns0:v>普通盒</ns0:v>
      </ns0:c>
      <ns0:c r="E553" s="152" t="n">
        <ns0:v>12</ns0:v>
      </ns0:c>
      <ns0:c r="F553" s="152" t="n">
        <ns0:v>4</ns0:v>
      </ns0:c>
      <ns0:c r="G553" s="152" t="n">
        <ns0:v>4</ns0:v>
      </ns0:c>
      <ns0:c r="H553" s="152" t="n">
        <ns0:v>0</ns0:v>
      </ns0:c>
      <ns0:c r="I553" s="150" t="n">
        <ns0:f>E553*G553</ns0:f>
        <ns0:v>48</ns0:v>
      </ns0:c>
      <ns0:c r="J553" s="150" t="n">
        <ns0:f>E553*(F553-G553)</ns0:f>
        <ns0:v>0</ns0:v>
      </ns0:c>
      <ns0:c r="K553" s="150" t="n">
        <ns0:f>IF(AND(B553="开局",G553=0,OR(D553="普通盒",D553="单颗暂存盒")),J553,0)</ns0:f>
        <ns0:v>0</ns0:v>
      </ns0:c>
      <ns0:c r="L553" s="150" t="n">
        <ns0:f>IF(AND(B553="开局",G553&gt;0,OR(D553="普通盒",D553="底部置顶盒",D553="炸弹盒")),J553,0)</ns0:f>
        <ns0:v>0</ns0:v>
      </ns0:c>
      <ns0:c r="M553" s="150" t="n">
        <ns0:f>IF(AND(B553="开局",OR(D553="固定颜色盒",D553="单向收纳盒")),J553,0)</ns0:f>
        <ns0:v>0</ns0:v>
      </ns0:c>
      <ns0:c r="N553" s="150" t="n">
        <ns0:f>IF(AND(B553="开局",OR(D553="数字盖盒",D553="普通冰冻盒",D553="数字冰冻盒",D553="数字冰冻单颗暂存盒")),J553,0)</ns0:f>
        <ns0:v>0</ns0:v>
      </ns0:c>
      <ns0:c r="O553" s="147" t="str">
        <ns0:f>IF(AND(E553&gt;0,E553=INT(E553),G553&gt;=0,G553&lt;=F553,G553=INT(G553),OR(AND(F553=1,OR(D553="单颗暂存盒",D553="数字冰冻单颗暂存盒")),AND(F553=4,NOT(OR(D553="单颗暂存盒",D553="数字冰冻单颗暂存盒")))),IF(OR(D553="数字盖盒",D553="数字冰冻盒",D553="数字冰冻单颗暂存盒"),AND(H553&gt;=1,H553=INT(H553)),H553=0),IF(B553="开局",AND(IF(OR(D553="数字盖盒",D553="普通冰冻盒",D553="数字冰冻盒",D553="炸弹盒",D553="底部置顶盒"),OR(G553=3,G553=4),TRUE),IF(OR(D553="单向收纳盒",D553="单颗暂存盒",D553="数字冰冻单颗暂存盒"),OR(G553=0,G553=1),TRUE),IF(OR(D553="固定颜色盒",D553="广告锁定周转盒"),G553=0,TRUE)),TRUE)),"通过","需调整")</ns0:f>
        <ns0:v>通过</ns0:v>
      </ns0:c>
      <ns0:c r="P553" s="147" t="str">
        <ns0:v>普通盒</ns0:v>
      </ns0:c>
      <ns0:c r="Q553" s="147" t="str">
        <ns0:v>层序JSON:{"reference":"2026-10-12 第81至90关炸弹学习与缓和节奏；固定层序、明牌拆弹材料与组合机关","slots":[{"group_id":"W9-083-05","layers":[3,8,2,2],"bomb_seconds":110},{"group_id":"W9-083-06","layers":[8,4,12,5]},{"group_id":"W9-083-01","layers":[3,0,3,0]},{"group_id":"W9-083-01","layers":[3,0,2,5]},{"group_id":"W9-083-02","layers":[3,2,5]},{"group_id":"W9-083-01","layers":[0,8,2,3]},{"group_id":"W9-083-01","layers":[2,5,4,0]},{"group_id":"W9-083-01","layers":[5,8,6,3]},{"group_id":"W9-083-01","layers":[12,4,8,3]},{"group_id":"W9-083-01","layers":[12,0,0,12]},{"group_id":"W9-083-01","layers":[6,6,8,4]},{"group_id":"W9-083-03","layers":[2]},{"group_id":"W9-083-01","layers":[0,6,4,2]},{"group_id":"W9-083-01","layers":[6,4,4,6]},{"group_id":"W9-083-01","layers":[4,5,6,6]},{"group_id":"W9-083-01","layers":[5,5,8,8]},{"group_id":"W9-083-04","layers":[]}],"stock":[],"demand_sequences":[[2,8,3,12,5,6,2,5],[8,6,0,4,0,4,3]]}</ns0:v>
      </ns0:c>
      <ns0:c r="R553" s="150" t="n">
        <ns0:f>E553*H553</ns0:f>
        <ns0:v>0</ns0:v>
      </ns0:c>
    </ns0:row>
    <ns0:row r="554" ht="21" customHeight="1">
      <ns0:c r="A554" s="149" t="n">
        <ns0:v>83</ns0:v>
      </ns0:c>
      <ns0:c r="B554" s="145" t="str">
        <ns0:v>开局</ns0:v>
      </ns0:c>
      <ns0:c r="C554" s="145" t="str">
        <ns0:v>W9-083-02</ns0:v>
      </ns0:c>
      <ns0:c r="D554" s="145" t="str">
        <ns0:v>普通盒</ns0:v>
      </ns0:c>
      <ns0:c r="E554" s="152" t="n">
        <ns0:v>1</ns0:v>
      </ns0:c>
      <ns0:c r="F554" s="152" t="n">
        <ns0:v>4</ns0:v>
      </ns0:c>
      <ns0:c r="G554" s="152" t="n">
        <ns0:v>3</ns0:v>
      </ns0:c>
      <ns0:c r="H554" s="152" t="n">
        <ns0:v>0</ns0:v>
      </ns0:c>
      <ns0:c r="I554" s="149" t="n">
        <ns0:f>E554*G554</ns0:f>
        <ns0:v>3</ns0:v>
      </ns0:c>
      <ns0:c r="J554" s="149" t="n">
        <ns0:f>E554*(F554-G554)</ns0:f>
        <ns0:v>1</ns0:v>
      </ns0:c>
      <ns0:c r="K554" s="149" t="n">
        <ns0:f>IF(AND(B554="开局",G554=0,OR(D554="普通盒",D554="单颗暂存盒")),J554,0)</ns0:f>
        <ns0:v>0</ns0:v>
      </ns0:c>
      <ns0:c r="L554" s="149" t="n">
        <ns0:f>IF(AND(B554="开局",G554&gt;0,OR(D554="普通盒",D554="底部置顶盒",D554="炸弹盒")),J554,0)</ns0:f>
        <ns0:v>1</ns0:v>
      </ns0:c>
      <ns0:c r="M554" s="149" t="n">
        <ns0:f>IF(AND(B554="开局",OR(D554="固定颜色盒",D554="单向收纳盒")),J554,0)</ns0:f>
        <ns0:v>0</ns0:v>
      </ns0:c>
      <ns0:c r="N554" s="149" t="n">
        <ns0:f>IF(AND(B554="开局",OR(D554="数字盖盒",D554="普通冰冻盒",D554="数字冰冻盒",D554="数字冰冻单颗暂存盒")),J554,0)</ns0:f>
        <ns0:v>0</ns0:v>
      </ns0:c>
      <ns0:c r="O554" s="145" t="str">
        <ns0:f>IF(AND(E554&gt;0,E554=INT(E554),G554&gt;=0,G554&lt;=F554,G554=INT(G554),OR(AND(F554=1,OR(D554="单颗暂存盒",D554="数字冰冻单颗暂存盒")),AND(F554=4,NOT(OR(D554="单颗暂存盒",D554="数字冰冻单颗暂存盒")))),IF(OR(D554="数字盖盒",D554="数字冰冻盒",D554="数字冰冻单颗暂存盒"),AND(H554&gt;=1,H554=INT(H554)),H554=0),IF(B554="开局",AND(IF(OR(D554="数字盖盒",D554="普通冰冻盒",D554="数字冰冻盒",D554="炸弹盒",D554="底部置顶盒"),OR(G554=3,G554=4),TRUE),IF(OR(D554="单向收纳盒",D554="单颗暂存盒",D554="数字冰冻单颗暂存盒"),OR(G554=0,G554=1),TRUE),IF(OR(D554="固定颜色盒",D554="广告锁定周转盒"),G554=0,TRUE)),TRUE)),"通过","需调整")</ns0:f>
        <ns0:v>通过</ns0:v>
      </ns0:c>
      <ns0:c r="P554" s="145" t="str">
        <ns0:v>普通盒</ns0:v>
      </ns0:c>
      <ns0:c r="Q554" s="145" t="str">
        <ns0:v>固定层序见本关首行</ns0:v>
      </ns0:c>
      <ns0:c r="R554" s="149" t="n">
        <ns0:f>E554*H554</ns0:f>
        <ns0:v>0</ns0:v>
      </ns0:c>
    </ns0:row>
    <ns0:row r="555" ht="21" customHeight="1">
      <ns0:c r="A555" s="150" t="n">
        <ns0:v>83</ns0:v>
      </ns0:c>
      <ns0:c r="B555" s="147" t="str">
        <ns0:v>开局</ns0:v>
      </ns0:c>
      <ns0:c r="C555" s="147" t="str">
        <ns0:v>W9-083-03</ns0:v>
      </ns0:c>
      <ns0:c r="D555" s="147" t="str">
        <ns0:v>普通盒</ns0:v>
      </ns0:c>
      <ns0:c r="E555" s="152" t="n">
        <ns0:v>1</ns0:v>
      </ns0:c>
      <ns0:c r="F555" s="152" t="n">
        <ns0:v>4</ns0:v>
      </ns0:c>
      <ns0:c r="G555" s="152" t="n">
        <ns0:v>1</ns0:v>
      </ns0:c>
      <ns0:c r="H555" s="152" t="n">
        <ns0:v>0</ns0:v>
      </ns0:c>
      <ns0:c r="I555" s="150" t="n">
        <ns0:f>E555*G555</ns0:f>
        <ns0:v>1</ns0:v>
      </ns0:c>
      <ns0:c r="J555" s="150" t="n">
        <ns0:f>E555*(F555-G555)</ns0:f>
        <ns0:v>3</ns0:v>
      </ns0:c>
      <ns0:c r="K555" s="150" t="n">
        <ns0:f>IF(AND(B555="开局",G555=0,OR(D555="普通盒",D555="单颗暂存盒")),J555,0)</ns0:f>
        <ns0:v>0</ns0:v>
      </ns0:c>
      <ns0:c r="L555" s="150" t="n">
        <ns0:f>IF(AND(B555="开局",G555&gt;0,OR(D555="普通盒",D555="底部置顶盒",D555="炸弹盒")),J555,0)</ns0:f>
        <ns0:v>3</ns0:v>
      </ns0:c>
      <ns0:c r="M555" s="150" t="n">
        <ns0:f>IF(AND(B555="开局",OR(D555="固定颜色盒",D555="单向收纳盒")),J555,0)</ns0:f>
        <ns0:v>0</ns0:v>
      </ns0:c>
      <ns0:c r="N555" s="150" t="n">
        <ns0:f>IF(AND(B555="开局",OR(D555="数字盖盒",D555="普通冰冻盒",D555="数字冰冻盒",D555="数字冰冻单颗暂存盒")),J555,0)</ns0:f>
        <ns0:v>0</ns0:v>
      </ns0:c>
      <ns0:c r="O555" s="147" t="str">
        <ns0:f>IF(AND(E555&gt;0,E555=INT(E555),G555&gt;=0,G555&lt;=F555,G555=INT(G555),OR(AND(F555=1,OR(D555="单颗暂存盒",D555="数字冰冻单颗暂存盒")),AND(F555=4,NOT(OR(D555="单颗暂存盒",D555="数字冰冻单颗暂存盒")))),IF(OR(D555="数字盖盒",D555="数字冰冻盒",D555="数字冰冻单颗暂存盒"),AND(H555&gt;=1,H555=INT(H555)),H555=0),IF(B555="开局",AND(IF(OR(D555="数字盖盒",D555="普通冰冻盒",D555="数字冰冻盒",D555="炸弹盒",D555="底部置顶盒"),OR(G555=3,G555=4),TRUE),IF(OR(D555="单向收纳盒",D555="单颗暂存盒",D555="数字冰冻单颗暂存盒"),OR(G555=0,G555=1),TRUE),IF(OR(D555="固定颜色盒",D555="广告锁定周转盒"),G555=0,TRUE)),TRUE)),"通过","需调整")</ns0:f>
        <ns0:v>通过</ns0:v>
      </ns0:c>
      <ns0:c r="P555" s="147" t="str">
        <ns0:v>普通盒</ns0:v>
      </ns0:c>
      <ns0:c r="Q555" s="147" t="str">
        <ns0:v>固定层序见本关首行</ns0:v>
      </ns0:c>
      <ns0:c r="R555" s="150" t="n">
        <ns0:f>E555*H555</ns0:f>
        <ns0:v>0</ns0:v>
      </ns0:c>
    </ns0:row>
    <ns0:row r="556" ht="21" customHeight="1">
      <ns0:c r="A556" s="149" t="n">
        <ns0:v>83</ns0:v>
      </ns0:c>
      <ns0:c r="B556" s="145" t="str">
        <ns0:v>开局</ns0:v>
      </ns0:c>
      <ns0:c r="C556" s="145" t="str">
        <ns0:v>W9-083-04</ns0:v>
      </ns0:c>
      <ns0:c r="D556" s="145" t="str">
        <ns0:v>普通盒</ns0:v>
      </ns0:c>
      <ns0:c r="E556" s="152" t="n">
        <ns0:v>1</ns0:v>
      </ns0:c>
      <ns0:c r="F556" s="152" t="n">
        <ns0:v>4</ns0:v>
      </ns0:c>
      <ns0:c r="G556" s="152" t="n">
        <ns0:v>0</ns0:v>
      </ns0:c>
      <ns0:c r="H556" s="152" t="n">
        <ns0:v>0</ns0:v>
      </ns0:c>
      <ns0:c r="I556" s="149" t="n">
        <ns0:f>E556*G556</ns0:f>
        <ns0:v>0</ns0:v>
      </ns0:c>
      <ns0:c r="J556" s="149" t="n">
        <ns0:f>E556*(F556-G556)</ns0:f>
        <ns0:v>4</ns0:v>
      </ns0:c>
      <ns0:c r="K556" s="149" t="n">
        <ns0:f>IF(AND(B556="开局",G556=0,OR(D556="普通盒",D556="单颗暂存盒")),J556,0)</ns0:f>
        <ns0:v>4</ns0:v>
      </ns0:c>
      <ns0:c r="L556" s="149" t="n">
        <ns0:f>IF(AND(B556="开局",G556&gt;0,OR(D556="普通盒",D556="底部置顶盒",D556="炸弹盒")),J556,0)</ns0:f>
        <ns0:v>0</ns0:v>
      </ns0:c>
      <ns0:c r="M556" s="149" t="n">
        <ns0:f>IF(AND(B556="开局",OR(D556="固定颜色盒",D556="单向收纳盒")),J556,0)</ns0:f>
        <ns0:v>0</ns0:v>
      </ns0:c>
      <ns0:c r="N556" s="149" t="n">
        <ns0:f>IF(AND(B556="开局",OR(D556="数字盖盒",D556="普通冰冻盒",D556="数字冰冻盒",D556="数字冰冻单颗暂存盒")),J556,0)</ns0:f>
        <ns0:v>0</ns0:v>
      </ns0:c>
      <ns0:c r="O556" s="145" t="str">
        <ns0:f>IF(AND(E556&gt;0,E556=INT(E556),G556&gt;=0,G556&lt;=F556,G556=INT(G556),OR(AND(F556=1,OR(D556="单颗暂存盒",D556="数字冰冻单颗暂存盒")),AND(F556=4,NOT(OR(D556="单颗暂存盒",D556="数字冰冻单颗暂存盒")))),IF(OR(D556="数字盖盒",D556="数字冰冻盒",D556="数字冰冻单颗暂存盒"),AND(H556&gt;=1,H556=INT(H556)),H556=0),IF(B556="开局",AND(IF(OR(D556="数字盖盒",D556="普通冰冻盒",D556="数字冰冻盒",D556="炸弹盒",D556="底部置顶盒"),OR(G556=3,G556=4),TRUE),IF(OR(D556="单向收纳盒",D556="单颗暂存盒",D556="数字冰冻单颗暂存盒"),OR(G556=0,G556=1),TRUE),IF(OR(D556="固定颜色盒",D556="广告锁定周转盒"),G556=0,TRUE)),TRUE)),"通过","需调整")</ns0:f>
        <ns0:v>通过</ns0:v>
      </ns0:c>
      <ns0:c r="P556" s="145" t="str">
        <ns0:v>普通盒</ns0:v>
      </ns0:c>
      <ns0:c r="Q556" s="145" t="str">
        <ns0:v>固定层序见本关首行</ns0:v>
      </ns0:c>
      <ns0:c r="R556" s="149" t="n">
        <ns0:f>E556*H556</ns0:f>
        <ns0:v>0</ns0:v>
      </ns0:c>
    </ns0:row>
    <ns0:row r="557" ht="21" customHeight="1">
      <ns0:c r="A557" s="150" t="n">
        <ns0:v>83</ns0:v>
      </ns0:c>
      <ns0:c r="B557" s="147" t="str">
        <ns0:v>开局</ns0:v>
      </ns0:c>
      <ns0:c r="C557" s="147" t="str">
        <ns0:v>W9-083-05</ns0:v>
      </ns0:c>
      <ns0:c r="D557" s="147" t="str">
        <ns0:v>炸弹盒</ns0:v>
      </ns0:c>
      <ns0:c r="E557" s="152" t="n">
        <ns0:v>1</ns0:v>
      </ns0:c>
      <ns0:c r="F557" s="152" t="n">
        <ns0:v>4</ns0:v>
      </ns0:c>
      <ns0:c r="G557" s="152" t="n">
        <ns0:v>4</ns0:v>
      </ns0:c>
      <ns0:c r="H557" s="152" t="n">
        <ns0:v>0</ns0:v>
      </ns0:c>
      <ns0:c r="I557" s="150" t="n">
        <ns0:f>E557*G557</ns0:f>
        <ns0:v>4</ns0:v>
      </ns0:c>
      <ns0:c r="J557" s="150" t="n">
        <ns0:f>E557*(F557-G557)</ns0:f>
        <ns0:v>0</ns0:v>
      </ns0:c>
      <ns0:c r="K557" s="150" t="n">
        <ns0:f>IF(AND(B557="开局",G557=0,OR(D557="普通盒",D557="单颗暂存盒")),J557,0)</ns0:f>
        <ns0:v>0</ns0:v>
      </ns0:c>
      <ns0:c r="L557" s="150" t="n">
        <ns0:f>IF(AND(B557="开局",G557&gt;0,OR(D557="普通盒",D557="底部置顶盒",D557="炸弹盒")),J557,0)</ns0:f>
        <ns0:v>0</ns0:v>
      </ns0:c>
      <ns0:c r="M557" s="150" t="n">
        <ns0:f>IF(AND(B557="开局",OR(D557="固定颜色盒",D557="单向收纳盒")),J557,0)</ns0:f>
        <ns0:v>0</ns0:v>
      </ns0:c>
      <ns0:c r="N557" s="150" t="n">
        <ns0:f>IF(AND(B557="开局",OR(D557="数字盖盒",D557="普通冰冻盒",D557="数字冰冻盒",D557="数字冰冻单颗暂存盒")),J557,0)</ns0:f>
        <ns0:v>0</ns0:v>
      </ns0:c>
      <ns0:c r="O557" s="147" t="str">
        <ns0:f>IF(AND(E557&gt;0,E557=INT(E557),G557&gt;=0,G557&lt;=F557,G557=INT(G557),OR(AND(F557=1,OR(D557="单颗暂存盒",D557="数字冰冻单颗暂存盒")),AND(F557=4,NOT(OR(D557="单颗暂存盒",D557="数字冰冻单颗暂存盒")))),IF(OR(D557="数字盖盒",D557="数字冰冻盒",D557="数字冰冻单颗暂存盒"),AND(H557&gt;=1,H557=INT(H557)),H557=0),IF(B557="开局",AND(IF(OR(D557="数字盖盒",D557="普通冰冻盒",D557="数字冰冻盒",D557="炸弹盒",D557="底部置顶盒"),OR(G557=3,G557=4),TRUE),IF(OR(D557="单向收纳盒",D557="单颗暂存盒",D557="数字冰冻单颗暂存盒"),OR(G557=0,G557=1),TRUE),IF(OR(D557="固定颜色盒",D557="广告锁定周转盒"),G557=0,TRUE)),TRUE)),"通过","需调整")</ns0:f>
        <ns0:v>通过</ns0:v>
      </ns0:c>
      <ns0:c r="P557" s="147" t="str">
        <ns0:v>炸弹盒</ns0:v>
      </ns0:c>
      <ns0:c r="Q557" s="147" t="str">
        <ns0:v>固定层序见本关首行</ns0:v>
      </ns0:c>
      <ns0:c r="R557" s="150" t="n">
        <ns0:f>E557*H557</ns0:f>
        <ns0:v>0</ns0:v>
      </ns0:c>
    </ns0:row>
    <ns0:row r="558" ht="21" customHeight="1">
      <ns0:c r="A558" s="149" t="n">
        <ns0:v>83</ns0:v>
      </ns0:c>
      <ns0:c r="B558" s="145" t="str">
        <ns0:v>开局</ns0:v>
      </ns0:c>
      <ns0:c r="C558" s="145" t="str">
        <ns0:v>W9-083-06</ns0:v>
      </ns0:c>
      <ns0:c r="D558" s="145" t="str">
        <ns0:v>底部置顶盒</ns0:v>
      </ns0:c>
      <ns0:c r="E558" s="152" t="n">
        <ns0:v>1</ns0:v>
      </ns0:c>
      <ns0:c r="F558" s="152" t="n">
        <ns0:v>4</ns0:v>
      </ns0:c>
      <ns0:c r="G558" s="152" t="n">
        <ns0:v>4</ns0:v>
      </ns0:c>
      <ns0:c r="H558" s="152" t="n">
        <ns0:v>0</ns0:v>
      </ns0:c>
      <ns0:c r="I558" s="149" t="n">
        <ns0:f>E558*G558</ns0:f>
        <ns0:v>4</ns0:v>
      </ns0:c>
      <ns0:c r="J558" s="149" t="n">
        <ns0:f>E558*(F558-G558)</ns0:f>
        <ns0:v>0</ns0:v>
      </ns0:c>
      <ns0:c r="K558" s="149" t="n">
        <ns0:f>IF(AND(B558="开局",G558=0,OR(D558="普通盒",D558="单颗暂存盒")),J558,0)</ns0:f>
        <ns0:v>0</ns0:v>
      </ns0:c>
      <ns0:c r="L558" s="149" t="n">
        <ns0:f>IF(AND(B558="开局",G558&gt;0,OR(D558="普通盒",D558="底部置顶盒",D558="炸弹盒")),J558,0)</ns0:f>
        <ns0:v>0</ns0:v>
      </ns0:c>
      <ns0:c r="M558" s="149" t="n">
        <ns0:f>IF(AND(B558="开局",OR(D558="固定颜色盒",D558="单向收纳盒")),J558,0)</ns0:f>
        <ns0:v>0</ns0:v>
      </ns0:c>
      <ns0:c r="N558" s="149" t="n">
        <ns0:f>IF(AND(B558="开局",OR(D558="数字盖盒",D558="普通冰冻盒",D558="数字冰冻盒",D558="数字冰冻单颗暂存盒")),J558,0)</ns0:f>
        <ns0:v>0</ns0:v>
      </ns0:c>
      <ns0:c r="O558" s="145" t="str">
        <ns0:f>IF(AND(E558&gt;0,E558=INT(E558),G558&gt;=0,G558&lt;=F558,G558=INT(G558),OR(AND(F558=1,OR(D558="单颗暂存盒",D558="数字冰冻单颗暂存盒")),AND(F558=4,NOT(OR(D558="单颗暂存盒",D558="数字冰冻单颗暂存盒")))),IF(OR(D558="数字盖盒",D558="数字冰冻盒",D558="数字冰冻单颗暂存盒"),AND(H558&gt;=1,H558=INT(H558)),H558=0),IF(B558="开局",AND(IF(OR(D558="数字盖盒",D558="普通冰冻盒",D558="数字冰冻盒",D558="炸弹盒",D558="底部置顶盒"),OR(G558=3,G558=4),TRUE),IF(OR(D558="单向收纳盒",D558="单颗暂存盒",D558="数字冰冻单颗暂存盒"),OR(G558=0,G558=1),TRUE),IF(OR(D558="固定颜色盒",D558="广告锁定周转盒"),G558=0,TRUE)),TRUE)),"通过","需调整")</ns0:f>
        <ns0:v>通过</ns0:v>
      </ns0:c>
      <ns0:c r="P558" s="145" t="str">
        <ns0:v>底部置顶盒</ns0:v>
      </ns0:c>
      <ns0:c r="Q558" s="145" t="str">
        <ns0:v>固定层序见本关首行</ns0:v>
      </ns0:c>
      <ns0:c r="R558" s="149" t="n">
        <ns0:f>E558*H558</ns0:f>
        <ns0:v>0</ns0:v>
      </ns0:c>
    </ns0:row>
    <ns0:row r="559" ht="21" customHeight="1">
      <ns0:c r="A559" s="150" t="n">
        <ns0:v>83</ns0:v>
      </ns0:c>
      <ns0:c r="B559" s="147" t="str">
        <ns0:v>开局</ns0:v>
      </ns0:c>
      <ns0:c r="C559" s="147" t="str">
        <ns0:v>W9-083-07</ns0:v>
      </ns0:c>
      <ns0:c r="D559" s="147" t="str">
        <ns0:v>广告锁定周转盒</ns0:v>
      </ns0:c>
      <ns0:c r="E559" s="152" t="n">
        <ns0:v>2</ns0:v>
      </ns0:c>
      <ns0:c r="F559" s="152" t="n">
        <ns0:v>4</ns0:v>
      </ns0:c>
      <ns0:c r="G559" s="152" t="n">
        <ns0:v>0</ns0:v>
      </ns0:c>
      <ns0:c r="H559" s="152" t="n">
        <ns0:v>0</ns0:v>
      </ns0:c>
      <ns0:c r="I559" s="150" t="n">
        <ns0:f>E559*G559</ns0:f>
        <ns0:v>0</ns0:v>
      </ns0:c>
      <ns0:c r="J559" s="150" t="n">
        <ns0:f>E559*(F559-G559)</ns0:f>
        <ns0:v>8</ns0:v>
      </ns0:c>
      <ns0:c r="K559" s="150" t="n">
        <ns0:f>IF(AND(B559="开局",G559=0,OR(D559="普通盒",D559="单颗暂存盒")),J559,0)</ns0:f>
        <ns0:v>0</ns0:v>
      </ns0:c>
      <ns0:c r="L559" s="150" t="n">
        <ns0:f>IF(AND(B559="开局",G559&gt;0,OR(D559="普通盒",D559="底部置顶盒",D559="炸弹盒")),J559,0)</ns0:f>
        <ns0:v>0</ns0:v>
      </ns0:c>
      <ns0:c r="M559" s="150" t="n">
        <ns0:f>IF(AND(B559="开局",OR(D559="固定颜色盒",D559="单向收纳盒")),J559,0)</ns0:f>
        <ns0:v>0</ns0:v>
      </ns0:c>
      <ns0:c r="N559" s="150" t="n">
        <ns0:f>IF(AND(B559="开局",OR(D559="数字盖盒",D559="普通冰冻盒",D559="数字冰冻盒",D559="数字冰冻单颗暂存盒")),J559,0)</ns0:f>
        <ns0:v>0</ns0:v>
      </ns0:c>
      <ns0:c r="O559" s="147" t="str">
        <ns0:f>IF(AND(E559&gt;0,E559=INT(E559),G559&gt;=0,G559&lt;=F559,G559=INT(G559),OR(AND(F559=1,OR(D559="单颗暂存盒",D559="数字冰冻单颗暂存盒")),AND(F559=4,NOT(OR(D559="单颗暂存盒",D559="数字冰冻单颗暂存盒")))),IF(OR(D559="数字盖盒",D559="数字冰冻盒",D559="数字冰冻单颗暂存盒"),AND(H559&gt;=1,H559=INT(H559)),H559=0),IF(B559="开局",AND(IF(OR(D559="数字盖盒",D559="普通冰冻盒",D559="数字冰冻盒",D559="炸弹盒",D559="底部置顶盒"),OR(G559=3,G559=4),TRUE),IF(OR(D559="单向收纳盒",D559="单颗暂存盒",D559="数字冰冻单颗暂存盒"),OR(G559=0,G559=1),TRUE),IF(OR(D559="固定颜色盒",D559="广告锁定周转盒"),G559=0,TRUE)),TRUE)),"通过","需调整")</ns0:f>
        <ns0:v>通过</ns0:v>
      </ns0:c>
      <ns0:c r="P559" s="147" t="str">
        <ns0:v>双广告锁位</ns0:v>
      </ns0:c>
      <ns0:c r="Q559" s="147" t="str">
        <ns0:v>固定层序见本关首行</ns0:v>
      </ns0:c>
      <ns0:c r="R559" s="150" t="n">
        <ns0:f>E559*H559</ns0:f>
        <ns0:v>0</ns0:v>
      </ns0:c>
    </ns0:row>
    <ns0:row r="560" ht="21" customHeight="1">
      <ns0:c r="A560" s="149" t="n">
        <ns0:v>84</ns0:v>
      </ns0:c>
      <ns0:c r="B560" s="145" t="str">
        <ns0:v>开局</ns0:v>
      </ns0:c>
      <ns0:c r="C560" s="145" t="str">
        <ns0:v>W9-084-01</ns0:v>
      </ns0:c>
      <ns0:c r="D560" s="145" t="str">
        <ns0:v>普通盒</ns0:v>
      </ns0:c>
      <ns0:c r="E560" s="152" t="n">
        <ns0:v>12</ns0:v>
      </ns0:c>
      <ns0:c r="F560" s="152" t="n">
        <ns0:v>4</ns0:v>
      </ns0:c>
      <ns0:c r="G560" s="152" t="n">
        <ns0:v>4</ns0:v>
      </ns0:c>
      <ns0:c r="H560" s="152" t="n">
        <ns0:v>0</ns0:v>
      </ns0:c>
      <ns0:c r="I560" s="149" t="n">
        <ns0:f>E560*G560</ns0:f>
        <ns0:v>48</ns0:v>
      </ns0:c>
      <ns0:c r="J560" s="149" t="n">
        <ns0:f>E560*(F560-G560)</ns0:f>
        <ns0:v>0</ns0:v>
      </ns0:c>
      <ns0:c r="K560" s="149" t="n">
        <ns0:f>IF(AND(B560="开局",G560=0,OR(D560="普通盒",D560="单颗暂存盒")),J560,0)</ns0:f>
        <ns0:v>0</ns0:v>
      </ns0:c>
      <ns0:c r="L560" s="149" t="n">
        <ns0:f>IF(AND(B560="开局",G560&gt;0,OR(D560="普通盒",D560="底部置顶盒",D560="炸弹盒")),J560,0)</ns0:f>
        <ns0:v>0</ns0:v>
      </ns0:c>
      <ns0:c r="M560" s="149" t="n">
        <ns0:f>IF(AND(B560="开局",OR(D560="固定颜色盒",D560="单向收纳盒")),J560,0)</ns0:f>
        <ns0:v>0</ns0:v>
      </ns0:c>
      <ns0:c r="N560" s="149" t="n">
        <ns0:f>IF(AND(B560="开局",OR(D560="数字盖盒",D560="普通冰冻盒",D560="数字冰冻盒",D560="数字冰冻单颗暂存盒")),J560,0)</ns0:f>
        <ns0:v>0</ns0:v>
      </ns0:c>
      <ns0:c r="O560" s="145" t="str">
        <ns0:f>IF(AND(E560&gt;0,E560=INT(E560),G560&gt;=0,G560&lt;=F560,G560=INT(G560),OR(AND(F560=1,OR(D560="单颗暂存盒",D560="数字冰冻单颗暂存盒")),AND(F560=4,NOT(OR(D560="单颗暂存盒",D560="数字冰冻单颗暂存盒")))),IF(OR(D560="数字盖盒",D560="数字冰冻盒",D560="数字冰冻单颗暂存盒"),AND(H560&gt;=1,H560=INT(H560)),H560=0),IF(B560="开局",AND(IF(OR(D560="数字盖盒",D560="普通冰冻盒",D560="数字冰冻盒",D560="炸弹盒",D560="底部置顶盒"),OR(G560=3,G560=4),TRUE),IF(OR(D560="单向收纳盒",D560="单颗暂存盒",D560="数字冰冻单颗暂存盒"),OR(G560=0,G560=1),TRUE),IF(OR(D560="固定颜色盒",D560="广告锁定周转盒"),G560=0,TRUE)),TRUE)),"通过","需调整")</ns0:f>
        <ns0:v>通过</ns0:v>
      </ns0:c>
      <ns0:c r="P560" s="145" t="str">
        <ns0:v>普通盒</ns0:v>
      </ns0:c>
      <ns0:c r="Q560" s="145" t="str">
        <ns0:v>层序JSON:{"reference":"2026-10-12 第81至90关炸弹学习与缓和节奏；固定层序、明牌拆弹材料与组合机关","slots":[{"group_id":"W9-084-01","layers":[0,2,4,0]},{"group_id":"W9-084-01","layers":[3,4,6,4]},{"group_id":"W9-084-01","layers":[0,8,2,0]},{"group_id":"W9-084-01","layers":[6,8,8,5]},{"group_id":"W9-084-01","layers":[4,6,6,0]},{"group_id":"W9-084-01","layers":[0,6,0,0]},{"group_id":"W9-084-01","layers":[8,4,4,3]},{"group_id":"W9-084-01","layers":[5,5,8,0]},{"group_id":"W9-084-01","layers":[3,5,2,4]},{"group_id":"W9-084-06","layers":[0,5,2,5]},{"group_id":"W9-084-01","layers":[3,8,3,5]},{"group_id":"W9-084-01","layers":[5,6,4,2]},{"group_id":"W9-084-01","layers":[8,0,6,3]},{"group_id":"W9-084-02","layers":[8,3,2]},{"group_id":"W9-084-03","layers":[2]},{"group_id":"W9-084-05","layers":[],"fixed_flavor":3},{"group_id":"W9-084-04","layers":[]}],"stock":[{"group_id":"W9-084-08","layers":[0,3,6,2]}],"demand_sequences":[[5,3,4,0,0,5,6,2],[4,0,2,8,8,3,6]]}</ns0:v>
      </ns0:c>
      <ns0:c r="R560" s="149" t="n">
        <ns0:f>E560*H560</ns0:f>
        <ns0:v>0</ns0:v>
      </ns0:c>
    </ns0:row>
    <ns0:row r="561" ht="21" customHeight="1">
      <ns0:c r="A561" s="150" t="n">
        <ns0:v>84</ns0:v>
      </ns0:c>
      <ns0:c r="B561" s="147" t="str">
        <ns0:v>开局</ns0:v>
      </ns0:c>
      <ns0:c r="C561" s="147" t="str">
        <ns0:v>W9-084-02</ns0:v>
      </ns0:c>
      <ns0:c r="D561" s="147" t="str">
        <ns0:v>普通盒</ns0:v>
      </ns0:c>
      <ns0:c r="E561" s="152" t="n">
        <ns0:v>1</ns0:v>
      </ns0:c>
      <ns0:c r="F561" s="152" t="n">
        <ns0:v>4</ns0:v>
      </ns0:c>
      <ns0:c r="G561" s="152" t="n">
        <ns0:v>3</ns0:v>
      </ns0:c>
      <ns0:c r="H561" s="152" t="n">
        <ns0:v>0</ns0:v>
      </ns0:c>
      <ns0:c r="I561" s="150" t="n">
        <ns0:f>E561*G561</ns0:f>
        <ns0:v>3</ns0:v>
      </ns0:c>
      <ns0:c r="J561" s="150" t="n">
        <ns0:f>E561*(F561-G561)</ns0:f>
        <ns0:v>1</ns0:v>
      </ns0:c>
      <ns0:c r="K561" s="150" t="n">
        <ns0:f>IF(AND(B561="开局",G561=0,OR(D561="普通盒",D561="单颗暂存盒")),J561,0)</ns0:f>
        <ns0:v>0</ns0:v>
      </ns0:c>
      <ns0:c r="L561" s="150" t="n">
        <ns0:f>IF(AND(B561="开局",G561&gt;0,OR(D561="普通盒",D561="底部置顶盒",D561="炸弹盒")),J561,0)</ns0:f>
        <ns0:v>1</ns0:v>
      </ns0:c>
      <ns0:c r="M561" s="150" t="n">
        <ns0:f>IF(AND(B561="开局",OR(D561="固定颜色盒",D561="单向收纳盒")),J561,0)</ns0:f>
        <ns0:v>0</ns0:v>
      </ns0:c>
      <ns0:c r="N561" s="150" t="n">
        <ns0:f>IF(AND(B561="开局",OR(D561="数字盖盒",D561="普通冰冻盒",D561="数字冰冻盒",D561="数字冰冻单颗暂存盒")),J561,0)</ns0:f>
        <ns0:v>0</ns0:v>
      </ns0:c>
      <ns0:c r="O561" s="147" t="str">
        <ns0:f>IF(AND(E561&gt;0,E561=INT(E561),G561&gt;=0,G561&lt;=F561,G561=INT(G561),OR(AND(F561=1,OR(D561="单颗暂存盒",D561="数字冰冻单颗暂存盒")),AND(F561=4,NOT(OR(D561="单颗暂存盒",D561="数字冰冻单颗暂存盒")))),IF(OR(D561="数字盖盒",D561="数字冰冻盒",D561="数字冰冻单颗暂存盒"),AND(H561&gt;=1,H561=INT(H561)),H561=0),IF(B561="开局",AND(IF(OR(D561="数字盖盒",D561="普通冰冻盒",D561="数字冰冻盒",D561="炸弹盒",D561="底部置顶盒"),OR(G561=3,G561=4),TRUE),IF(OR(D561="单向收纳盒",D561="单颗暂存盒",D561="数字冰冻单颗暂存盒"),OR(G561=0,G561=1),TRUE),IF(OR(D561="固定颜色盒",D561="广告锁定周转盒"),G561=0,TRUE)),TRUE)),"通过","需调整")</ns0:f>
        <ns0:v>通过</ns0:v>
      </ns0:c>
      <ns0:c r="P561" s="147" t="str">
        <ns0:v>普通盒</ns0:v>
      </ns0:c>
      <ns0:c r="Q561" s="147" t="str">
        <ns0:v>固定层序见本关首行</ns0:v>
      </ns0:c>
      <ns0:c r="R561" s="150" t="n">
        <ns0:f>E561*H561</ns0:f>
        <ns0:v>0</ns0:v>
      </ns0:c>
    </ns0:row>
    <ns0:row r="562" ht="21" customHeight="1">
      <ns0:c r="A562" s="149" t="n">
        <ns0:v>84</ns0:v>
      </ns0:c>
      <ns0:c r="B562" s="145" t="str">
        <ns0:v>开局</ns0:v>
      </ns0:c>
      <ns0:c r="C562" s="145" t="str">
        <ns0:v>W9-084-03</ns0:v>
      </ns0:c>
      <ns0:c r="D562" s="145" t="str">
        <ns0:v>普通盒</ns0:v>
      </ns0:c>
      <ns0:c r="E562" s="152" t="n">
        <ns0:v>1</ns0:v>
      </ns0:c>
      <ns0:c r="F562" s="152" t="n">
        <ns0:v>4</ns0:v>
      </ns0:c>
      <ns0:c r="G562" s="152" t="n">
        <ns0:v>1</ns0:v>
      </ns0:c>
      <ns0:c r="H562" s="152" t="n">
        <ns0:v>0</ns0:v>
      </ns0:c>
      <ns0:c r="I562" s="149" t="n">
        <ns0:f>E562*G562</ns0:f>
        <ns0:v>1</ns0:v>
      </ns0:c>
      <ns0:c r="J562" s="149" t="n">
        <ns0:f>E562*(F562-G562)</ns0:f>
        <ns0:v>3</ns0:v>
      </ns0:c>
      <ns0:c r="K562" s="149" t="n">
        <ns0:f>IF(AND(B562="开局",G562=0,OR(D562="普通盒",D562="单颗暂存盒")),J562,0)</ns0:f>
        <ns0:v>0</ns0:v>
      </ns0:c>
      <ns0:c r="L562" s="149" t="n">
        <ns0:f>IF(AND(B562="开局",G562&gt;0,OR(D562="普通盒",D562="底部置顶盒",D562="炸弹盒")),J562,0)</ns0:f>
        <ns0:v>3</ns0:v>
      </ns0:c>
      <ns0:c r="M562" s="149" t="n">
        <ns0:f>IF(AND(B562="开局",OR(D562="固定颜色盒",D562="单向收纳盒")),J562,0)</ns0:f>
        <ns0:v>0</ns0:v>
      </ns0:c>
      <ns0:c r="N562" s="149" t="n">
        <ns0:f>IF(AND(B562="开局",OR(D562="数字盖盒",D562="普通冰冻盒",D562="数字冰冻盒",D562="数字冰冻单颗暂存盒")),J562,0)</ns0:f>
        <ns0:v>0</ns0:v>
      </ns0:c>
      <ns0:c r="O562" s="145" t="str">
        <ns0:f>IF(AND(E562&gt;0,E562=INT(E562),G562&gt;=0,G562&lt;=F562,G562=INT(G562),OR(AND(F562=1,OR(D562="单颗暂存盒",D562="数字冰冻单颗暂存盒")),AND(F562=4,NOT(OR(D562="单颗暂存盒",D562="数字冰冻单颗暂存盒")))),IF(OR(D562="数字盖盒",D562="数字冰冻盒",D562="数字冰冻单颗暂存盒"),AND(H562&gt;=1,H562=INT(H562)),H562=0),IF(B562="开局",AND(IF(OR(D562="数字盖盒",D562="普通冰冻盒",D562="数字冰冻盒",D562="炸弹盒",D562="底部置顶盒"),OR(G562=3,G562=4),TRUE),IF(OR(D562="单向收纳盒",D562="单颗暂存盒",D562="数字冰冻单颗暂存盒"),OR(G562=0,G562=1),TRUE),IF(OR(D562="固定颜色盒",D562="广告锁定周转盒"),G562=0,TRUE)),TRUE)),"通过","需调整")</ns0:f>
        <ns0:v>通过</ns0:v>
      </ns0:c>
      <ns0:c r="P562" s="145" t="str">
        <ns0:v>普通盒</ns0:v>
      </ns0:c>
      <ns0:c r="Q562" s="145" t="str">
        <ns0:v>固定层序见本关首行</ns0:v>
      </ns0:c>
      <ns0:c r="R562" s="149" t="n">
        <ns0:f>E562*H562</ns0:f>
        <ns0:v>0</ns0:v>
      </ns0:c>
    </ns0:row>
    <ns0:row r="563" ht="21" customHeight="1">
      <ns0:c r="A563" s="150" t="n">
        <ns0:v>84</ns0:v>
      </ns0:c>
      <ns0:c r="B563" s="147" t="str">
        <ns0:v>开局</ns0:v>
      </ns0:c>
      <ns0:c r="C563" s="147" t="str">
        <ns0:v>W9-084-04</ns0:v>
      </ns0:c>
      <ns0:c r="D563" s="147" t="str">
        <ns0:v>普通盒</ns0:v>
      </ns0:c>
      <ns0:c r="E563" s="152" t="n">
        <ns0:v>1</ns0:v>
      </ns0:c>
      <ns0:c r="F563" s="152" t="n">
        <ns0:v>4</ns0:v>
      </ns0:c>
      <ns0:c r="G563" s="152" t="n">
        <ns0:v>0</ns0:v>
      </ns0:c>
      <ns0:c r="H563" s="152" t="n">
        <ns0:v>0</ns0:v>
      </ns0:c>
      <ns0:c r="I563" s="150" t="n">
        <ns0:f>E563*G563</ns0:f>
        <ns0:v>0</ns0:v>
      </ns0:c>
      <ns0:c r="J563" s="150" t="n">
        <ns0:f>E563*(F563-G563)</ns0:f>
        <ns0:v>4</ns0:v>
      </ns0:c>
      <ns0:c r="K563" s="150" t="n">
        <ns0:f>IF(AND(B563="开局",G563=0,OR(D563="普通盒",D563="单颗暂存盒")),J563,0)</ns0:f>
        <ns0:v>4</ns0:v>
      </ns0:c>
      <ns0:c r="L563" s="150" t="n">
        <ns0:f>IF(AND(B563="开局",G563&gt;0,OR(D563="普通盒",D563="底部置顶盒",D563="炸弹盒")),J563,0)</ns0:f>
        <ns0:v>0</ns0:v>
      </ns0:c>
      <ns0:c r="M563" s="150" t="n">
        <ns0:f>IF(AND(B563="开局",OR(D563="固定颜色盒",D563="单向收纳盒")),J563,0)</ns0:f>
        <ns0:v>0</ns0:v>
      </ns0:c>
      <ns0:c r="N563" s="150" t="n">
        <ns0:f>IF(AND(B563="开局",OR(D563="数字盖盒",D563="普通冰冻盒",D563="数字冰冻盒",D563="数字冰冻单颗暂存盒")),J563,0)</ns0:f>
        <ns0:v>0</ns0:v>
      </ns0:c>
      <ns0:c r="O563" s="147" t="str">
        <ns0:f>IF(AND(E563&gt;0,E563=INT(E563),G563&gt;=0,G563&lt;=F563,G563=INT(G563),OR(AND(F563=1,OR(D563="单颗暂存盒",D563="数字冰冻单颗暂存盒")),AND(F563=4,NOT(OR(D563="单颗暂存盒",D563="数字冰冻单颗暂存盒")))),IF(OR(D563="数字盖盒",D563="数字冰冻盒",D563="数字冰冻单颗暂存盒"),AND(H563&gt;=1,H563=INT(H563)),H563=0),IF(B563="开局",AND(IF(OR(D563="数字盖盒",D563="普通冰冻盒",D563="数字冰冻盒",D563="炸弹盒",D563="底部置顶盒"),OR(G563=3,G563=4),TRUE),IF(OR(D563="单向收纳盒",D563="单颗暂存盒",D563="数字冰冻单颗暂存盒"),OR(G563=0,G563=1),TRUE),IF(OR(D563="固定颜色盒",D563="广告锁定周转盒"),G563=0,TRUE)),TRUE)),"通过","需调整")</ns0:f>
        <ns0:v>通过</ns0:v>
      </ns0:c>
      <ns0:c r="P563" s="147" t="str">
        <ns0:v>普通盒</ns0:v>
      </ns0:c>
      <ns0:c r="Q563" s="147" t="str">
        <ns0:v>固定层序见本关首行</ns0:v>
      </ns0:c>
      <ns0:c r="R563" s="150" t="n">
        <ns0:f>E563*H563</ns0:f>
        <ns0:v>0</ns0:v>
      </ns0:c>
    </ns0:row>
    <ns0:row r="564" ht="21" customHeight="1">
      <ns0:c r="A564" s="149" t="n">
        <ns0:v>84</ns0:v>
      </ns0:c>
      <ns0:c r="B564" s="145" t="str">
        <ns0:v>开局</ns0:v>
      </ns0:c>
      <ns0:c r="C564" s="145" t="str">
        <ns0:v>W9-084-05</ns0:v>
      </ns0:c>
      <ns0:c r="D564" s="145" t="str">
        <ns0:v>固定颜色盒</ns0:v>
      </ns0:c>
      <ns0:c r="E564" s="152" t="n">
        <ns0:v>1</ns0:v>
      </ns0:c>
      <ns0:c r="F564" s="152" t="n">
        <ns0:v>4</ns0:v>
      </ns0:c>
      <ns0:c r="G564" s="152" t="n">
        <ns0:v>0</ns0:v>
      </ns0:c>
      <ns0:c r="H564" s="152" t="n">
        <ns0:v>0</ns0:v>
      </ns0:c>
      <ns0:c r="I564" s="149" t="n">
        <ns0:f>E564*G564</ns0:f>
        <ns0:v>0</ns0:v>
      </ns0:c>
      <ns0:c r="J564" s="149" t="n">
        <ns0:f>E564*(F564-G564)</ns0:f>
        <ns0:v>4</ns0:v>
      </ns0:c>
      <ns0:c r="K564" s="149" t="n">
        <ns0:f>IF(AND(B564="开局",G564=0,OR(D564="普通盒",D564="单颗暂存盒")),J564,0)</ns0:f>
        <ns0:v>0</ns0:v>
      </ns0:c>
      <ns0:c r="L564" s="149" t="n">
        <ns0:f>IF(AND(B564="开局",G564&gt;0,OR(D564="普通盒",D564="底部置顶盒",D564="炸弹盒")),J564,0)</ns0:f>
        <ns0:v>0</ns0:v>
      </ns0:c>
      <ns0:c r="M564" s="149" t="n">
        <ns0:f>IF(AND(B564="开局",OR(D564="固定颜色盒",D564="单向收纳盒")),J564,0)</ns0:f>
        <ns0:v>4</ns0:v>
      </ns0:c>
      <ns0:c r="N564" s="149" t="n">
        <ns0:f>IF(AND(B564="开局",OR(D564="数字盖盒",D564="普通冰冻盒",D564="数字冰冻盒",D564="数字冰冻单颗暂存盒")),J564,0)</ns0:f>
        <ns0:v>0</ns0:v>
      </ns0:c>
      <ns0:c r="O564" s="145" t="str">
        <ns0:f>IF(AND(E564&gt;0,E564=INT(E564),G564&gt;=0,G564&lt;=F564,G564=INT(G564),OR(AND(F564=1,OR(D564="单颗暂存盒",D564="数字冰冻单颗暂存盒")),AND(F564=4,NOT(OR(D564="单颗暂存盒",D564="数字冰冻单颗暂存盒")))),IF(OR(D564="数字盖盒",D564="数字冰冻盒",D564="数字冰冻单颗暂存盒"),AND(H564&gt;=1,H564=INT(H564)),H564=0),IF(B564="开局",AND(IF(OR(D564="数字盖盒",D564="普通冰冻盒",D564="数字冰冻盒",D564="炸弹盒",D564="底部置顶盒"),OR(G564=3,G564=4),TRUE),IF(OR(D564="单向收纳盒",D564="单颗暂存盒",D564="数字冰冻单颗暂存盒"),OR(G564=0,G564=1),TRUE),IF(OR(D564="固定颜色盒",D564="广告锁定周转盒"),G564=0,TRUE)),TRUE)),"通过","需调整")</ns0:f>
        <ns0:v>通过</ns0:v>
      </ns0:c>
      <ns0:c r="P564" s="145" t="str">
        <ns0:v>固定颜色盒</ns0:v>
      </ns0:c>
      <ns0:c r="Q564" s="145" t="str">
        <ns0:v>固定层序见本关首行</ns0:v>
      </ns0:c>
      <ns0:c r="R564" s="149" t="n">
        <ns0:f>E564*H564</ns0:f>
        <ns0:v>0</ns0:v>
      </ns0:c>
    </ns0:row>
    <ns0:row r="565" ht="21" customHeight="1">
      <ns0:c r="A565" s="150" t="n">
        <ns0:v>84</ns0:v>
      </ns0:c>
      <ns0:c r="B565" s="147" t="str">
        <ns0:v>开局</ns0:v>
      </ns0:c>
      <ns0:c r="C565" s="147" t="str">
        <ns0:v>W9-084-06</ns0:v>
      </ns0:c>
      <ns0:c r="D565" s="147" t="str">
        <ns0:v>普通冰冻盒</ns0:v>
      </ns0:c>
      <ns0:c r="E565" s="152" t="n">
        <ns0:v>1</ns0:v>
      </ns0:c>
      <ns0:c r="F565" s="152" t="n">
        <ns0:v>4</ns0:v>
      </ns0:c>
      <ns0:c r="G565" s="152" t="n">
        <ns0:v>4</ns0:v>
      </ns0:c>
      <ns0:c r="H565" s="152" t="n">
        <ns0:v>0</ns0:v>
      </ns0:c>
      <ns0:c r="I565" s="150" t="n">
        <ns0:f>E565*G565</ns0:f>
        <ns0:v>4</ns0:v>
      </ns0:c>
      <ns0:c r="J565" s="150" t="n">
        <ns0:f>E565*(F565-G565)</ns0:f>
        <ns0:v>0</ns0:v>
      </ns0:c>
      <ns0:c r="K565" s="150" t="n">
        <ns0:f>IF(AND(B565="开局",G565=0,OR(D565="普通盒",D565="单颗暂存盒")),J565,0)</ns0:f>
        <ns0:v>0</ns0:v>
      </ns0:c>
      <ns0:c r="L565" s="150" t="n">
        <ns0:f>IF(AND(B565="开局",G565&gt;0,OR(D565="普通盒",D565="底部置顶盒",D565="炸弹盒")),J565,0)</ns0:f>
        <ns0:v>0</ns0:v>
      </ns0:c>
      <ns0:c r="M565" s="150" t="n">
        <ns0:f>IF(AND(B565="开局",OR(D565="固定颜色盒",D565="单向收纳盒")),J565,0)</ns0:f>
        <ns0:v>0</ns0:v>
      </ns0:c>
      <ns0:c r="N565" s="150" t="n">
        <ns0:f>IF(AND(B565="开局",OR(D565="数字盖盒",D565="普通冰冻盒",D565="数字冰冻盒",D565="数字冰冻单颗暂存盒")),J565,0)</ns0:f>
        <ns0:v>0</ns0:v>
      </ns0:c>
      <ns0:c r="O565" s="147" t="str">
        <ns0:f>IF(AND(E565&gt;0,E565=INT(E565),G565&gt;=0,G565&lt;=F565,G565=INT(G565),OR(AND(F565=1,OR(D565="单颗暂存盒",D565="数字冰冻单颗暂存盒")),AND(F565=4,NOT(OR(D565="单颗暂存盒",D565="数字冰冻单颗暂存盒")))),IF(OR(D565="数字盖盒",D565="数字冰冻盒",D565="数字冰冻单颗暂存盒"),AND(H565&gt;=1,H565=INT(H565)),H565=0),IF(B565="开局",AND(IF(OR(D565="数字盖盒",D565="普通冰冻盒",D565="数字冰冻盒",D565="炸弹盒",D565="底部置顶盒"),OR(G565=3,G565=4),TRUE),IF(OR(D565="单向收纳盒",D565="单颗暂存盒",D565="数字冰冻单颗暂存盒"),OR(G565=0,G565=1),TRUE),IF(OR(D565="固定颜色盒",D565="广告锁定周转盒"),G565=0,TRUE)),TRUE)),"通过","需调整")</ns0:f>
        <ns0:v>通过</ns0:v>
      </ns0:c>
      <ns0:c r="P565" s="147" t="str">
        <ns0:v>普通冰冻盒</ns0:v>
      </ns0:c>
      <ns0:c r="Q565" s="147" t="str">
        <ns0:v>固定层序见本关首行</ns0:v>
      </ns0:c>
      <ns0:c r="R565" s="150" t="n">
        <ns0:f>E565*H565</ns0:f>
        <ns0:v>0</ns0:v>
      </ns0:c>
    </ns0:row>
    <ns0:row r="566" ht="21" customHeight="1">
      <ns0:c r="A566" s="149" t="n">
        <ns0:v>84</ns0:v>
      </ns0:c>
      <ns0:c r="B566" s="145" t="str">
        <ns0:v>开局</ns0:v>
      </ns0:c>
      <ns0:c r="C566" s="145" t="str">
        <ns0:v>W9-084-07</ns0:v>
      </ns0:c>
      <ns0:c r="D566" s="145" t="str">
        <ns0:v>广告锁定周转盒</ns0:v>
      </ns0:c>
      <ns0:c r="E566" s="152" t="n">
        <ns0:v>2</ns0:v>
      </ns0:c>
      <ns0:c r="F566" s="152" t="n">
        <ns0:v>4</ns0:v>
      </ns0:c>
      <ns0:c r="G566" s="152" t="n">
        <ns0:v>0</ns0:v>
      </ns0:c>
      <ns0:c r="H566" s="152" t="n">
        <ns0:v>0</ns0:v>
      </ns0:c>
      <ns0:c r="I566" s="149" t="n">
        <ns0:f>E566*G566</ns0:f>
        <ns0:v>0</ns0:v>
      </ns0:c>
      <ns0:c r="J566" s="149" t="n">
        <ns0:f>E566*(F566-G566)</ns0:f>
        <ns0:v>8</ns0:v>
      </ns0:c>
      <ns0:c r="K566" s="149" t="n">
        <ns0:f>IF(AND(B566="开局",G566=0,OR(D566="普通盒",D566="单颗暂存盒")),J566,0)</ns0:f>
        <ns0:v>0</ns0:v>
      </ns0:c>
      <ns0:c r="L566" s="149" t="n">
        <ns0:f>IF(AND(B566="开局",G566&gt;0,OR(D566="普通盒",D566="底部置顶盒",D566="炸弹盒")),J566,0)</ns0:f>
        <ns0:v>0</ns0:v>
      </ns0:c>
      <ns0:c r="M566" s="149" t="n">
        <ns0:f>IF(AND(B566="开局",OR(D566="固定颜色盒",D566="单向收纳盒")),J566,0)</ns0:f>
        <ns0:v>0</ns0:v>
      </ns0:c>
      <ns0:c r="N566" s="149" t="n">
        <ns0:f>IF(AND(B566="开局",OR(D566="数字盖盒",D566="普通冰冻盒",D566="数字冰冻盒",D566="数字冰冻单颗暂存盒")),J566,0)</ns0:f>
        <ns0:v>0</ns0:v>
      </ns0:c>
      <ns0:c r="O566" s="145" t="str">
        <ns0:f>IF(AND(E566&gt;0,E566=INT(E566),G566&gt;=0,G566&lt;=F566,G566=INT(G566),OR(AND(F566=1,OR(D566="单颗暂存盒",D566="数字冰冻单颗暂存盒")),AND(F566=4,NOT(OR(D566="单颗暂存盒",D566="数字冰冻单颗暂存盒")))),IF(OR(D566="数字盖盒",D566="数字冰冻盒",D566="数字冰冻单颗暂存盒"),AND(H566&gt;=1,H566=INT(H566)),H566=0),IF(B566="开局",AND(IF(OR(D566="数字盖盒",D566="普通冰冻盒",D566="数字冰冻盒",D566="炸弹盒",D566="底部置顶盒"),OR(G566=3,G566=4),TRUE),IF(OR(D566="单向收纳盒",D566="单颗暂存盒",D566="数字冰冻单颗暂存盒"),OR(G566=0,G566=1),TRUE),IF(OR(D566="固定颜色盒",D566="广告锁定周转盒"),G566=0,TRUE)),TRUE)),"通过","需调整")</ns0:f>
        <ns0:v>通过</ns0:v>
      </ns0:c>
      <ns0:c r="P566" s="145" t="str">
        <ns0:v>双广告锁位</ns0:v>
      </ns0:c>
      <ns0:c r="Q566" s="145" t="str">
        <ns0:v>固定层序见本关首行</ns0:v>
      </ns0:c>
      <ns0:c r="R566" s="149" t="n">
        <ns0:f>E566*H566</ns0:f>
        <ns0:v>0</ns0:v>
      </ns0:c>
    </ns0:row>
    <ns0:row r="567" ht="21" customHeight="1">
      <ns0:c r="A567" s="150" t="n">
        <ns0:v>84</ns0:v>
      </ns0:c>
      <ns0:c r="B567" s="147" t="str">
        <ns0:v>备货</ns0:v>
      </ns0:c>
      <ns0:c r="C567" s="147" t="str">
        <ns0:v>W9-084-08</ns0:v>
      </ns0:c>
      <ns0:c r="D567" s="147" t="str">
        <ns0:v>普通盒</ns0:v>
      </ns0:c>
      <ns0:c r="E567" s="152" t="n">
        <ns0:v>1</ns0:v>
      </ns0:c>
      <ns0:c r="F567" s="152" t="n">
        <ns0:v>4</ns0:v>
      </ns0:c>
      <ns0:c r="G567" s="152" t="n">
        <ns0:v>4</ns0:v>
      </ns0:c>
      <ns0:c r="H567" s="152" t="n">
        <ns0:v>0</ns0:v>
      </ns0:c>
      <ns0:c r="I567" s="150" t="n">
        <ns0:f>E567*G567</ns0:f>
        <ns0:v>4</ns0:v>
      </ns0:c>
      <ns0:c r="J567" s="150" t="n">
        <ns0:f>E567*(F567-G567)</ns0:f>
        <ns0:v>0</ns0:v>
      </ns0:c>
      <ns0:c r="K567" s="150" t="n">
        <ns0:f>IF(AND(B567="开局",G567=0,OR(D567="普通盒",D567="单颗暂存盒")),J567,0)</ns0:f>
        <ns0:v>0</ns0:v>
      </ns0:c>
      <ns0:c r="L567" s="150" t="n">
        <ns0:f>IF(AND(B567="开局",G567&gt;0,OR(D567="普通盒",D567="底部置顶盒",D567="炸弹盒")),J567,0)</ns0:f>
        <ns0:v>0</ns0:v>
      </ns0:c>
      <ns0:c r="M567" s="150" t="n">
        <ns0:f>IF(AND(B567="开局",OR(D567="固定颜色盒",D567="单向收纳盒")),J567,0)</ns0:f>
        <ns0:v>0</ns0:v>
      </ns0:c>
      <ns0:c r="N567" s="150" t="n">
        <ns0:f>IF(AND(B567="开局",OR(D567="数字盖盒",D567="普通冰冻盒",D567="数字冰冻盒",D567="数字冰冻单颗暂存盒")),J567,0)</ns0:f>
        <ns0:v>0</ns0:v>
      </ns0:c>
      <ns0:c r="O567" s="147" t="str">
        <ns0:f>IF(AND(E567&gt;0,E567=INT(E567),G567&gt;=0,G567&lt;=F567,G567=INT(G567),OR(AND(F567=1,OR(D567="单颗暂存盒",D567="数字冰冻单颗暂存盒")),AND(F567=4,NOT(OR(D567="单颗暂存盒",D567="数字冰冻单颗暂存盒")))),IF(OR(D567="数字盖盒",D567="数字冰冻盒",D567="数字冰冻单颗暂存盒"),AND(H567&gt;=1,H567=INT(H567)),H567=0),IF(B567="开局",AND(IF(OR(D567="数字盖盒",D567="普通冰冻盒",D567="数字冰冻盒",D567="炸弹盒",D567="底部置顶盒"),OR(G567=3,G567=4),TRUE),IF(OR(D567="单向收纳盒",D567="单颗暂存盒",D567="数字冰冻单颗暂存盒"),OR(G567=0,G567=1),TRUE),IF(OR(D567="固定颜色盒",D567="广告锁定周转盒"),G567=0,TRUE)),TRUE)),"通过","需调整")</ns0:f>
        <ns0:v>通过</ns0:v>
      </ns0:c>
      <ns0:c r="P567" s="147" t="str">
        <ns0:v>连续侧边补货</ns0:v>
      </ns0:c>
      <ns0:c r="Q567" s="147" t="str">
        <ns0:v>固定层序见本关首行</ns0:v>
      </ns0:c>
      <ns0:c r="R567" s="150" t="n">
        <ns0:f>E567*H567</ns0:f>
        <ns0:v>0</ns0:v>
      </ns0:c>
    </ns0:row>
    <ns0:row r="568" ht="21" customHeight="1">
      <ns0:c r="A568" s="149" t="n">
        <ns0:v>85</ns0:v>
      </ns0:c>
      <ns0:c r="B568" s="145" t="str">
        <ns0:v>开局</ns0:v>
      </ns0:c>
      <ns0:c r="C568" s="145" t="str">
        <ns0:v>W9-085-01</ns0:v>
      </ns0:c>
      <ns0:c r="D568" s="145" t="str">
        <ns0:v>普通盒</ns0:v>
      </ns0:c>
      <ns0:c r="E568" s="152" t="n">
        <ns0:v>12</ns0:v>
      </ns0:c>
      <ns0:c r="F568" s="152" t="n">
        <ns0:v>4</ns0:v>
      </ns0:c>
      <ns0:c r="G568" s="152" t="n">
        <ns0:v>4</ns0:v>
      </ns0:c>
      <ns0:c r="H568" s="152" t="n">
        <ns0:v>0</ns0:v>
      </ns0:c>
      <ns0:c r="I568" s="149" t="n">
        <ns0:f>E568*G568</ns0:f>
        <ns0:v>48</ns0:v>
      </ns0:c>
      <ns0:c r="J568" s="149" t="n">
        <ns0:f>E568*(F568-G568)</ns0:f>
        <ns0:v>0</ns0:v>
      </ns0:c>
      <ns0:c r="K568" s="149" t="n">
        <ns0:f>IF(AND(B568="开局",G568=0,OR(D568="普通盒",D568="单颗暂存盒")),J568,0)</ns0:f>
        <ns0:v>0</ns0:v>
      </ns0:c>
      <ns0:c r="L568" s="149" t="n">
        <ns0:f>IF(AND(B568="开局",G568&gt;0,OR(D568="普通盒",D568="底部置顶盒",D568="炸弹盒")),J568,0)</ns0:f>
        <ns0:v>0</ns0:v>
      </ns0:c>
      <ns0:c r="M568" s="149" t="n">
        <ns0:f>IF(AND(B568="开局",OR(D568="固定颜色盒",D568="单向收纳盒")),J568,0)</ns0:f>
        <ns0:v>0</ns0:v>
      </ns0:c>
      <ns0:c r="N568" s="149" t="n">
        <ns0:f>IF(AND(B568="开局",OR(D568="数字盖盒",D568="普通冰冻盒",D568="数字冰冻盒",D568="数字冰冻单颗暂存盒")),J568,0)</ns0:f>
        <ns0:v>0</ns0:v>
      </ns0:c>
      <ns0:c r="O568" s="145" t="str">
        <ns0:f>IF(AND(E568&gt;0,E568=INT(E568),G568&gt;=0,G568&lt;=F568,G568=INT(G568),OR(AND(F568=1,OR(D568="单颗暂存盒",D568="数字冰冻单颗暂存盒")),AND(F568=4,NOT(OR(D568="单颗暂存盒",D568="数字冰冻单颗暂存盒")))),IF(OR(D568="数字盖盒",D568="数字冰冻盒",D568="数字冰冻单颗暂存盒"),AND(H568&gt;=1,H568=INT(H568)),H568=0),IF(B568="开局",AND(IF(OR(D568="数字盖盒",D568="普通冰冻盒",D568="数字冰冻盒",D568="炸弹盒",D568="底部置顶盒"),OR(G568=3,G568=4),TRUE),IF(OR(D568="单向收纳盒",D568="单颗暂存盒",D568="数字冰冻单颗暂存盒"),OR(G568=0,G568=1),TRUE),IF(OR(D568="固定颜色盒",D568="广告锁定周转盒"),G568=0,TRUE)),TRUE)),"通过","需调整")</ns0:f>
        <ns0:v>通过</ns0:v>
      </ns0:c>
      <ns0:c r="P568" s="145" t="str">
        <ns0:v>普通盒</ns0:v>
      </ns0:c>
      <ns0:c r="Q568" s="145" t="str">
        <ns0:v>层序JSON:{"reference":"2026-10-12 第81至90关炸弹学习与缓和节奏；固定层序、明牌拆弹材料与组合机关","slots":[{"group_id":"W9-085-01","layers":[3,5,2,2]},{"group_id":"W9-085-01","layers":[2,12,3,4]},{"group_id":"W9-085-01","layers":[5,12,0,0]},{"group_id":"W9-085-02","layers":[8,12,6]},{"group_id":"W9-085-03","layers":[4]},{"group_id":"W9-085-01","layers":[0,3,2,0]},{"group_id":"W9-085-01","layers":[5,2,4,5]},{"group_id":"W9-085-01","layers":[6,2,4,6]},{"group_id":"W9-085-01","layers":[3,3,0,4]},{"group_id":"W9-085-01","layers":[4,5,8,5]},{"group_id":"W9-085-01","layers":[5,3,8,12]},{"group_id":"W9-085-01","layers":[0,6,8,3]},{"group_id":"W9-085-01","layers":[6,2,0,5]},{"group_id":"W9-085-01","layers":[4,6,2,0],"hidden":[1,2,3]},{"group_id":"W9-085-05","layers":[6,4,3,6]},{"group_id":"W9-085-04","layers":[]},{"group_id":"W9-085-06","layers":[]}],"stock":[],"demand_sequences":[[3,0,2,4,6,0,8],[4,5,6,3,2,5,12]]}</ns0:v>
      </ns0:c>
      <ns0:c r="R568" s="149" t="n">
        <ns0:f>E568*H568</ns0:f>
        <ns0:v>0</ns0:v>
      </ns0:c>
    </ns0:row>
    <ns0:row r="569" ht="21" customHeight="1">
      <ns0:c r="A569" s="150" t="n">
        <ns0:v>85</ns0:v>
      </ns0:c>
      <ns0:c r="B569" s="147" t="str">
        <ns0:v>开局</ns0:v>
      </ns0:c>
      <ns0:c r="C569" s="147" t="str">
        <ns0:v>W9-085-02</ns0:v>
      </ns0:c>
      <ns0:c r="D569" s="147" t="str">
        <ns0:v>普通盒</ns0:v>
      </ns0:c>
      <ns0:c r="E569" s="152" t="n">
        <ns0:v>1</ns0:v>
      </ns0:c>
      <ns0:c r="F569" s="152" t="n">
        <ns0:v>4</ns0:v>
      </ns0:c>
      <ns0:c r="G569" s="152" t="n">
        <ns0:v>3</ns0:v>
      </ns0:c>
      <ns0:c r="H569" s="152" t="n">
        <ns0:v>0</ns0:v>
      </ns0:c>
      <ns0:c r="I569" s="150" t="n">
        <ns0:f>E569*G569</ns0:f>
        <ns0:v>3</ns0:v>
      </ns0:c>
      <ns0:c r="J569" s="150" t="n">
        <ns0:f>E569*(F569-G569)</ns0:f>
        <ns0:v>1</ns0:v>
      </ns0:c>
      <ns0:c r="K569" s="150" t="n">
        <ns0:f>IF(AND(B569="开局",G569=0,OR(D569="普通盒",D569="单颗暂存盒")),J569,0)</ns0:f>
        <ns0:v>0</ns0:v>
      </ns0:c>
      <ns0:c r="L569" s="150" t="n">
        <ns0:f>IF(AND(B569="开局",G569&gt;0,OR(D569="普通盒",D569="底部置顶盒",D569="炸弹盒")),J569,0)</ns0:f>
        <ns0:v>1</ns0:v>
      </ns0:c>
      <ns0:c r="M569" s="150" t="n">
        <ns0:f>IF(AND(B569="开局",OR(D569="固定颜色盒",D569="单向收纳盒")),J569,0)</ns0:f>
        <ns0:v>0</ns0:v>
      </ns0:c>
      <ns0:c r="N569" s="150" t="n">
        <ns0:f>IF(AND(B569="开局",OR(D569="数字盖盒",D569="普通冰冻盒",D569="数字冰冻盒",D569="数字冰冻单颗暂存盒")),J569,0)</ns0:f>
        <ns0:v>0</ns0:v>
      </ns0:c>
      <ns0:c r="O569" s="147" t="str">
        <ns0:f>IF(AND(E569&gt;0,E569=INT(E569),G569&gt;=0,G569&lt;=F569,G569=INT(G569),OR(AND(F569=1,OR(D569="单颗暂存盒",D569="数字冰冻单颗暂存盒")),AND(F569=4,NOT(OR(D569="单颗暂存盒",D569="数字冰冻单颗暂存盒")))),IF(OR(D569="数字盖盒",D569="数字冰冻盒",D569="数字冰冻单颗暂存盒"),AND(H569&gt;=1,H569=INT(H569)),H569=0),IF(B569="开局",AND(IF(OR(D569="数字盖盒",D569="普通冰冻盒",D569="数字冰冻盒",D569="炸弹盒",D569="底部置顶盒"),OR(G569=3,G569=4),TRUE),IF(OR(D569="单向收纳盒",D569="单颗暂存盒",D569="数字冰冻单颗暂存盒"),OR(G569=0,G569=1),TRUE),IF(OR(D569="固定颜色盒",D569="广告锁定周转盒"),G569=0,TRUE)),TRUE)),"通过","需调整")</ns0:f>
        <ns0:v>通过</ns0:v>
      </ns0:c>
      <ns0:c r="P569" s="147" t="str">
        <ns0:v>普通盒</ns0:v>
      </ns0:c>
      <ns0:c r="Q569" s="147" t="str">
        <ns0:v>固定层序见本关首行</ns0:v>
      </ns0:c>
      <ns0:c r="R569" s="150" t="n">
        <ns0:f>E569*H569</ns0:f>
        <ns0:v>0</ns0:v>
      </ns0:c>
    </ns0:row>
    <ns0:row r="570" ht="21" customHeight="1">
      <ns0:c r="A570" s="149" t="n">
        <ns0:v>85</ns0:v>
      </ns0:c>
      <ns0:c r="B570" s="145" t="str">
        <ns0:v>开局</ns0:v>
      </ns0:c>
      <ns0:c r="C570" s="145" t="str">
        <ns0:v>W9-085-03</ns0:v>
      </ns0:c>
      <ns0:c r="D570" s="145" t="str">
        <ns0:v>普通盒</ns0:v>
      </ns0:c>
      <ns0:c r="E570" s="152" t="n">
        <ns0:v>1</ns0:v>
      </ns0:c>
      <ns0:c r="F570" s="152" t="n">
        <ns0:v>4</ns0:v>
      </ns0:c>
      <ns0:c r="G570" s="152" t="n">
        <ns0:v>1</ns0:v>
      </ns0:c>
      <ns0:c r="H570" s="152" t="n">
        <ns0:v>0</ns0:v>
      </ns0:c>
      <ns0:c r="I570" s="149" t="n">
        <ns0:f>E570*G570</ns0:f>
        <ns0:v>1</ns0:v>
      </ns0:c>
      <ns0:c r="J570" s="149" t="n">
        <ns0:f>E570*(F570-G570)</ns0:f>
        <ns0:v>3</ns0:v>
      </ns0:c>
      <ns0:c r="K570" s="149" t="n">
        <ns0:f>IF(AND(B570="开局",G570=0,OR(D570="普通盒",D570="单颗暂存盒")),J570,0)</ns0:f>
        <ns0:v>0</ns0:v>
      </ns0:c>
      <ns0:c r="L570" s="149" t="n">
        <ns0:f>IF(AND(B570="开局",G570&gt;0,OR(D570="普通盒",D570="底部置顶盒",D570="炸弹盒")),J570,0)</ns0:f>
        <ns0:v>3</ns0:v>
      </ns0:c>
      <ns0:c r="M570" s="149" t="n">
        <ns0:f>IF(AND(B570="开局",OR(D570="固定颜色盒",D570="单向收纳盒")),J570,0)</ns0:f>
        <ns0:v>0</ns0:v>
      </ns0:c>
      <ns0:c r="N570" s="149" t="n">
        <ns0:f>IF(AND(B570="开局",OR(D570="数字盖盒",D570="普通冰冻盒",D570="数字冰冻盒",D570="数字冰冻单颗暂存盒")),J570,0)</ns0:f>
        <ns0:v>0</ns0:v>
      </ns0:c>
      <ns0:c r="O570" s="145" t="str">
        <ns0:f>IF(AND(E570&gt;0,E570=INT(E570),G570&gt;=0,G570&lt;=F570,G570=INT(G570),OR(AND(F570=1,OR(D570="单颗暂存盒",D570="数字冰冻单颗暂存盒")),AND(F570=4,NOT(OR(D570="单颗暂存盒",D570="数字冰冻单颗暂存盒")))),IF(OR(D570="数字盖盒",D570="数字冰冻盒",D570="数字冰冻单颗暂存盒"),AND(H570&gt;=1,H570=INT(H570)),H570=0),IF(B570="开局",AND(IF(OR(D570="数字盖盒",D570="普通冰冻盒",D570="数字冰冻盒",D570="炸弹盒",D570="底部置顶盒"),OR(G570=3,G570=4),TRUE),IF(OR(D570="单向收纳盒",D570="单颗暂存盒",D570="数字冰冻单颗暂存盒"),OR(G570=0,G570=1),TRUE),IF(OR(D570="固定颜色盒",D570="广告锁定周转盒"),G570=0,TRUE)),TRUE)),"通过","需调整")</ns0:f>
        <ns0:v>通过</ns0:v>
      </ns0:c>
      <ns0:c r="P570" s="145" t="str">
        <ns0:v>普通盒</ns0:v>
      </ns0:c>
      <ns0:c r="Q570" s="145" t="str">
        <ns0:v>固定层序见本关首行</ns0:v>
      </ns0:c>
      <ns0:c r="R570" s="149" t="n">
        <ns0:f>E570*H570</ns0:f>
        <ns0:v>0</ns0:v>
      </ns0:c>
    </ns0:row>
    <ns0:row r="571" ht="21" customHeight="1">
      <ns0:c r="A571" s="150" t="n">
        <ns0:v>85</ns0:v>
      </ns0:c>
      <ns0:c r="B571" s="147" t="str">
        <ns0:v>开局</ns0:v>
      </ns0:c>
      <ns0:c r="C571" s="147" t="str">
        <ns0:v>W9-085-04</ns0:v>
      </ns0:c>
      <ns0:c r="D571" s="147" t="str">
        <ns0:v>普通盒</ns0:v>
      </ns0:c>
      <ns0:c r="E571" s="152" t="n">
        <ns0:v>1</ns0:v>
      </ns0:c>
      <ns0:c r="F571" s="152" t="n">
        <ns0:v>4</ns0:v>
      </ns0:c>
      <ns0:c r="G571" s="152" t="n">
        <ns0:v>0</ns0:v>
      </ns0:c>
      <ns0:c r="H571" s="152" t="n">
        <ns0:v>0</ns0:v>
      </ns0:c>
      <ns0:c r="I571" s="150" t="n">
        <ns0:f>E571*G571</ns0:f>
        <ns0:v>0</ns0:v>
      </ns0:c>
      <ns0:c r="J571" s="150" t="n">
        <ns0:f>E571*(F571-G571)</ns0:f>
        <ns0:v>4</ns0:v>
      </ns0:c>
      <ns0:c r="K571" s="150" t="n">
        <ns0:f>IF(AND(B571="开局",G571=0,OR(D571="普通盒",D571="单颗暂存盒")),J571,0)</ns0:f>
        <ns0:v>4</ns0:v>
      </ns0:c>
      <ns0:c r="L571" s="150" t="n">
        <ns0:f>IF(AND(B571="开局",G571&gt;0,OR(D571="普通盒",D571="底部置顶盒",D571="炸弹盒")),J571,0)</ns0:f>
        <ns0:v>0</ns0:v>
      </ns0:c>
      <ns0:c r="M571" s="150" t="n">
        <ns0:f>IF(AND(B571="开局",OR(D571="固定颜色盒",D571="单向收纳盒")),J571,0)</ns0:f>
        <ns0:v>0</ns0:v>
      </ns0:c>
      <ns0:c r="N571" s="150" t="n">
        <ns0:f>IF(AND(B571="开局",OR(D571="数字盖盒",D571="普通冰冻盒",D571="数字冰冻盒",D571="数字冰冻单颗暂存盒")),J571,0)</ns0:f>
        <ns0:v>0</ns0:v>
      </ns0:c>
      <ns0:c r="O571" s="147" t="str">
        <ns0:f>IF(AND(E571&gt;0,E571=INT(E571),G571&gt;=0,G571&lt;=F571,G571=INT(G571),OR(AND(F571=1,OR(D571="单颗暂存盒",D571="数字冰冻单颗暂存盒")),AND(F571=4,NOT(OR(D571="单颗暂存盒",D571="数字冰冻单颗暂存盒")))),IF(OR(D571="数字盖盒",D571="数字冰冻盒",D571="数字冰冻单颗暂存盒"),AND(H571&gt;=1,H571=INT(H571)),H571=0),IF(B571="开局",AND(IF(OR(D571="数字盖盒",D571="普通冰冻盒",D571="数字冰冻盒",D571="炸弹盒",D571="底部置顶盒"),OR(G571=3,G571=4),TRUE),IF(OR(D571="单向收纳盒",D571="单颗暂存盒",D571="数字冰冻单颗暂存盒"),OR(G571=0,G571=1),TRUE),IF(OR(D571="固定颜色盒",D571="广告锁定周转盒"),G571=0,TRUE)),TRUE)),"通过","需调整")</ns0:f>
        <ns0:v>通过</ns0:v>
      </ns0:c>
      <ns0:c r="P571" s="147" t="str">
        <ns0:v>普通盒</ns0:v>
      </ns0:c>
      <ns0:c r="Q571" s="147" t="str">
        <ns0:v>固定层序见本关首行</ns0:v>
      </ns0:c>
      <ns0:c r="R571" s="150" t="n">
        <ns0:f>E571*H571</ns0:f>
        <ns0:v>0</ns0:v>
      </ns0:c>
    </ns0:row>
    <ns0:row r="572" ht="21" customHeight="1">
      <ns0:c r="A572" s="149" t="n">
        <ns0:v>85</ns0:v>
      </ns0:c>
      <ns0:c r="B572" s="145" t="str">
        <ns0:v>开局</ns0:v>
      </ns0:c>
      <ns0:c r="C572" s="145" t="str">
        <ns0:v>W9-085-05</ns0:v>
      </ns0:c>
      <ns0:c r="D572" s="145" t="str">
        <ns0:v>数字盖盒</ns0:v>
      </ns0:c>
      <ns0:c r="E572" s="152" t="n">
        <ns0:v>1</ns0:v>
      </ns0:c>
      <ns0:c r="F572" s="152" t="n">
        <ns0:v>4</ns0:v>
      </ns0:c>
      <ns0:c r="G572" s="152" t="n">
        <ns0:v>4</ns0:v>
      </ns0:c>
      <ns0:c r="H572" s="152" t="n">
        <ns0:v>1</ns0:v>
      </ns0:c>
      <ns0:c r="I572" s="149" t="n">
        <ns0:f>E572*G572</ns0:f>
        <ns0:v>4</ns0:v>
      </ns0:c>
      <ns0:c r="J572" s="149" t="n">
        <ns0:f>E572*(F572-G572)</ns0:f>
        <ns0:v>0</ns0:v>
      </ns0:c>
      <ns0:c r="K572" s="149" t="n">
        <ns0:f>IF(AND(B572="开局",G572=0,OR(D572="普通盒",D572="单颗暂存盒")),J572,0)</ns0:f>
        <ns0:v>0</ns0:v>
      </ns0:c>
      <ns0:c r="L572" s="149" t="n">
        <ns0:f>IF(AND(B572="开局",G572&gt;0,OR(D572="普通盒",D572="底部置顶盒",D572="炸弹盒")),J572,0)</ns0:f>
        <ns0:v>0</ns0:v>
      </ns0:c>
      <ns0:c r="M572" s="149" t="n">
        <ns0:f>IF(AND(B572="开局",OR(D572="固定颜色盒",D572="单向收纳盒")),J572,0)</ns0:f>
        <ns0:v>0</ns0:v>
      </ns0:c>
      <ns0:c r="N572" s="149" t="n">
        <ns0:f>IF(AND(B572="开局",OR(D572="数字盖盒",D572="普通冰冻盒",D572="数字冰冻盒",D572="数字冰冻单颗暂存盒")),J572,0)</ns0:f>
        <ns0:v>0</ns0:v>
      </ns0:c>
      <ns0:c r="O572" s="145" t="str">
        <ns0:f>IF(AND(E572&gt;0,E572=INT(E572),G572&gt;=0,G572&lt;=F572,G572=INT(G572),OR(AND(F572=1,OR(D572="单颗暂存盒",D572="数字冰冻单颗暂存盒")),AND(F572=4,NOT(OR(D572="单颗暂存盒",D572="数字冰冻单颗暂存盒")))),IF(OR(D572="数字盖盒",D572="数字冰冻盒",D572="数字冰冻单颗暂存盒"),AND(H572&gt;=1,H572=INT(H572)),H572=0),IF(B572="开局",AND(IF(OR(D572="数字盖盒",D572="普通冰冻盒",D572="数字冰冻盒",D572="炸弹盒",D572="底部置顶盒"),OR(G572=3,G572=4),TRUE),IF(OR(D572="单向收纳盒",D572="单颗暂存盒",D572="数字冰冻单颗暂存盒"),OR(G572=0,G572=1),TRUE),IF(OR(D572="固定颜色盒",D572="广告锁定周转盒"),G572=0,TRUE)),TRUE)),"通过","需调整")</ns0:f>
        <ns0:v>通过</ns0:v>
      </ns0:c>
      <ns0:c r="P572" s="145" t="str">
        <ns0:v>数字盖盒</ns0:v>
      </ns0:c>
      <ns0:c r="Q572" s="145" t="str">
        <ns0:v>固定层序见本关首行</ns0:v>
      </ns0:c>
      <ns0:c r="R572" s="149" t="n">
        <ns0:f>E572*H572</ns0:f>
        <ns0:v>1</ns0:v>
      </ns0:c>
    </ns0:row>
    <ns0:row r="573" ht="21" customHeight="1">
      <ns0:c r="A573" s="150" t="n">
        <ns0:v>85</ns0:v>
      </ns0:c>
      <ns0:c r="B573" s="147" t="str">
        <ns0:v>开局</ns0:v>
      </ns0:c>
      <ns0:c r="C573" s="147" t="str">
        <ns0:v>W9-085-06</ns0:v>
      </ns0:c>
      <ns0:c r="D573" s="147" t="str">
        <ns0:v>单向收纳盒</ns0:v>
      </ns0:c>
      <ns0:c r="E573" s="152" t="n">
        <ns0:v>1</ns0:v>
      </ns0:c>
      <ns0:c r="F573" s="152" t="n">
        <ns0:v>4</ns0:v>
      </ns0:c>
      <ns0:c r="G573" s="152" t="n">
        <ns0:v>0</ns0:v>
      </ns0:c>
      <ns0:c r="H573" s="152" t="n">
        <ns0:v>0</ns0:v>
      </ns0:c>
      <ns0:c r="I573" s="150" t="n">
        <ns0:f>E573*G573</ns0:f>
        <ns0:v>0</ns0:v>
      </ns0:c>
      <ns0:c r="J573" s="150" t="n">
        <ns0:f>E573*(F573-G573)</ns0:f>
        <ns0:v>4</ns0:v>
      </ns0:c>
      <ns0:c r="K573" s="150" t="n">
        <ns0:f>IF(AND(B573="开局",G573=0,OR(D573="普通盒",D573="单颗暂存盒")),J573,0)</ns0:f>
        <ns0:v>0</ns0:v>
      </ns0:c>
      <ns0:c r="L573" s="150" t="n">
        <ns0:f>IF(AND(B573="开局",G573&gt;0,OR(D573="普通盒",D573="底部置顶盒",D573="炸弹盒")),J573,0)</ns0:f>
        <ns0:v>0</ns0:v>
      </ns0:c>
      <ns0:c r="M573" s="150" t="n">
        <ns0:f>IF(AND(B573="开局",OR(D573="固定颜色盒",D573="单向收纳盒")),J573,0)</ns0:f>
        <ns0:v>4</ns0:v>
      </ns0:c>
      <ns0:c r="N573" s="150" t="n">
        <ns0:f>IF(AND(B573="开局",OR(D573="数字盖盒",D573="普通冰冻盒",D573="数字冰冻盒",D573="数字冰冻单颗暂存盒")),J573,0)</ns0:f>
        <ns0:v>0</ns0:v>
      </ns0:c>
      <ns0:c r="O573" s="147" t="str">
        <ns0:f>IF(AND(E573&gt;0,E573=INT(E573),G573&gt;=0,G573&lt;=F573,G573=INT(G573),OR(AND(F573=1,OR(D573="单颗暂存盒",D573="数字冰冻单颗暂存盒")),AND(F573=4,NOT(OR(D573="单颗暂存盒",D573="数字冰冻单颗暂存盒")))),IF(OR(D573="数字盖盒",D573="数字冰冻盒",D573="数字冰冻单颗暂存盒"),AND(H573&gt;=1,H573=INT(H573)),H573=0),IF(B573="开局",AND(IF(OR(D573="数字盖盒",D573="普通冰冻盒",D573="数字冰冻盒",D573="炸弹盒",D573="底部置顶盒"),OR(G573=3,G573=4),TRUE),IF(OR(D573="单向收纳盒",D573="单颗暂存盒",D573="数字冰冻单颗暂存盒"),OR(G573=0,G573=1),TRUE),IF(OR(D573="固定颜色盒",D573="广告锁定周转盒"),G573=0,TRUE)),TRUE)),"通过","需调整")</ns0:f>
        <ns0:v>通过</ns0:v>
      </ns0:c>
      <ns0:c r="P573" s="147" t="str">
        <ns0:v>单向收纳盒</ns0:v>
      </ns0:c>
      <ns0:c r="Q573" s="147" t="str">
        <ns0:v>固定层序见本关首行</ns0:v>
      </ns0:c>
      <ns0:c r="R573" s="150" t="n">
        <ns0:f>E573*H573</ns0:f>
        <ns0:v>0</ns0:v>
      </ns0:c>
    </ns0:row>
    <ns0:row r="574" ht="21" customHeight="1">
      <ns0:c r="A574" s="149" t="n">
        <ns0:v>85</ns0:v>
      </ns0:c>
      <ns0:c r="B574" s="145" t="str">
        <ns0:v>开局</ns0:v>
      </ns0:c>
      <ns0:c r="C574" s="145" t="str">
        <ns0:v>W9-085-07</ns0:v>
      </ns0:c>
      <ns0:c r="D574" s="145" t="str">
        <ns0:v>广告锁定周转盒</ns0:v>
      </ns0:c>
      <ns0:c r="E574" s="152" t="n">
        <ns0:v>2</ns0:v>
      </ns0:c>
      <ns0:c r="F574" s="152" t="n">
        <ns0:v>4</ns0:v>
      </ns0:c>
      <ns0:c r="G574" s="152" t="n">
        <ns0:v>0</ns0:v>
      </ns0:c>
      <ns0:c r="H574" s="152" t="n">
        <ns0:v>0</ns0:v>
      </ns0:c>
      <ns0:c r="I574" s="149" t="n">
        <ns0:f>E574*G574</ns0:f>
        <ns0:v>0</ns0:v>
      </ns0:c>
      <ns0:c r="J574" s="149" t="n">
        <ns0:f>E574*(F574-G574)</ns0:f>
        <ns0:v>8</ns0:v>
      </ns0:c>
      <ns0:c r="K574" s="149" t="n">
        <ns0:f>IF(AND(B574="开局",G574=0,OR(D574="普通盒",D574="单颗暂存盒")),J574,0)</ns0:f>
        <ns0:v>0</ns0:v>
      </ns0:c>
      <ns0:c r="L574" s="149" t="n">
        <ns0:f>IF(AND(B574="开局",G574&gt;0,OR(D574="普通盒",D574="底部置顶盒",D574="炸弹盒")),J574,0)</ns0:f>
        <ns0:v>0</ns0:v>
      </ns0:c>
      <ns0:c r="M574" s="149" t="n">
        <ns0:f>IF(AND(B574="开局",OR(D574="固定颜色盒",D574="单向收纳盒")),J574,0)</ns0:f>
        <ns0:v>0</ns0:v>
      </ns0:c>
      <ns0:c r="N574" s="149" t="n">
        <ns0:f>IF(AND(B574="开局",OR(D574="数字盖盒",D574="普通冰冻盒",D574="数字冰冻盒",D574="数字冰冻单颗暂存盒")),J574,0)</ns0:f>
        <ns0:v>0</ns0:v>
      </ns0:c>
      <ns0:c r="O574" s="145" t="str">
        <ns0:f>IF(AND(E574&gt;0,E574=INT(E574),G574&gt;=0,G574&lt;=F574,G574=INT(G574),OR(AND(F574=1,OR(D574="单颗暂存盒",D574="数字冰冻单颗暂存盒")),AND(F574=4,NOT(OR(D574="单颗暂存盒",D574="数字冰冻单颗暂存盒")))),IF(OR(D574="数字盖盒",D574="数字冰冻盒",D574="数字冰冻单颗暂存盒"),AND(H574&gt;=1,H574=INT(H574)),H574=0),IF(B574="开局",AND(IF(OR(D574="数字盖盒",D574="普通冰冻盒",D574="数字冰冻盒",D574="炸弹盒",D574="底部置顶盒"),OR(G574=3,G574=4),TRUE),IF(OR(D574="单向收纳盒",D574="单颗暂存盒",D574="数字冰冻单颗暂存盒"),OR(G574=0,G574=1),TRUE),IF(OR(D574="固定颜色盒",D574="广告锁定周转盒"),G574=0,TRUE)),TRUE)),"通过","需调整")</ns0:f>
        <ns0:v>通过</ns0:v>
      </ns0:c>
      <ns0:c r="P574" s="145" t="str">
        <ns0:v>双广告锁位</ns0:v>
      </ns0:c>
      <ns0:c r="Q574" s="145" t="str">
        <ns0:v>固定层序见本关首行</ns0:v>
      </ns0:c>
      <ns0:c r="R574" s="149" t="n">
        <ns0:f>E574*H574</ns0:f>
        <ns0:v>0</ns0:v>
      </ns0:c>
    </ns0:row>
    <ns0:row r="575" ht="21" customHeight="1">
      <ns0:c r="A575" s="150" t="n">
        <ns0:v>86</ns0:v>
      </ns0:c>
      <ns0:c r="B575" s="147" t="str">
        <ns0:v>开局</ns0:v>
      </ns0:c>
      <ns0:c r="C575" s="147" t="str">
        <ns0:v>W9-086-01</ns0:v>
      </ns0:c>
      <ns0:c r="D575" s="147" t="str">
        <ns0:v>普通盒</ns0:v>
      </ns0:c>
      <ns0:c r="E575" s="152" t="n">
        <ns0:v>12</ns0:v>
      </ns0:c>
      <ns0:c r="F575" s="152" t="n">
        <ns0:v>4</ns0:v>
      </ns0:c>
      <ns0:c r="G575" s="152" t="n">
        <ns0:v>4</ns0:v>
      </ns0:c>
      <ns0:c r="H575" s="152" t="n">
        <ns0:v>0</ns0:v>
      </ns0:c>
      <ns0:c r="I575" s="150" t="n">
        <ns0:f>E575*G575</ns0:f>
        <ns0:v>48</ns0:v>
      </ns0:c>
      <ns0:c r="J575" s="150" t="n">
        <ns0:f>E575*(F575-G575)</ns0:f>
        <ns0:v>0</ns0:v>
      </ns0:c>
      <ns0:c r="K575" s="150" t="n">
        <ns0:f>IF(AND(B575="开局",G575=0,OR(D575="普通盒",D575="单颗暂存盒")),J575,0)</ns0:f>
        <ns0:v>0</ns0:v>
      </ns0:c>
      <ns0:c r="L575" s="150" t="n">
        <ns0:f>IF(AND(B575="开局",G575&gt;0,OR(D575="普通盒",D575="底部置顶盒",D575="炸弹盒")),J575,0)</ns0:f>
        <ns0:v>0</ns0:v>
      </ns0:c>
      <ns0:c r="M575" s="150" t="n">
        <ns0:f>IF(AND(B575="开局",OR(D575="固定颜色盒",D575="单向收纳盒")),J575,0)</ns0:f>
        <ns0:v>0</ns0:v>
      </ns0:c>
      <ns0:c r="N575" s="150" t="n">
        <ns0:f>IF(AND(B575="开局",OR(D575="数字盖盒",D575="普通冰冻盒",D575="数字冰冻盒",D575="数字冰冻单颗暂存盒")),J575,0)</ns0:f>
        <ns0:v>0</ns0:v>
      </ns0:c>
      <ns0:c r="O575" s="147" t="str">
        <ns0:f>IF(AND(E575&gt;0,E575=INT(E575),G575&gt;=0,G575&lt;=F575,G575=INT(G575),OR(AND(F575=1,OR(D575="单颗暂存盒",D575="数字冰冻单颗暂存盒")),AND(F575=4,NOT(OR(D575="单颗暂存盒",D575="数字冰冻单颗暂存盒")))),IF(OR(D575="数字盖盒",D575="数字冰冻盒",D575="数字冰冻单颗暂存盒"),AND(H575&gt;=1,H575=INT(H575)),H575=0),IF(B575="开局",AND(IF(OR(D575="数字盖盒",D575="普通冰冻盒",D575="数字冰冻盒",D575="炸弹盒",D575="底部置顶盒"),OR(G575=3,G575=4),TRUE),IF(OR(D575="单向收纳盒",D575="单颗暂存盒",D575="数字冰冻单颗暂存盒"),OR(G575=0,G575=1),TRUE),IF(OR(D575="固定颜色盒",D575="广告锁定周转盒"),G575=0,TRUE)),TRUE)),"通过","需调整")</ns0:f>
        <ns0:v>通过</ns0:v>
      </ns0:c>
      <ns0:c r="P575" s="147" t="str">
        <ns0:v>普通盒</ns0:v>
      </ns0:c>
      <ns0:c r="Q575" s="147" t="str">
        <ns0:v>层序JSON:{"reference":"2026-10-12 第81至90关炸弹学习与缓和节奏；固定层序、明牌拆弹材料与组合机关","slots":[{"group_id":"W9-086-06","layers":[6,3,4,2]},{"group_id":"W9-086-01","layers":[2,12,0,2]},{"group_id":"W9-086-02","layers":[6,12,5]},{"group_id":"W9-086-01","layers":[2,6,8,6]},{"group_id":"W9-086-01","layers":[12,3,2,0]},{"group_id":"W9-086-07","layers":[2,4,8,4]},{"group_id":"W9-086-01","layers":[2,0,3,0]},{"group_id":"W9-086-01","layers":[12,0,8,3]},{"group_id":"W9-086-01","layers":[12,5,5,0]},{"group_id":"W9-086-01","layers":[2,5,0,6]},{"group_id":"W9-086-01","layers":[8,12,0,2]},{"group_id":"W9-086-03","layers":[4]},{"group_id":"W9-086-01","layers":[5,2,0,0]},{"group_id":"W9-086-01","layers":[3,8,5,4]},{"group_id":"W9-086-01","layers":[8,2,6,6]},{"group_id":"W9-086-05","layers":[8,3,3,12],"bomb_seconds":135},{"group_id":"W9-086-01","layers":[8,0,4,4]},{"group_id":"W9-086-04","layers":[]}],"stock":[{"group_id":"W9-086-09","layers":[6,12,2,5]},{"group_id":"W9-086-09","layers":[4,0,5,3]}],"demand_sequences":[[6,3,4,0,2,8,0,12,5],[8,12,5,4,0,6,2,2,3]]}</ns0:v>
      </ns0:c>
      <ns0:c r="R575" s="150" t="n">
        <ns0:f>E575*H575</ns0:f>
        <ns0:v>0</ns0:v>
      </ns0:c>
    </ns0:row>
    <ns0:row r="576" ht="21" customHeight="1">
      <ns0:c r="A576" s="149" t="n">
        <ns0:v>86</ns0:v>
      </ns0:c>
      <ns0:c r="B576" s="145" t="str">
        <ns0:v>开局</ns0:v>
      </ns0:c>
      <ns0:c r="C576" s="145" t="str">
        <ns0:v>W9-086-02</ns0:v>
      </ns0:c>
      <ns0:c r="D576" s="145" t="str">
        <ns0:v>普通盒</ns0:v>
      </ns0:c>
      <ns0:c r="E576" s="152" t="n">
        <ns0:v>1</ns0:v>
      </ns0:c>
      <ns0:c r="F576" s="152" t="n">
        <ns0:v>4</ns0:v>
      </ns0:c>
      <ns0:c r="G576" s="152" t="n">
        <ns0:v>3</ns0:v>
      </ns0:c>
      <ns0:c r="H576" s="152" t="n">
        <ns0:v>0</ns0:v>
      </ns0:c>
      <ns0:c r="I576" s="149" t="n">
        <ns0:f>E576*G576</ns0:f>
        <ns0:v>3</ns0:v>
      </ns0:c>
      <ns0:c r="J576" s="149" t="n">
        <ns0:f>E576*(F576-G576)</ns0:f>
        <ns0:v>1</ns0:v>
      </ns0:c>
      <ns0:c r="K576" s="149" t="n">
        <ns0:f>IF(AND(B576="开局",G576=0,OR(D576="普通盒",D576="单颗暂存盒")),J576,0)</ns0:f>
        <ns0:v>0</ns0:v>
      </ns0:c>
      <ns0:c r="L576" s="149" t="n">
        <ns0:f>IF(AND(B576="开局",G576&gt;0,OR(D576="普通盒",D576="底部置顶盒",D576="炸弹盒")),J576,0)</ns0:f>
        <ns0:v>1</ns0:v>
      </ns0:c>
      <ns0:c r="M576" s="149" t="n">
        <ns0:f>IF(AND(B576="开局",OR(D576="固定颜色盒",D576="单向收纳盒")),J576,0)</ns0:f>
        <ns0:v>0</ns0:v>
      </ns0:c>
      <ns0:c r="N576" s="149" t="n">
        <ns0:f>IF(AND(B576="开局",OR(D576="数字盖盒",D576="普通冰冻盒",D576="数字冰冻盒",D576="数字冰冻单颗暂存盒")),J576,0)</ns0:f>
        <ns0:v>0</ns0:v>
      </ns0:c>
      <ns0:c r="O576" s="145" t="str">
        <ns0:f>IF(AND(E576&gt;0,E576=INT(E576),G576&gt;=0,G576&lt;=F576,G576=INT(G576),OR(AND(F576=1,OR(D576="单颗暂存盒",D576="数字冰冻单颗暂存盒")),AND(F576=4,NOT(OR(D576="单颗暂存盒",D576="数字冰冻单颗暂存盒")))),IF(OR(D576="数字盖盒",D576="数字冰冻盒",D576="数字冰冻单颗暂存盒"),AND(H576&gt;=1,H576=INT(H576)),H576=0),IF(B576="开局",AND(IF(OR(D576="数字盖盒",D576="普通冰冻盒",D576="数字冰冻盒",D576="炸弹盒",D576="底部置顶盒"),OR(G576=3,G576=4),TRUE),IF(OR(D576="单向收纳盒",D576="单颗暂存盒",D576="数字冰冻单颗暂存盒"),OR(G576=0,G576=1),TRUE),IF(OR(D576="固定颜色盒",D576="广告锁定周转盒"),G576=0,TRUE)),TRUE)),"通过","需调整")</ns0:f>
        <ns0:v>通过</ns0:v>
      </ns0:c>
      <ns0:c r="P576" s="145" t="str">
        <ns0:v>普通盒</ns0:v>
      </ns0:c>
      <ns0:c r="Q576" s="145" t="str">
        <ns0:v>固定层序见本关首行</ns0:v>
      </ns0:c>
      <ns0:c r="R576" s="149" t="n">
        <ns0:f>E576*H576</ns0:f>
        <ns0:v>0</ns0:v>
      </ns0:c>
    </ns0:row>
    <ns0:row r="577" ht="21" customHeight="1">
      <ns0:c r="A577" s="150" t="n">
        <ns0:v>86</ns0:v>
      </ns0:c>
      <ns0:c r="B577" s="147" t="str">
        <ns0:v>开局</ns0:v>
      </ns0:c>
      <ns0:c r="C577" s="147" t="str">
        <ns0:v>W9-086-03</ns0:v>
      </ns0:c>
      <ns0:c r="D577" s="147" t="str">
        <ns0:v>普通盒</ns0:v>
      </ns0:c>
      <ns0:c r="E577" s="152" t="n">
        <ns0:v>1</ns0:v>
      </ns0:c>
      <ns0:c r="F577" s="152" t="n">
        <ns0:v>4</ns0:v>
      </ns0:c>
      <ns0:c r="G577" s="152" t="n">
        <ns0:v>1</ns0:v>
      </ns0:c>
      <ns0:c r="H577" s="152" t="n">
        <ns0:v>0</ns0:v>
      </ns0:c>
      <ns0:c r="I577" s="150" t="n">
        <ns0:f>E577*G577</ns0:f>
        <ns0:v>1</ns0:v>
      </ns0:c>
      <ns0:c r="J577" s="150" t="n">
        <ns0:f>E577*(F577-G577)</ns0:f>
        <ns0:v>3</ns0:v>
      </ns0:c>
      <ns0:c r="K577" s="150" t="n">
        <ns0:f>IF(AND(B577="开局",G577=0,OR(D577="普通盒",D577="单颗暂存盒")),J577,0)</ns0:f>
        <ns0:v>0</ns0:v>
      </ns0:c>
      <ns0:c r="L577" s="150" t="n">
        <ns0:f>IF(AND(B577="开局",G577&gt;0,OR(D577="普通盒",D577="底部置顶盒",D577="炸弹盒")),J577,0)</ns0:f>
        <ns0:v>3</ns0:v>
      </ns0:c>
      <ns0:c r="M577" s="150" t="n">
        <ns0:f>IF(AND(B577="开局",OR(D577="固定颜色盒",D577="单向收纳盒")),J577,0)</ns0:f>
        <ns0:v>0</ns0:v>
      </ns0:c>
      <ns0:c r="N577" s="150" t="n">
        <ns0:f>IF(AND(B577="开局",OR(D577="数字盖盒",D577="普通冰冻盒",D577="数字冰冻盒",D577="数字冰冻单颗暂存盒")),J577,0)</ns0:f>
        <ns0:v>0</ns0:v>
      </ns0:c>
      <ns0:c r="O577" s="147" t="str">
        <ns0:f>IF(AND(E577&gt;0,E577=INT(E577),G577&gt;=0,G577&lt;=F577,G577=INT(G577),OR(AND(F577=1,OR(D577="单颗暂存盒",D577="数字冰冻单颗暂存盒")),AND(F577=4,NOT(OR(D577="单颗暂存盒",D577="数字冰冻单颗暂存盒")))),IF(OR(D577="数字盖盒",D577="数字冰冻盒",D577="数字冰冻单颗暂存盒"),AND(H577&gt;=1,H577=INT(H577)),H577=0),IF(B577="开局",AND(IF(OR(D577="数字盖盒",D577="普通冰冻盒",D577="数字冰冻盒",D577="炸弹盒",D577="底部置顶盒"),OR(G577=3,G577=4),TRUE),IF(OR(D577="单向收纳盒",D577="单颗暂存盒",D577="数字冰冻单颗暂存盒"),OR(G577=0,G577=1),TRUE),IF(OR(D577="固定颜色盒",D577="广告锁定周转盒"),G577=0,TRUE)),TRUE)),"通过","需调整")</ns0:f>
        <ns0:v>通过</ns0:v>
      </ns0:c>
      <ns0:c r="P577" s="147" t="str">
        <ns0:v>普通盒</ns0:v>
      </ns0:c>
      <ns0:c r="Q577" s="147" t="str">
        <ns0:v>固定层序见本关首行</ns0:v>
      </ns0:c>
      <ns0:c r="R577" s="150" t="n">
        <ns0:f>E577*H577</ns0:f>
        <ns0:v>0</ns0:v>
      </ns0:c>
    </ns0:row>
    <ns0:row r="578" ht="21" customHeight="1">
      <ns0:c r="A578" s="149" t="n">
        <ns0:v>86</ns0:v>
      </ns0:c>
      <ns0:c r="B578" s="145" t="str">
        <ns0:v>开局</ns0:v>
      </ns0:c>
      <ns0:c r="C578" s="145" t="str">
        <ns0:v>W9-086-04</ns0:v>
      </ns0:c>
      <ns0:c r="D578" s="145" t="str">
        <ns0:v>普通盒</ns0:v>
      </ns0:c>
      <ns0:c r="E578" s="152" t="n">
        <ns0:v>1</ns0:v>
      </ns0:c>
      <ns0:c r="F578" s="152" t="n">
        <ns0:v>4</ns0:v>
      </ns0:c>
      <ns0:c r="G578" s="152" t="n">
        <ns0:v>0</ns0:v>
      </ns0:c>
      <ns0:c r="H578" s="152" t="n">
        <ns0:v>0</ns0:v>
      </ns0:c>
      <ns0:c r="I578" s="149" t="n">
        <ns0:f>E578*G578</ns0:f>
        <ns0:v>0</ns0:v>
      </ns0:c>
      <ns0:c r="J578" s="149" t="n">
        <ns0:f>E578*(F578-G578)</ns0:f>
        <ns0:v>4</ns0:v>
      </ns0:c>
      <ns0:c r="K578" s="149" t="n">
        <ns0:f>IF(AND(B578="开局",G578=0,OR(D578="普通盒",D578="单颗暂存盒")),J578,0)</ns0:f>
        <ns0:v>4</ns0:v>
      </ns0:c>
      <ns0:c r="L578" s="149" t="n">
        <ns0:f>IF(AND(B578="开局",G578&gt;0,OR(D578="普通盒",D578="底部置顶盒",D578="炸弹盒")),J578,0)</ns0:f>
        <ns0:v>0</ns0:v>
      </ns0:c>
      <ns0:c r="M578" s="149" t="n">
        <ns0:f>IF(AND(B578="开局",OR(D578="固定颜色盒",D578="单向收纳盒")),J578,0)</ns0:f>
        <ns0:v>0</ns0:v>
      </ns0:c>
      <ns0:c r="N578" s="149" t="n">
        <ns0:f>IF(AND(B578="开局",OR(D578="数字盖盒",D578="普通冰冻盒",D578="数字冰冻盒",D578="数字冰冻单颗暂存盒")),J578,0)</ns0:f>
        <ns0:v>0</ns0:v>
      </ns0:c>
      <ns0:c r="O578" s="145" t="str">
        <ns0:f>IF(AND(E578&gt;0,E578=INT(E578),G578&gt;=0,G578&lt;=F578,G578=INT(G578),OR(AND(F578=1,OR(D578="单颗暂存盒",D578="数字冰冻单颗暂存盒")),AND(F578=4,NOT(OR(D578="单颗暂存盒",D578="数字冰冻单颗暂存盒")))),IF(OR(D578="数字盖盒",D578="数字冰冻盒",D578="数字冰冻单颗暂存盒"),AND(H578&gt;=1,H578=INT(H578)),H578=0),IF(B578="开局",AND(IF(OR(D578="数字盖盒",D578="普通冰冻盒",D578="数字冰冻盒",D578="炸弹盒",D578="底部置顶盒"),OR(G578=3,G578=4),TRUE),IF(OR(D578="单向收纳盒",D578="单颗暂存盒",D578="数字冰冻单颗暂存盒"),OR(G578=0,G578=1),TRUE),IF(OR(D578="固定颜色盒",D578="广告锁定周转盒"),G578=0,TRUE)),TRUE)),"通过","需调整")</ns0:f>
        <ns0:v>通过</ns0:v>
      </ns0:c>
      <ns0:c r="P578" s="145" t="str">
        <ns0:v>普通盒</ns0:v>
      </ns0:c>
      <ns0:c r="Q578" s="145" t="str">
        <ns0:v>固定层序见本关首行</ns0:v>
      </ns0:c>
      <ns0:c r="R578" s="149" t="n">
        <ns0:f>E578*H578</ns0:f>
        <ns0:v>0</ns0:v>
      </ns0:c>
    </ns0:row>
    <ns0:row r="579" ht="21" customHeight="1">
      <ns0:c r="A579" s="147" t="n">
        <ns0:v>86</ns0:v>
      </ns0:c>
      <ns0:c r="B579" s="147" t="str">
        <ns0:v>开局</ns0:v>
      </ns0:c>
      <ns0:c r="C579" s="147" t="str">
        <ns0:v>W9-086-05</ns0:v>
      </ns0:c>
      <ns0:c r="D579" s="147" t="str">
        <ns0:v>炸弹盒</ns0:v>
      </ns0:c>
      <ns0:c r="E579" s="152" t="n">
        <ns0:v>1</ns0:v>
      </ns0:c>
      <ns0:c r="F579" s="152" t="n">
        <ns0:v>4</ns0:v>
      </ns0:c>
      <ns0:c r="G579" s="152" t="n">
        <ns0:v>4</ns0:v>
      </ns0:c>
      <ns0:c r="H579" s="152" t="n">
        <ns0:v>0</ns0:v>
      </ns0:c>
      <ns0:c r="I579" s="150" t="n">
        <ns0:f>E579*G579</ns0:f>
        <ns0:v>4</ns0:v>
      </ns0:c>
      <ns0:c r="J579" s="150" t="n">
        <ns0:f>E579*(F579-G579)</ns0:f>
        <ns0:v>0</ns0:v>
      </ns0:c>
      <ns0:c r="K579" s="150" t="n">
        <ns0:f>IF(AND(B579="开局",G579=0,OR(D579="普通盒",D579="单颗暂存盒")),J579,0)</ns0:f>
        <ns0:v>0</ns0:v>
      </ns0:c>
      <ns0:c r="L579" s="150" t="n">
        <ns0:f>IF(AND(B579="开局",G579&gt;0,OR(D579="普通盒",D579="底部置顶盒",D579="炸弹盒")),J579,0)</ns0:f>
        <ns0:v>0</ns0:v>
      </ns0:c>
      <ns0:c r="M579" s="150" t="n">
        <ns0:f>IF(AND(B579="开局",OR(D579="固定颜色盒",D579="单向收纳盒")),J579,0)</ns0:f>
        <ns0:v>0</ns0:v>
      </ns0:c>
      <ns0:c r="N579" s="150" t="n">
        <ns0:f>IF(AND(B579="开局",OR(D579="数字盖盒",D579="普通冰冻盒",D579="数字冰冻盒",D579="数字冰冻单颗暂存盒")),J579,0)</ns0:f>
        <ns0:v>0</ns0:v>
      </ns0:c>
      <ns0:c r="O579" s="147" t="str">
        <ns0:f>IF(AND(E579&gt;0,E579=INT(E579),G579&gt;=0,G579&lt;=F579,G579=INT(G579),OR(AND(F579=1,OR(D579="单颗暂存盒",D579="数字冰冻单颗暂存盒")),AND(F579=4,NOT(OR(D579="单颗暂存盒",D579="数字冰冻单颗暂存盒")))),IF(OR(D579="数字盖盒",D579="数字冰冻盒",D579="数字冰冻单颗暂存盒"),AND(H579&gt;=1,H579=INT(H579)),H579=0),IF(B579="开局",AND(IF(OR(D579="数字盖盒",D579="普通冰冻盒",D579="数字冰冻盒",D579="炸弹盒",D579="底部置顶盒"),OR(G579=3,G579=4),TRUE),IF(OR(D579="单向收纳盒",D579="单颗暂存盒",D579="数字冰冻单颗暂存盒"),OR(G579=0,G579=1),TRUE),IF(OR(D579="固定颜色盒",D579="广告锁定周转盒"),G579=0,TRUE)),TRUE)),"通过","需调整")</ns0:f>
        <ns0:v>通过</ns0:v>
      </ns0:c>
      <ns0:c r="P579" s="147" t="str">
        <ns0:v>炸弹盒</ns0:v>
      </ns0:c>
      <ns0:c r="Q579" s="147" t="str">
        <ns0:v>固定层序见本关首行</ns0:v>
      </ns0:c>
      <ns0:c r="R579" s="150" t="n">
        <ns0:f>E579*H579</ns0:f>
        <ns0:v>0</ns0:v>
      </ns0:c>
    </ns0:row>
    <ns0:row r="580" ht="21" customHeight="1">
      <ns0:c r="A580" s="145" t="n">
        <ns0:v>86</ns0:v>
      </ns0:c>
      <ns0:c r="B580" s="145" t="str">
        <ns0:v>开局</ns0:v>
      </ns0:c>
      <ns0:c r="C580" s="145" t="str">
        <ns0:v>W9-086-06</ns0:v>
      </ns0:c>
      <ns0:c r="D580" s="145" t="str">
        <ns0:v>底部置顶盒</ns0:v>
      </ns0:c>
      <ns0:c r="E580" s="152" t="n">
        <ns0:v>1</ns0:v>
      </ns0:c>
      <ns0:c r="F580" s="152" t="n">
        <ns0:v>4</ns0:v>
      </ns0:c>
      <ns0:c r="G580" s="152" t="n">
        <ns0:v>4</ns0:v>
      </ns0:c>
      <ns0:c r="H580" s="152" t="n">
        <ns0:v>0</ns0:v>
      </ns0:c>
      <ns0:c r="I580" s="149" t="n">
        <ns0:f>E580*G580</ns0:f>
        <ns0:v>4</ns0:v>
      </ns0:c>
      <ns0:c r="J580" s="149" t="n">
        <ns0:f>E580*(F580-G580)</ns0:f>
        <ns0:v>0</ns0:v>
      </ns0:c>
      <ns0:c r="K580" s="149" t="n">
        <ns0:f>IF(AND(B580="开局",G580=0,OR(D580="普通盒",D580="单颗暂存盒")),J580,0)</ns0:f>
        <ns0:v>0</ns0:v>
      </ns0:c>
      <ns0:c r="L580" s="149" t="n">
        <ns0:f>IF(AND(B580="开局",G580&gt;0,OR(D580="普通盒",D580="底部置顶盒",D580="炸弹盒")),J580,0)</ns0:f>
        <ns0:v>0</ns0:v>
      </ns0:c>
      <ns0:c r="M580" s="149" t="n">
        <ns0:f>IF(AND(B580="开局",OR(D580="固定颜色盒",D580="单向收纳盒")),J580,0)</ns0:f>
        <ns0:v>0</ns0:v>
      </ns0:c>
      <ns0:c r="N580" s="149" t="n">
        <ns0:f>IF(AND(B580="开局",OR(D580="数字盖盒",D580="普通冰冻盒",D580="数字冰冻盒",D580="数字冰冻单颗暂存盒")),J580,0)</ns0:f>
        <ns0:v>0</ns0:v>
      </ns0:c>
      <ns0:c r="O580" s="145" t="str">
        <ns0:f>IF(AND(E580&gt;0,E580=INT(E580),G580&gt;=0,G580&lt;=F580,G580=INT(G580),OR(AND(F580=1,OR(D580="单颗暂存盒",D580="数字冰冻单颗暂存盒")),AND(F580=4,NOT(OR(D580="单颗暂存盒",D580="数字冰冻单颗暂存盒")))),IF(OR(D580="数字盖盒",D580="数字冰冻盒",D580="数字冰冻单颗暂存盒"),AND(H580&gt;=1,H580=INT(H580)),H580=0),IF(B580="开局",AND(IF(OR(D580="数字盖盒",D580="普通冰冻盒",D580="数字冰冻盒",D580="炸弹盒",D580="底部置顶盒"),OR(G580=3,G580=4),TRUE),IF(OR(D580="单向收纳盒",D580="单颗暂存盒",D580="数字冰冻单颗暂存盒"),OR(G580=0,G580=1),TRUE),IF(OR(D580="固定颜色盒",D580="广告锁定周转盒"),G580=0,TRUE)),TRUE)),"通过","需调整")</ns0:f>
        <ns0:v>通过</ns0:v>
      </ns0:c>
      <ns0:c r="P580" s="145" t="str">
        <ns0:v>底部置顶盒</ns0:v>
      </ns0:c>
      <ns0:c r="Q580" s="145" t="str">
        <ns0:v>固定层序见本关首行</ns0:v>
      </ns0:c>
      <ns0:c r="R580" s="149" t="n">
        <ns0:f>E580*H580</ns0:f>
        <ns0:v>0</ns0:v>
      </ns0:c>
    </ns0:row>
    <ns0:row r="581" ht="21" customHeight="1">
      <ns0:c r="A581" s="147" t="n">
        <ns0:v>86</ns0:v>
      </ns0:c>
      <ns0:c r="B581" s="147" t="str">
        <ns0:v>开局</ns0:v>
      </ns0:c>
      <ns0:c r="C581" s="147" t="str">
        <ns0:v>W9-086-07</ns0:v>
      </ns0:c>
      <ns0:c r="D581" s="147" t="str">
        <ns0:v>普通冰冻盒</ns0:v>
      </ns0:c>
      <ns0:c r="E581" s="152" t="n">
        <ns0:v>1</ns0:v>
      </ns0:c>
      <ns0:c r="F581" s="152" t="n">
        <ns0:v>4</ns0:v>
      </ns0:c>
      <ns0:c r="G581" s="152" t="n">
        <ns0:v>4</ns0:v>
      </ns0:c>
      <ns0:c r="H581" s="152" t="n">
        <ns0:v>0</ns0:v>
      </ns0:c>
      <ns0:c r="I581" s="150" t="n">
        <ns0:f>E581*G581</ns0:f>
        <ns0:v>4</ns0:v>
      </ns0:c>
      <ns0:c r="J581" s="150" t="n">
        <ns0:f>E581*(F581-G581)</ns0:f>
        <ns0:v>0</ns0:v>
      </ns0:c>
      <ns0:c r="K581" s="150" t="n">
        <ns0:f>IF(AND(B581="开局",G581=0,OR(D581="普通盒",D581="单颗暂存盒")),J581,0)</ns0:f>
        <ns0:v>0</ns0:v>
      </ns0:c>
      <ns0:c r="L581" s="150" t="n">
        <ns0:f>IF(AND(B581="开局",G581&gt;0,OR(D581="普通盒",D581="底部置顶盒",D581="炸弹盒")),J581,0)</ns0:f>
        <ns0:v>0</ns0:v>
      </ns0:c>
      <ns0:c r="M581" s="150" t="n">
        <ns0:f>IF(AND(B581="开局",OR(D581="固定颜色盒",D581="单向收纳盒")),J581,0)</ns0:f>
        <ns0:v>0</ns0:v>
      </ns0:c>
      <ns0:c r="N581" s="150" t="n">
        <ns0:f>IF(AND(B581="开局",OR(D581="数字盖盒",D581="普通冰冻盒",D581="数字冰冻盒",D581="数字冰冻单颗暂存盒")),J581,0)</ns0:f>
        <ns0:v>0</ns0:v>
      </ns0:c>
      <ns0:c r="O581" s="147" t="str">
        <ns0:f>IF(AND(E581&gt;0,E581=INT(E581),G581&gt;=0,G581&lt;=F581,G581=INT(G581),OR(AND(F581=1,OR(D581="单颗暂存盒",D581="数字冰冻单颗暂存盒")),AND(F581=4,NOT(OR(D581="单颗暂存盒",D581="数字冰冻单颗暂存盒")))),IF(OR(D581="数字盖盒",D581="数字冰冻盒",D581="数字冰冻单颗暂存盒"),AND(H581&gt;=1,H581=INT(H581)),H581=0),IF(B581="开局",AND(IF(OR(D581="数字盖盒",D581="普通冰冻盒",D581="数字冰冻盒",D581="炸弹盒",D581="底部置顶盒"),OR(G581=3,G581=4),TRUE),IF(OR(D581="单向收纳盒",D581="单颗暂存盒",D581="数字冰冻单颗暂存盒"),OR(G581=0,G581=1),TRUE),IF(OR(D581="固定颜色盒",D581="广告锁定周转盒"),G581=0,TRUE)),TRUE)),"通过","需调整")</ns0:f>
        <ns0:v>通过</ns0:v>
      </ns0:c>
      <ns0:c r="P581" s="147" t="str">
        <ns0:v>普通冰冻盒</ns0:v>
      </ns0:c>
      <ns0:c r="Q581" s="147" t="str">
        <ns0:v>固定层序见本关首行</ns0:v>
      </ns0:c>
      <ns0:c r="R581" s="150" t="n">
        <ns0:f>E581*H581</ns0:f>
        <ns0:v>0</ns0:v>
      </ns0:c>
    </ns0:row>
    <ns0:row r="582" ht="21" customHeight="1">
      <ns0:c r="A582" s="145" t="n">
        <ns0:v>86</ns0:v>
      </ns0:c>
      <ns0:c r="B582" s="145" t="str">
        <ns0:v>开局</ns0:v>
      </ns0:c>
      <ns0:c r="C582" s="145" t="str">
        <ns0:v>W9-086-08</ns0:v>
      </ns0:c>
      <ns0:c r="D582" s="145" t="str">
        <ns0:v>广告锁定周转盒</ns0:v>
      </ns0:c>
      <ns0:c r="E582" s="152" t="n">
        <ns0:v>2</ns0:v>
      </ns0:c>
      <ns0:c r="F582" s="152" t="n">
        <ns0:v>4</ns0:v>
      </ns0:c>
      <ns0:c r="G582" s="152" t="n">
        <ns0:v>0</ns0:v>
      </ns0:c>
      <ns0:c r="H582" s="152" t="n">
        <ns0:v>0</ns0:v>
      </ns0:c>
      <ns0:c r="I582" s="149" t="n">
        <ns0:f>E582*G582</ns0:f>
        <ns0:v>0</ns0:v>
      </ns0:c>
      <ns0:c r="J582" s="149" t="n">
        <ns0:f>E582*(F582-G582)</ns0:f>
        <ns0:v>8</ns0:v>
      </ns0:c>
      <ns0:c r="K582" s="149" t="n">
        <ns0:f>IF(AND(B582="开局",G582=0,OR(D582="普通盒",D582="单颗暂存盒")),J582,0)</ns0:f>
        <ns0:v>0</ns0:v>
      </ns0:c>
      <ns0:c r="L582" s="149" t="n">
        <ns0:f>IF(AND(B582="开局",G582&gt;0,OR(D582="普通盒",D582="底部置顶盒",D582="炸弹盒")),J582,0)</ns0:f>
        <ns0:v>0</ns0:v>
      </ns0:c>
      <ns0:c r="M582" s="149" t="n">
        <ns0:f>IF(AND(B582="开局",OR(D582="固定颜色盒",D582="单向收纳盒")),J582,0)</ns0:f>
        <ns0:v>0</ns0:v>
      </ns0:c>
      <ns0:c r="N582" s="149" t="n">
        <ns0:f>IF(AND(B582="开局",OR(D582="数字盖盒",D582="普通冰冻盒",D582="数字冰冻盒",D582="数字冰冻单颗暂存盒")),J582,0)</ns0:f>
        <ns0:v>0</ns0:v>
      </ns0:c>
      <ns0:c r="O582" s="145" t="str">
        <ns0:f>IF(AND(E582&gt;0,E582=INT(E582),G582&gt;=0,G582&lt;=F582,G582=INT(G582),OR(AND(F582=1,OR(D582="单颗暂存盒",D582="数字冰冻单颗暂存盒")),AND(F582=4,NOT(OR(D582="单颗暂存盒",D582="数字冰冻单颗暂存盒")))),IF(OR(D582="数字盖盒",D582="数字冰冻盒",D582="数字冰冻单颗暂存盒"),AND(H582&gt;=1,H582=INT(H582)),H582=0),IF(B582="开局",AND(IF(OR(D582="数字盖盒",D582="普通冰冻盒",D582="数字冰冻盒",D582="炸弹盒",D582="底部置顶盒"),OR(G582=3,G582=4),TRUE),IF(OR(D582="单向收纳盒",D582="单颗暂存盒",D582="数字冰冻单颗暂存盒"),OR(G582=0,G582=1),TRUE),IF(OR(D582="固定颜色盒",D582="广告锁定周转盒"),G582=0,TRUE)),TRUE)),"通过","需调整")</ns0:f>
        <ns0:v>通过</ns0:v>
      </ns0:c>
      <ns0:c r="P582" s="145" t="str">
        <ns0:v>双广告锁位</ns0:v>
      </ns0:c>
      <ns0:c r="Q582" s="145" t="str">
        <ns0:v>固定层序见本关首行</ns0:v>
      </ns0:c>
      <ns0:c r="R582" s="149" t="n">
        <ns0:f>E582*H582</ns0:f>
        <ns0:v>0</ns0:v>
      </ns0:c>
    </ns0:row>
    <ns0:row r="583" ht="21" customHeight="1">
      <ns0:c r="A583" s="147" t="n">
        <ns0:v>86</ns0:v>
      </ns0:c>
      <ns0:c r="B583" s="147" t="str">
        <ns0:v>备货</ns0:v>
      </ns0:c>
      <ns0:c r="C583" s="147" t="str">
        <ns0:v>W9-086-09</ns0:v>
      </ns0:c>
      <ns0:c r="D583" s="147" t="str">
        <ns0:v>普通盒</ns0:v>
      </ns0:c>
      <ns0:c r="E583" s="152" t="n">
        <ns0:v>2</ns0:v>
      </ns0:c>
      <ns0:c r="F583" s="152" t="n">
        <ns0:v>4</ns0:v>
      </ns0:c>
      <ns0:c r="G583" s="152" t="n">
        <ns0:v>4</ns0:v>
      </ns0:c>
      <ns0:c r="H583" s="152" t="n">
        <ns0:v>0</ns0:v>
      </ns0:c>
      <ns0:c r="I583" s="150" t="n">
        <ns0:f>E583*G583</ns0:f>
        <ns0:v>8</ns0:v>
      </ns0:c>
      <ns0:c r="J583" s="150" t="n">
        <ns0:f>E583*(F583-G583)</ns0:f>
        <ns0:v>0</ns0:v>
      </ns0:c>
      <ns0:c r="K583" s="150" t="n">
        <ns0:f>IF(AND(B583="开局",G583=0,OR(D583="普通盒",D583="单颗暂存盒")),J583,0)</ns0:f>
        <ns0:v>0</ns0:v>
      </ns0:c>
      <ns0:c r="L583" s="150" t="n">
        <ns0:f>IF(AND(B583="开局",G583&gt;0,OR(D583="普通盒",D583="底部置顶盒",D583="炸弹盒")),J583,0)</ns0:f>
        <ns0:v>0</ns0:v>
      </ns0:c>
      <ns0:c r="M583" s="150" t="n">
        <ns0:f>IF(AND(B583="开局",OR(D583="固定颜色盒",D583="单向收纳盒")),J583,0)</ns0:f>
        <ns0:v>0</ns0:v>
      </ns0:c>
      <ns0:c r="N583" s="150" t="n">
        <ns0:f>IF(AND(B583="开局",OR(D583="数字盖盒",D583="普通冰冻盒",D583="数字冰冻盒",D583="数字冰冻单颗暂存盒")),J583,0)</ns0:f>
        <ns0:v>0</ns0:v>
      </ns0:c>
      <ns0:c r="O583" s="147" t="str">
        <ns0:f>IF(AND(E583&gt;0,E583=INT(E583),G583&gt;=0,G583&lt;=F583,G583=INT(G583),OR(AND(F583=1,OR(D583="单颗暂存盒",D583="数字冰冻单颗暂存盒")),AND(F583=4,NOT(OR(D583="单颗暂存盒",D583="数字冰冻单颗暂存盒")))),IF(OR(D583="数字盖盒",D583="数字冰冻盒",D583="数字冰冻单颗暂存盒"),AND(H583&gt;=1,H583=INT(H583)),H583=0),IF(B583="开局",AND(IF(OR(D583="数字盖盒",D583="普通冰冻盒",D583="数字冰冻盒",D583="炸弹盒",D583="底部置顶盒"),OR(G583=3,G583=4),TRUE),IF(OR(D583="单向收纳盒",D583="单颗暂存盒",D583="数字冰冻单颗暂存盒"),OR(G583=0,G583=1),TRUE),IF(OR(D583="固定颜色盒",D583="广告锁定周转盒"),G583=0,TRUE)),TRUE)),"通过","需调整")</ns0:f>
        <ns0:v>通过</ns0:v>
      </ns0:c>
      <ns0:c r="P583" s="147" t="str">
        <ns0:v>连续侧边补货</ns0:v>
      </ns0:c>
      <ns0:c r="Q583" s="147" t="str">
        <ns0:v>固定层序见本关首行</ns0:v>
      </ns0:c>
      <ns0:c r="R583" s="150" t="n">
        <ns0:f>E583*H583</ns0:f>
        <ns0:v>0</ns0:v>
      </ns0:c>
    </ns0:row>
    <ns0:row r="584" ht="21" customHeight="1">
      <ns0:c r="A584" s="145" t="n">
        <ns0:v>87</ns0:v>
      </ns0:c>
      <ns0:c r="B584" s="145" t="str">
        <ns0:v>开局</ns0:v>
      </ns0:c>
      <ns0:c r="C584" s="145" t="str">
        <ns0:v>W9-087-01</ns0:v>
      </ns0:c>
      <ns0:c r="D584" s="145" t="str">
        <ns0:v>普通盒</ns0:v>
      </ns0:c>
      <ns0:c r="E584" s="152" t="n">
        <ns0:v>12</ns0:v>
      </ns0:c>
      <ns0:c r="F584" s="152" t="n">
        <ns0:v>4</ns0:v>
      </ns0:c>
      <ns0:c r="G584" s="152" t="n">
        <ns0:v>4</ns0:v>
      </ns0:c>
      <ns0:c r="H584" s="152" t="n">
        <ns0:v>0</ns0:v>
      </ns0:c>
      <ns0:c r="I584" s="149" t="n">
        <ns0:f>E584*G584</ns0:f>
        <ns0:v>48</ns0:v>
      </ns0:c>
      <ns0:c r="J584" s="149" t="n">
        <ns0:f>E584*(F584-G584)</ns0:f>
        <ns0:v>0</ns0:v>
      </ns0:c>
      <ns0:c r="K584" s="149" t="n">
        <ns0:f>IF(AND(B584="开局",G584=0,OR(D584="普通盒",D584="单颗暂存盒")),J584,0)</ns0:f>
        <ns0:v>0</ns0:v>
      </ns0:c>
      <ns0:c r="L584" s="149" t="n">
        <ns0:f>IF(AND(B584="开局",G584&gt;0,OR(D584="普通盒",D584="底部置顶盒",D584="炸弹盒")),J584,0)</ns0:f>
        <ns0:v>0</ns0:v>
      </ns0:c>
      <ns0:c r="M584" s="149" t="n">
        <ns0:f>IF(AND(B584="开局",OR(D584="固定颜色盒",D584="单向收纳盒")),J584,0)</ns0:f>
        <ns0:v>0</ns0:v>
      </ns0:c>
      <ns0:c r="N584" s="149" t="n">
        <ns0:f>IF(AND(B584="开局",OR(D584="数字盖盒",D584="普通冰冻盒",D584="数字冰冻盒",D584="数字冰冻单颗暂存盒")),J584,0)</ns0:f>
        <ns0:v>0</ns0:v>
      </ns0:c>
      <ns0:c r="O584" s="145" t="str">
        <ns0:f>IF(AND(E584&gt;0,E584=INT(E584),G584&gt;=0,G584&lt;=F584,G584=INT(G584),OR(AND(F584=1,OR(D584="单颗暂存盒",D584="数字冰冻单颗暂存盒")),AND(F584=4,NOT(OR(D584="单颗暂存盒",D584="数字冰冻单颗暂存盒")))),IF(OR(D584="数字盖盒",D584="数字冰冻盒",D584="数字冰冻单颗暂存盒"),AND(H584&gt;=1,H584=INT(H584)),H584=0),IF(B584="开局",AND(IF(OR(D584="数字盖盒",D584="普通冰冻盒",D584="数字冰冻盒",D584="炸弹盒",D584="底部置顶盒"),OR(G584=3,G584=4),TRUE),IF(OR(D584="单向收纳盒",D584="单颗暂存盒",D584="数字冰冻单颗暂存盒"),OR(G584=0,G584=1),TRUE),IF(OR(D584="固定颜色盒",D584="广告锁定周转盒"),G584=0,TRUE)),TRUE)),"通过","需调整")</ns0:f>
        <ns0:v>通过</ns0:v>
      </ns0:c>
      <ns0:c r="P584" s="145" t="str">
        <ns0:v>普通盒</ns0:v>
      </ns0:c>
      <ns0:c r="Q584" s="145" t="str">
        <ns0:v>层序JSON:{"reference":"2026-10-12 第81至90关炸弹学习与缓和节奏；固定层序、明牌拆弹材料与组合机关","slots":[{"group_id":"W9-087-01","layers":[2,3,2,3]},{"group_id":"W9-087-01","layers":[2,4,8,4]},{"group_id":"W9-087-01","layers":[8,5,3,6]},{"group_id":"W9-087-01","layers":[0,8,2,5]},{"group_id":"W9-087-01","layers":[4,6,3,3]},{"group_id":"W9-087-01","layers":[6,0,4,5]},{"group_id":"W9-087-01","layers":[4,6,6,8]},{"group_id":"W9-087-01","layers":[0,8,2,5]},{"group_id":"W9-087-03","layers":[3]},{"group_id":"W9-087-01","layers":[6,4,0,5]},{"group_id":"W9-087-05","layers":[2,8,8,6]},{"group_id":"W9-087-01","layers":[2,5,6,0]},{"group_id":"W9-087-01","layers":[3,0,0,5]},{"group_id":"W9-087-01","layers":[4,2,4,3]},{"group_id":"W9-087-02","layers":[5,8,0]},{"group_id":"W9-087-06","layers":[]},{"group_id":"W9-087-04","layers":[]}],"stock":[],"demand_sequences":[[0,3,5,8,8,5,4],[6,4,2,0,6,2,3]]}</ns0:v>
      </ns0:c>
      <ns0:c r="R584" s="149" t="n">
        <ns0:f>E584*H584</ns0:f>
        <ns0:v>0</ns0:v>
      </ns0:c>
    </ns0:row>
    <ns0:row r="585" ht="21" customHeight="1">
      <ns0:c r="A585" s="147" t="n">
        <ns0:v>87</ns0:v>
      </ns0:c>
      <ns0:c r="B585" s="147" t="str">
        <ns0:v>开局</ns0:v>
      </ns0:c>
      <ns0:c r="C585" s="147" t="str">
        <ns0:v>W9-087-02</ns0:v>
      </ns0:c>
      <ns0:c r="D585" s="147" t="str">
        <ns0:v>普通盒</ns0:v>
      </ns0:c>
      <ns0:c r="E585" s="152" t="n">
        <ns0:v>1</ns0:v>
      </ns0:c>
      <ns0:c r="F585" s="152" t="n">
        <ns0:v>4</ns0:v>
      </ns0:c>
      <ns0:c r="G585" s="152" t="n">
        <ns0:v>3</ns0:v>
      </ns0:c>
      <ns0:c r="H585" s="152" t="n">
        <ns0:v>0</ns0:v>
      </ns0:c>
      <ns0:c r="I585" s="150" t="n">
        <ns0:f>E585*G585</ns0:f>
        <ns0:v>3</ns0:v>
      </ns0:c>
      <ns0:c r="J585" s="150" t="n">
        <ns0:f>E585*(F585-G585)</ns0:f>
        <ns0:v>1</ns0:v>
      </ns0:c>
      <ns0:c r="K585" s="150" t="n">
        <ns0:f>IF(AND(B585="开局",G585=0,OR(D585="普通盒",D585="单颗暂存盒")),J585,0)</ns0:f>
        <ns0:v>0</ns0:v>
      </ns0:c>
      <ns0:c r="L585" s="150" t="n">
        <ns0:f>IF(AND(B585="开局",G585&gt;0,OR(D585="普通盒",D585="底部置顶盒",D585="炸弹盒")),J585,0)</ns0:f>
        <ns0:v>1</ns0:v>
      </ns0:c>
      <ns0:c r="M585" s="150" t="n">
        <ns0:f>IF(AND(B585="开局",OR(D585="固定颜色盒",D585="单向收纳盒")),J585,0)</ns0:f>
        <ns0:v>0</ns0:v>
      </ns0:c>
      <ns0:c r="N585" s="150" t="n">
        <ns0:f>IF(AND(B585="开局",OR(D585="数字盖盒",D585="普通冰冻盒",D585="数字冰冻盒",D585="数字冰冻单颗暂存盒")),J585,0)</ns0:f>
        <ns0:v>0</ns0:v>
      </ns0:c>
      <ns0:c r="O585" s="147" t="str">
        <ns0:f>IF(AND(E585&gt;0,E585=INT(E585),G585&gt;=0,G585&lt;=F585,G585=INT(G585),OR(AND(F585=1,OR(D585="单颗暂存盒",D585="数字冰冻单颗暂存盒")),AND(F585=4,NOT(OR(D585="单颗暂存盒",D585="数字冰冻单颗暂存盒")))),IF(OR(D585="数字盖盒",D585="数字冰冻盒",D585="数字冰冻单颗暂存盒"),AND(H585&gt;=1,H585=INT(H585)),H585=0),IF(B585="开局",AND(IF(OR(D585="数字盖盒",D585="普通冰冻盒",D585="数字冰冻盒",D585="炸弹盒",D585="底部置顶盒"),OR(G585=3,G585=4),TRUE),IF(OR(D585="单向收纳盒",D585="单颗暂存盒",D585="数字冰冻单颗暂存盒"),OR(G585=0,G585=1),TRUE),IF(OR(D585="固定颜色盒",D585="广告锁定周转盒"),G585=0,TRUE)),TRUE)),"通过","需调整")</ns0:f>
        <ns0:v>通过</ns0:v>
      </ns0:c>
      <ns0:c r="P585" s="147" t="str">
        <ns0:v>普通盒</ns0:v>
      </ns0:c>
      <ns0:c r="Q585" s="147" t="str">
        <ns0:v>固定层序见本关首行</ns0:v>
      </ns0:c>
      <ns0:c r="R585" s="150" t="n">
        <ns0:f>E585*H585</ns0:f>
        <ns0:v>0</ns0:v>
      </ns0:c>
    </ns0:row>
    <ns0:row r="586" ht="21" customHeight="1">
      <ns0:c r="A586" s="145" t="n">
        <ns0:v>87</ns0:v>
      </ns0:c>
      <ns0:c r="B586" s="145" t="str">
        <ns0:v>开局</ns0:v>
      </ns0:c>
      <ns0:c r="C586" s="145" t="str">
        <ns0:v>W9-087-03</ns0:v>
      </ns0:c>
      <ns0:c r="D586" s="145" t="str">
        <ns0:v>普通盒</ns0:v>
      </ns0:c>
      <ns0:c r="E586" s="152" t="n">
        <ns0:v>1</ns0:v>
      </ns0:c>
      <ns0:c r="F586" s="152" t="n">
        <ns0:v>4</ns0:v>
      </ns0:c>
      <ns0:c r="G586" s="152" t="n">
        <ns0:v>1</ns0:v>
      </ns0:c>
      <ns0:c r="H586" s="152" t="n">
        <ns0:v>0</ns0:v>
      </ns0:c>
      <ns0:c r="I586" s="149" t="n">
        <ns0:f>E586*G586</ns0:f>
        <ns0:v>1</ns0:v>
      </ns0:c>
      <ns0:c r="J586" s="149" t="n">
        <ns0:f>E586*(F586-G586)</ns0:f>
        <ns0:v>3</ns0:v>
      </ns0:c>
      <ns0:c r="K586" s="149" t="n">
        <ns0:f>IF(AND(B586="开局",G586=0,OR(D586="普通盒",D586="单颗暂存盒")),J586,0)</ns0:f>
        <ns0:v>0</ns0:v>
      </ns0:c>
      <ns0:c r="L586" s="149" t="n">
        <ns0:f>IF(AND(B586="开局",G586&gt;0,OR(D586="普通盒",D586="底部置顶盒",D586="炸弹盒")),J586,0)</ns0:f>
        <ns0:v>3</ns0:v>
      </ns0:c>
      <ns0:c r="M586" s="149" t="n">
        <ns0:f>IF(AND(B586="开局",OR(D586="固定颜色盒",D586="单向收纳盒")),J586,0)</ns0:f>
        <ns0:v>0</ns0:v>
      </ns0:c>
      <ns0:c r="N586" s="149" t="n">
        <ns0:f>IF(AND(B586="开局",OR(D586="数字盖盒",D586="普通冰冻盒",D586="数字冰冻盒",D586="数字冰冻单颗暂存盒")),J586,0)</ns0:f>
        <ns0:v>0</ns0:v>
      </ns0:c>
      <ns0:c r="O586" s="145" t="str">
        <ns0:f>IF(AND(E586&gt;0,E586=INT(E586),G586&gt;=0,G586&lt;=F586,G586=INT(G586),OR(AND(F586=1,OR(D586="单颗暂存盒",D586="数字冰冻单颗暂存盒")),AND(F586=4,NOT(OR(D586="单颗暂存盒",D586="数字冰冻单颗暂存盒")))),IF(OR(D586="数字盖盒",D586="数字冰冻盒",D586="数字冰冻单颗暂存盒"),AND(H586&gt;=1,H586=INT(H586)),H586=0),IF(B586="开局",AND(IF(OR(D586="数字盖盒",D586="普通冰冻盒",D586="数字冰冻盒",D586="炸弹盒",D586="底部置顶盒"),OR(G586=3,G586=4),TRUE),IF(OR(D586="单向收纳盒",D586="单颗暂存盒",D586="数字冰冻单颗暂存盒"),OR(G586=0,G586=1),TRUE),IF(OR(D586="固定颜色盒",D586="广告锁定周转盒"),G586=0,TRUE)),TRUE)),"通过","需调整")</ns0:f>
        <ns0:v>通过</ns0:v>
      </ns0:c>
      <ns0:c r="P586" s="145" t="str">
        <ns0:v>普通盒</ns0:v>
      </ns0:c>
      <ns0:c r="Q586" s="145" t="str">
        <ns0:v>固定层序见本关首行</ns0:v>
      </ns0:c>
      <ns0:c r="R586" s="149" t="n">
        <ns0:f>E586*H586</ns0:f>
        <ns0:v>0</ns0:v>
      </ns0:c>
    </ns0:row>
    <ns0:row r="587" ht="21" customHeight="1">
      <ns0:c r="A587" s="147" t="n">
        <ns0:v>87</ns0:v>
      </ns0:c>
      <ns0:c r="B587" s="147" t="str">
        <ns0:v>开局</ns0:v>
      </ns0:c>
      <ns0:c r="C587" s="147" t="str">
        <ns0:v>W9-087-04</ns0:v>
      </ns0:c>
      <ns0:c r="D587" s="147" t="str">
        <ns0:v>普通盒</ns0:v>
      </ns0:c>
      <ns0:c r="E587" s="152" t="n">
        <ns0:v>1</ns0:v>
      </ns0:c>
      <ns0:c r="F587" s="152" t="n">
        <ns0:v>4</ns0:v>
      </ns0:c>
      <ns0:c r="G587" s="152" t="n">
        <ns0:v>0</ns0:v>
      </ns0:c>
      <ns0:c r="H587" s="152" t="n">
        <ns0:v>0</ns0:v>
      </ns0:c>
      <ns0:c r="I587" s="150" t="n">
        <ns0:f>E587*G587</ns0:f>
        <ns0:v>0</ns0:v>
      </ns0:c>
      <ns0:c r="J587" s="150" t="n">
        <ns0:f>E587*(F587-G587)</ns0:f>
        <ns0:v>4</ns0:v>
      </ns0:c>
      <ns0:c r="K587" s="150" t="n">
        <ns0:f>IF(AND(B587="开局",G587=0,OR(D587="普通盒",D587="单颗暂存盒")),J587,0)</ns0:f>
        <ns0:v>4</ns0:v>
      </ns0:c>
      <ns0:c r="L587" s="150" t="n">
        <ns0:f>IF(AND(B587="开局",G587&gt;0,OR(D587="普通盒",D587="底部置顶盒",D587="炸弹盒")),J587,0)</ns0:f>
        <ns0:v>0</ns0:v>
      </ns0:c>
      <ns0:c r="M587" s="150" t="n">
        <ns0:f>IF(AND(B587="开局",OR(D587="固定颜色盒",D587="单向收纳盒")),J587,0)</ns0:f>
        <ns0:v>0</ns0:v>
      </ns0:c>
      <ns0:c r="N587" s="150" t="n">
        <ns0:f>IF(AND(B587="开局",OR(D587="数字盖盒",D587="普通冰冻盒",D587="数字冰冻盒",D587="数字冰冻单颗暂存盒")),J587,0)</ns0:f>
        <ns0:v>0</ns0:v>
      </ns0:c>
      <ns0:c r="O587" s="147" t="str">
        <ns0:f>IF(AND(E587&gt;0,E587=INT(E587),G587&gt;=0,G587&lt;=F587,G587=INT(G587),OR(AND(F587=1,OR(D587="单颗暂存盒",D587="数字冰冻单颗暂存盒")),AND(F587=4,NOT(OR(D587="单颗暂存盒",D587="数字冰冻单颗暂存盒")))),IF(OR(D587="数字盖盒",D587="数字冰冻盒",D587="数字冰冻单颗暂存盒"),AND(H587&gt;=1,H587=INT(H587)),H587=0),IF(B587="开局",AND(IF(OR(D587="数字盖盒",D587="普通冰冻盒",D587="数字冰冻盒",D587="炸弹盒",D587="底部置顶盒"),OR(G587=3,G587=4),TRUE),IF(OR(D587="单向收纳盒",D587="单颗暂存盒",D587="数字冰冻单颗暂存盒"),OR(G587=0,G587=1),TRUE),IF(OR(D587="固定颜色盒",D587="广告锁定周转盒"),G587=0,TRUE)),TRUE)),"通过","需调整")</ns0:f>
        <ns0:v>通过</ns0:v>
      </ns0:c>
      <ns0:c r="P587" s="147" t="str">
        <ns0:v>普通盒</ns0:v>
      </ns0:c>
      <ns0:c r="Q587" s="147" t="str">
        <ns0:v>固定层序见本关首行</ns0:v>
      </ns0:c>
      <ns0:c r="R587" s="150" t="n">
        <ns0:f>E587*H587</ns0:f>
        <ns0:v>0</ns0:v>
      </ns0:c>
    </ns0:row>
    <ns0:row r="588" ht="21" customHeight="1">
      <ns0:c r="A588" s="145" t="n">
        <ns0:v>87</ns0:v>
      </ns0:c>
      <ns0:c r="B588" s="145" t="str">
        <ns0:v>开局</ns0:v>
      </ns0:c>
      <ns0:c r="C588" s="145" t="str">
        <ns0:v>W9-087-05</ns0:v>
      </ns0:c>
      <ns0:c r="D588" s="145" t="str">
        <ns0:v>普通冰冻盒</ns0:v>
      </ns0:c>
      <ns0:c r="E588" s="152" t="n">
        <ns0:v>1</ns0:v>
      </ns0:c>
      <ns0:c r="F588" s="152" t="n">
        <ns0:v>4</ns0:v>
      </ns0:c>
      <ns0:c r="G588" s="152" t="n">
        <ns0:v>4</ns0:v>
      </ns0:c>
      <ns0:c r="H588" s="152" t="n">
        <ns0:v>0</ns0:v>
      </ns0:c>
      <ns0:c r="I588" s="149" t="n">
        <ns0:f>E588*G588</ns0:f>
        <ns0:v>4</ns0:v>
      </ns0:c>
      <ns0:c r="J588" s="149" t="n">
        <ns0:f>E588*(F588-G588)</ns0:f>
        <ns0:v>0</ns0:v>
      </ns0:c>
      <ns0:c r="K588" s="149" t="n">
        <ns0:f>IF(AND(B588="开局",G588=0,OR(D588="普通盒",D588="单颗暂存盒")),J588,0)</ns0:f>
        <ns0:v>0</ns0:v>
      </ns0:c>
      <ns0:c r="L588" s="149" t="n">
        <ns0:f>IF(AND(B588="开局",G588&gt;0,OR(D588="普通盒",D588="底部置顶盒",D588="炸弹盒")),J588,0)</ns0:f>
        <ns0:v>0</ns0:v>
      </ns0:c>
      <ns0:c r="M588" s="149" t="n">
        <ns0:f>IF(AND(B588="开局",OR(D588="固定颜色盒",D588="单向收纳盒")),J588,0)</ns0:f>
        <ns0:v>0</ns0:v>
      </ns0:c>
      <ns0:c r="N588" s="149" t="n">
        <ns0:f>IF(AND(B588="开局",OR(D588="数字盖盒",D588="普通冰冻盒",D588="数字冰冻盒",D588="数字冰冻单颗暂存盒")),J588,0)</ns0:f>
        <ns0:v>0</ns0:v>
      </ns0:c>
      <ns0:c r="O588" s="145" t="str">
        <ns0:f>IF(AND(E588&gt;0,E588=INT(E588),G588&gt;=0,G588&lt;=F588,G588=INT(G588),OR(AND(F588=1,OR(D588="单颗暂存盒",D588="数字冰冻单颗暂存盒")),AND(F588=4,NOT(OR(D588="单颗暂存盒",D588="数字冰冻单颗暂存盒")))),IF(OR(D588="数字盖盒",D588="数字冰冻盒",D588="数字冰冻单颗暂存盒"),AND(H588&gt;=1,H588=INT(H588)),H588=0),IF(B588="开局",AND(IF(OR(D588="数字盖盒",D588="普通冰冻盒",D588="数字冰冻盒",D588="炸弹盒",D588="底部置顶盒"),OR(G588=3,G588=4),TRUE),IF(OR(D588="单向收纳盒",D588="单颗暂存盒",D588="数字冰冻单颗暂存盒"),OR(G588=0,G588=1),TRUE),IF(OR(D588="固定颜色盒",D588="广告锁定周转盒"),G588=0,TRUE)),TRUE)),"通过","需调整")</ns0:f>
        <ns0:v>通过</ns0:v>
      </ns0:c>
      <ns0:c r="P588" s="145" t="str">
        <ns0:v>普通冰冻盒</ns0:v>
      </ns0:c>
      <ns0:c r="Q588" s="145" t="str">
        <ns0:v>固定层序见本关首行</ns0:v>
      </ns0:c>
      <ns0:c r="R588" s="149" t="n">
        <ns0:f>E588*H588</ns0:f>
        <ns0:v>0</ns0:v>
      </ns0:c>
    </ns0:row>
    <ns0:row r="589" ht="21" customHeight="1">
      <ns0:c r="A589" s="147" t="n">
        <ns0:v>87</ns0:v>
      </ns0:c>
      <ns0:c r="B589" s="147" t="str">
        <ns0:v>开局</ns0:v>
      </ns0:c>
      <ns0:c r="C589" s="147" t="str">
        <ns0:v>W9-087-06</ns0:v>
      </ns0:c>
      <ns0:c r="D589" s="147" t="str">
        <ns0:v>单颗暂存盒</ns0:v>
      </ns0:c>
      <ns0:c r="E589" s="152" t="n">
        <ns0:v>1</ns0:v>
      </ns0:c>
      <ns0:c r="F589" s="152" t="n">
        <ns0:v>1</ns0:v>
      </ns0:c>
      <ns0:c r="G589" s="152" t="n">
        <ns0:v>0</ns0:v>
      </ns0:c>
      <ns0:c r="H589" s="152" t="n">
        <ns0:v>0</ns0:v>
      </ns0:c>
      <ns0:c r="I589" s="150" t="n">
        <ns0:f>E589*G589</ns0:f>
        <ns0:v>0</ns0:v>
      </ns0:c>
      <ns0:c r="J589" s="150" t="n">
        <ns0:f>E589*(F589-G589)</ns0:f>
        <ns0:v>1</ns0:v>
      </ns0:c>
      <ns0:c r="K589" s="150" t="n">
        <ns0:f>IF(AND(B589="开局",G589=0,OR(D589="普通盒",D589="单颗暂存盒")),J589,0)</ns0:f>
        <ns0:v>1</ns0:v>
      </ns0:c>
      <ns0:c r="L589" s="150" t="n">
        <ns0:f>IF(AND(B589="开局",G589&gt;0,OR(D589="普通盒",D589="底部置顶盒",D589="炸弹盒")),J589,0)</ns0:f>
        <ns0:v>0</ns0:v>
      </ns0:c>
      <ns0:c r="M589" s="150" t="n">
        <ns0:f>IF(AND(B589="开局",OR(D589="固定颜色盒",D589="单向收纳盒")),J589,0)</ns0:f>
        <ns0:v>0</ns0:v>
      </ns0:c>
      <ns0:c r="N589" s="150" t="n">
        <ns0:f>IF(AND(B589="开局",OR(D589="数字盖盒",D589="普通冰冻盒",D589="数字冰冻盒",D589="数字冰冻单颗暂存盒")),J589,0)</ns0:f>
        <ns0:v>0</ns0:v>
      </ns0:c>
      <ns0:c r="O589" s="147" t="str">
        <ns0:f>IF(AND(E589&gt;0,E589=INT(E589),G589&gt;=0,G589&lt;=F589,G589=INT(G589),OR(AND(F589=1,OR(D589="单颗暂存盒",D589="数字冰冻单颗暂存盒")),AND(F589=4,NOT(OR(D589="单颗暂存盒",D589="数字冰冻单颗暂存盒")))),IF(OR(D589="数字盖盒",D589="数字冰冻盒",D589="数字冰冻单颗暂存盒"),AND(H589&gt;=1,H589=INT(H589)),H589=0),IF(B589="开局",AND(IF(OR(D589="数字盖盒",D589="普通冰冻盒",D589="数字冰冻盒",D589="炸弹盒",D589="底部置顶盒"),OR(G589=3,G589=4),TRUE),IF(OR(D589="单向收纳盒",D589="单颗暂存盒",D589="数字冰冻单颗暂存盒"),OR(G589=0,G589=1),TRUE),IF(OR(D589="固定颜色盒",D589="广告锁定周转盒"),G589=0,TRUE)),TRUE)),"通过","需调整")</ns0:f>
        <ns0:v>通过</ns0:v>
      </ns0:c>
      <ns0:c r="P589" s="147" t="str">
        <ns0:v>单颗暂存盒</ns0:v>
      </ns0:c>
      <ns0:c r="Q589" s="147" t="str">
        <ns0:v>固定层序见本关首行</ns0:v>
      </ns0:c>
      <ns0:c r="R589" s="150" t="n">
        <ns0:f>E589*H589</ns0:f>
        <ns0:v>0</ns0:v>
      </ns0:c>
    </ns0:row>
    <ns0:row r="590" ht="21" customHeight="1">
      <ns0:c r="A590" s="145" t="n">
        <ns0:v>87</ns0:v>
      </ns0:c>
      <ns0:c r="B590" s="145" t="str">
        <ns0:v>开局</ns0:v>
      </ns0:c>
      <ns0:c r="C590" s="145" t="str">
        <ns0:v>W9-087-07</ns0:v>
      </ns0:c>
      <ns0:c r="D590" s="145" t="str">
        <ns0:v>广告锁定周转盒</ns0:v>
      </ns0:c>
      <ns0:c r="E590" s="152" t="n">
        <ns0:v>2</ns0:v>
      </ns0:c>
      <ns0:c r="F590" s="152" t="n">
        <ns0:v>4</ns0:v>
      </ns0:c>
      <ns0:c r="G590" s="152" t="n">
        <ns0:v>0</ns0:v>
      </ns0:c>
      <ns0:c r="H590" s="152" t="n">
        <ns0:v>0</ns0:v>
      </ns0:c>
      <ns0:c r="I590" s="149" t="n">
        <ns0:f>E590*G590</ns0:f>
        <ns0:v>0</ns0:v>
      </ns0:c>
      <ns0:c r="J590" s="149" t="n">
        <ns0:f>E590*(F590-G590)</ns0:f>
        <ns0:v>8</ns0:v>
      </ns0:c>
      <ns0:c r="K590" s="149" t="n">
        <ns0:f>IF(AND(B590="开局",G590=0,OR(D590="普通盒",D590="单颗暂存盒")),J590,0)</ns0:f>
        <ns0:v>0</ns0:v>
      </ns0:c>
      <ns0:c r="L590" s="149" t="n">
        <ns0:f>IF(AND(B590="开局",G590&gt;0,OR(D590="普通盒",D590="底部置顶盒",D590="炸弹盒")),J590,0)</ns0:f>
        <ns0:v>0</ns0:v>
      </ns0:c>
      <ns0:c r="M590" s="149" t="n">
        <ns0:f>IF(AND(B590="开局",OR(D590="固定颜色盒",D590="单向收纳盒")),J590,0)</ns0:f>
        <ns0:v>0</ns0:v>
      </ns0:c>
      <ns0:c r="N590" s="149" t="n">
        <ns0:f>IF(AND(B590="开局",OR(D590="数字盖盒",D590="普通冰冻盒",D590="数字冰冻盒",D590="数字冰冻单颗暂存盒")),J590,0)</ns0:f>
        <ns0:v>0</ns0:v>
      </ns0:c>
      <ns0:c r="O590" s="145" t="str">
        <ns0:f>IF(AND(E590&gt;0,E590=INT(E590),G590&gt;=0,G590&lt;=F590,G590=INT(G590),OR(AND(F590=1,OR(D590="单颗暂存盒",D590="数字冰冻单颗暂存盒")),AND(F590=4,NOT(OR(D590="单颗暂存盒",D590="数字冰冻单颗暂存盒")))),IF(OR(D590="数字盖盒",D590="数字冰冻盒",D590="数字冰冻单颗暂存盒"),AND(H590&gt;=1,H590=INT(H590)),H590=0),IF(B590="开局",AND(IF(OR(D590="数字盖盒",D590="普通冰冻盒",D590="数字冰冻盒",D590="炸弹盒",D590="底部置顶盒"),OR(G590=3,G590=4),TRUE),IF(OR(D590="单向收纳盒",D590="单颗暂存盒",D590="数字冰冻单颗暂存盒"),OR(G590=0,G590=1),TRUE),IF(OR(D590="固定颜色盒",D590="广告锁定周转盒"),G590=0,TRUE)),TRUE)),"通过","需调整")</ns0:f>
        <ns0:v>通过</ns0:v>
      </ns0:c>
      <ns0:c r="P590" s="145" t="str">
        <ns0:v>双广告锁位</ns0:v>
      </ns0:c>
      <ns0:c r="Q590" s="145" t="str">
        <ns0:v>固定层序见本关首行</ns0:v>
      </ns0:c>
      <ns0:c r="R590" s="149" t="n">
        <ns0:f>E590*H590</ns0:f>
        <ns0:v>0</ns0:v>
      </ns0:c>
    </ns0:row>
    <ns0:row r="591" ht="21" customHeight="1">
      <ns0:c r="A591" s="147" t="n">
        <ns0:v>88</ns0:v>
      </ns0:c>
      <ns0:c r="B591" s="147" t="str">
        <ns0:v>开局</ns0:v>
      </ns0:c>
      <ns0:c r="C591" s="147" t="str">
        <ns0:v>W9-088-01</ns0:v>
      </ns0:c>
      <ns0:c r="D591" s="147" t="str">
        <ns0:v>普通盒</ns0:v>
      </ns0:c>
      <ns0:c r="E591" s="152" t="n">
        <ns0:v>12</ns0:v>
      </ns0:c>
      <ns0:c r="F591" s="152" t="n">
        <ns0:v>4</ns0:v>
      </ns0:c>
      <ns0:c r="G591" s="152" t="n">
        <ns0:v>4</ns0:v>
      </ns0:c>
      <ns0:c r="H591" s="152" t="n">
        <ns0:v>0</ns0:v>
      </ns0:c>
      <ns0:c r="I591" s="150" t="n">
        <ns0:f>E591*G591</ns0:f>
        <ns0:v>48</ns0:v>
      </ns0:c>
      <ns0:c r="J591" s="150" t="n">
        <ns0:f>E591*(F591-G591)</ns0:f>
        <ns0:v>0</ns0:v>
      </ns0:c>
      <ns0:c r="K591" s="150" t="n">
        <ns0:f>IF(AND(B591="开局",G591=0,OR(D591="普通盒",D591="单颗暂存盒")),J591,0)</ns0:f>
        <ns0:v>0</ns0:v>
      </ns0:c>
      <ns0:c r="L591" s="150" t="n">
        <ns0:f>IF(AND(B591="开局",G591&gt;0,OR(D591="普通盒",D591="底部置顶盒",D591="炸弹盒")),J591,0)</ns0:f>
        <ns0:v>0</ns0:v>
      </ns0:c>
      <ns0:c r="M591" s="150" t="n">
        <ns0:f>IF(AND(B591="开局",OR(D591="固定颜色盒",D591="单向收纳盒")),J591,0)</ns0:f>
        <ns0:v>0</ns0:v>
      </ns0:c>
      <ns0:c r="N591" s="150" t="n">
        <ns0:f>IF(AND(B591="开局",OR(D591="数字盖盒",D591="普通冰冻盒",D591="数字冰冻盒",D591="数字冰冻单颗暂存盒")),J591,0)</ns0:f>
        <ns0:v>0</ns0:v>
      </ns0:c>
      <ns0:c r="O591" s="147" t="str">
        <ns0:f>IF(AND(E591&gt;0,E591=INT(E591),G591&gt;=0,G591&lt;=F591,G591=INT(G591),OR(AND(F591=1,OR(D591="单颗暂存盒",D591="数字冰冻单颗暂存盒")),AND(F591=4,NOT(OR(D591="单颗暂存盒",D591="数字冰冻单颗暂存盒")))),IF(OR(D591="数字盖盒",D591="数字冰冻盒",D591="数字冰冻单颗暂存盒"),AND(H591&gt;=1,H591=INT(H591)),H591=0),IF(B591="开局",AND(IF(OR(D591="数字盖盒",D591="普通冰冻盒",D591="数字冰冻盒",D591="炸弹盒",D591="底部置顶盒"),OR(G591=3,G591=4),TRUE),IF(OR(D591="单向收纳盒",D591="单颗暂存盒",D591="数字冰冻单颗暂存盒"),OR(G591=0,G591=1),TRUE),IF(OR(D591="固定颜色盒",D591="广告锁定周转盒"),G591=0,TRUE)),TRUE)),"通过","需调整")</ns0:f>
        <ns0:v>通过</ns0:v>
      </ns0:c>
      <ns0:c r="P591" s="147" t="str">
        <ns0:v>普通盒</ns0:v>
      </ns0:c>
      <ns0:c r="Q591" s="147" t="str">
        <ns0:v>层序JSON:{"reference":"2026-10-12 第81至90关炸弹学习与缓和节奏；固定层序、明牌拆弹材料与组合机关","slots":[{"group_id":"W9-088-02","layers":[5,12,5]},{"group_id":"W9-088-01","layers":[2,8,4,5]},{"group_id":"W9-088-01","layers":[8,5,8,6]},{"group_id":"W9-088-03","layers":[4]},{"group_id":"W9-088-01","layers":[8,0,3,3]},{"group_id":"W9-088-01","layers":[12,3,3,5]},{"group_id":"W9-088-02","layers":[12,6,4]},{"group_id":"W9-088-01","layers":[3,6,5,4]},{"group_id":"W9-088-01","layers":[6,3,2,4]},{"group_id":"W9-088-01","layers":[2,12,5,2]},{"group_id":"W9-088-04","layers":[4,6,8,8],"bomb_seconds":120},{"group_id":"W9-088-01","layers":[6,0,6,4]},{"group_id":"W9-088-01","layers":[2,0,4,3],"hidden":[1,2,3]},{"group_id":"W9-088-03","layers":[0]},{"group_id":"W9-088-01","layers":[5,2,0,8]},{"group_id":"W9-088-01","layers":[0,2,0,8]},{"group_id":"W9-088-01","layers":[3,2,0,6]},{"group_id":"W9-088-05","layers":[],"fixed_flavor":3}],"stock":[],"demand_sequences":[[3,8,0,6,5,6,2,8],[5,4,3,12,2,4,0]]}</ns0:v>
      </ns0:c>
      <ns0:c r="R591" s="150" t="n">
        <ns0:f>E591*H591</ns0:f>
        <ns0:v>0</ns0:v>
      </ns0:c>
    </ns0:row>
    <ns0:row r="592" ht="21" customHeight="1">
      <ns0:c r="A592" s="145" t="n">
        <ns0:v>88</ns0:v>
      </ns0:c>
      <ns0:c r="B592" s="145" t="str">
        <ns0:v>开局</ns0:v>
      </ns0:c>
      <ns0:c r="C592" s="145" t="str">
        <ns0:v>W9-088-02</ns0:v>
      </ns0:c>
      <ns0:c r="D592" s="145" t="str">
        <ns0:v>普通盒</ns0:v>
      </ns0:c>
      <ns0:c r="E592" s="152" t="n">
        <ns0:v>2</ns0:v>
      </ns0:c>
      <ns0:c r="F592" s="152" t="n">
        <ns0:v>4</ns0:v>
      </ns0:c>
      <ns0:c r="G592" s="152" t="n">
        <ns0:v>3</ns0:v>
      </ns0:c>
      <ns0:c r="H592" s="152" t="n">
        <ns0:v>0</ns0:v>
      </ns0:c>
      <ns0:c r="I592" s="149" t="n">
        <ns0:f>E592*G592</ns0:f>
        <ns0:v>6</ns0:v>
      </ns0:c>
      <ns0:c r="J592" s="149" t="n">
        <ns0:f>E592*(F592-G592)</ns0:f>
        <ns0:v>2</ns0:v>
      </ns0:c>
      <ns0:c r="K592" s="149" t="n">
        <ns0:f>IF(AND(B592="开局",G592=0,OR(D592="普通盒",D592="单颗暂存盒")),J592,0)</ns0:f>
        <ns0:v>0</ns0:v>
      </ns0:c>
      <ns0:c r="L592" s="149" t="n">
        <ns0:f>IF(AND(B592="开局",G592&gt;0,OR(D592="普通盒",D592="底部置顶盒",D592="炸弹盒")),J592,0)</ns0:f>
        <ns0:v>2</ns0:v>
      </ns0:c>
      <ns0:c r="M592" s="149" t="n">
        <ns0:f>IF(AND(B592="开局",OR(D592="固定颜色盒",D592="单向收纳盒")),J592,0)</ns0:f>
        <ns0:v>0</ns0:v>
      </ns0:c>
      <ns0:c r="N592" s="149" t="n">
        <ns0:f>IF(AND(B592="开局",OR(D592="数字盖盒",D592="普通冰冻盒",D592="数字冰冻盒",D592="数字冰冻单颗暂存盒")),J592,0)</ns0:f>
        <ns0:v>0</ns0:v>
      </ns0:c>
      <ns0:c r="O592" s="145" t="str">
        <ns0:f>IF(AND(E592&gt;0,E592=INT(E592),G592&gt;=0,G592&lt;=F592,G592=INT(G592),OR(AND(F592=1,OR(D592="单颗暂存盒",D592="数字冰冻单颗暂存盒")),AND(F592=4,NOT(OR(D592="单颗暂存盒",D592="数字冰冻单颗暂存盒")))),IF(OR(D592="数字盖盒",D592="数字冰冻盒",D592="数字冰冻单颗暂存盒"),AND(H592&gt;=1,H592=INT(H592)),H592=0),IF(B592="开局",AND(IF(OR(D592="数字盖盒",D592="普通冰冻盒",D592="数字冰冻盒",D592="炸弹盒",D592="底部置顶盒"),OR(G592=3,G592=4),TRUE),IF(OR(D592="单向收纳盒",D592="单颗暂存盒",D592="数字冰冻单颗暂存盒"),OR(G592=0,G592=1),TRUE),IF(OR(D592="固定颜色盒",D592="广告锁定周转盒"),G592=0,TRUE)),TRUE)),"通过","需调整")</ns0:f>
        <ns0:v>通过</ns0:v>
      </ns0:c>
      <ns0:c r="P592" s="145" t="str">
        <ns0:v>普通盒</ns0:v>
      </ns0:c>
      <ns0:c r="Q592" s="145" t="str">
        <ns0:v>固定层序见本关首行</ns0:v>
      </ns0:c>
      <ns0:c r="R592" s="149" t="n">
        <ns0:f>E592*H592</ns0:f>
        <ns0:v>0</ns0:v>
      </ns0:c>
    </ns0:row>
    <ns0:row r="593" ht="21" customHeight="1">
      <ns0:c r="A593" s="147" t="n">
        <ns0:v>88</ns0:v>
      </ns0:c>
      <ns0:c r="B593" s="147" t="str">
        <ns0:v>开局</ns0:v>
      </ns0:c>
      <ns0:c r="C593" s="147" t="str">
        <ns0:v>W9-088-03</ns0:v>
      </ns0:c>
      <ns0:c r="D593" s="147" t="str">
        <ns0:v>普通盒</ns0:v>
      </ns0:c>
      <ns0:c r="E593" s="152" t="n">
        <ns0:v>2</ns0:v>
      </ns0:c>
      <ns0:c r="F593" s="152" t="n">
        <ns0:v>4</ns0:v>
      </ns0:c>
      <ns0:c r="G593" s="152" t="n">
        <ns0:v>1</ns0:v>
      </ns0:c>
      <ns0:c r="H593" s="152" t="n">
        <ns0:v>0</ns0:v>
      </ns0:c>
      <ns0:c r="I593" s="150" t="n">
        <ns0:f>E593*G593</ns0:f>
        <ns0:v>2</ns0:v>
      </ns0:c>
      <ns0:c r="J593" s="150" t="n">
        <ns0:f>E593*(F593-G593)</ns0:f>
        <ns0:v>6</ns0:v>
      </ns0:c>
      <ns0:c r="K593" s="150" t="n">
        <ns0:f>IF(AND(B593="开局",G593=0,OR(D593="普通盒",D593="单颗暂存盒")),J593,0)</ns0:f>
        <ns0:v>0</ns0:v>
      </ns0:c>
      <ns0:c r="L593" s="150" t="n">
        <ns0:f>IF(AND(B593="开局",G593&gt;0,OR(D593="普通盒",D593="底部置顶盒",D593="炸弹盒")),J593,0)</ns0:f>
        <ns0:v>6</ns0:v>
      </ns0:c>
      <ns0:c r="M593" s="150" t="n">
        <ns0:f>IF(AND(B593="开局",OR(D593="固定颜色盒",D593="单向收纳盒")),J593,0)</ns0:f>
        <ns0:v>0</ns0:v>
      </ns0:c>
      <ns0:c r="N593" s="150" t="n">
        <ns0:f>IF(AND(B593="开局",OR(D593="数字盖盒",D593="普通冰冻盒",D593="数字冰冻盒",D593="数字冰冻单颗暂存盒")),J593,0)</ns0:f>
        <ns0:v>0</ns0:v>
      </ns0:c>
      <ns0:c r="O593" s="147" t="str">
        <ns0:f>IF(AND(E593&gt;0,E593=INT(E593),G593&gt;=0,G593&lt;=F593,G593=INT(G593),OR(AND(F593=1,OR(D593="单颗暂存盒",D593="数字冰冻单颗暂存盒")),AND(F593=4,NOT(OR(D593="单颗暂存盒",D593="数字冰冻单颗暂存盒")))),IF(OR(D593="数字盖盒",D593="数字冰冻盒",D593="数字冰冻单颗暂存盒"),AND(H593&gt;=1,H593=INT(H593)),H593=0),IF(B593="开局",AND(IF(OR(D593="数字盖盒",D593="普通冰冻盒",D593="数字冰冻盒",D593="炸弹盒",D593="底部置顶盒"),OR(G593=3,G593=4),TRUE),IF(OR(D593="单向收纳盒",D593="单颗暂存盒",D593="数字冰冻单颗暂存盒"),OR(G593=0,G593=1),TRUE),IF(OR(D593="固定颜色盒",D593="广告锁定周转盒"),G593=0,TRUE)),TRUE)),"通过","需调整")</ns0:f>
        <ns0:v>通过</ns0:v>
      </ns0:c>
      <ns0:c r="P593" s="147" t="str">
        <ns0:v>普通盒</ns0:v>
      </ns0:c>
      <ns0:c r="Q593" s="147" t="str">
        <ns0:v>固定层序见本关首行</ns0:v>
      </ns0:c>
      <ns0:c r="R593" s="150" t="n">
        <ns0:f>E593*H593</ns0:f>
        <ns0:v>0</ns0:v>
      </ns0:c>
    </ns0:row>
    <ns0:row r="594" ht="21" customHeight="1">
      <ns0:c r="A594" s="145" t="n">
        <ns0:v>88</ns0:v>
      </ns0:c>
      <ns0:c r="B594" s="145" t="str">
        <ns0:v>开局</ns0:v>
      </ns0:c>
      <ns0:c r="C594" s="145" t="str">
        <ns0:v>W9-088-04</ns0:v>
      </ns0:c>
      <ns0:c r="D594" s="145" t="str">
        <ns0:v>炸弹盒</ns0:v>
      </ns0:c>
      <ns0:c r="E594" s="152" t="n">
        <ns0:v>1</ns0:v>
      </ns0:c>
      <ns0:c r="F594" s="152" t="n">
        <ns0:v>4</ns0:v>
      </ns0:c>
      <ns0:c r="G594" s="152" t="n">
        <ns0:v>4</ns0:v>
      </ns0:c>
      <ns0:c r="H594" s="152" t="n">
        <ns0:v>0</ns0:v>
      </ns0:c>
      <ns0:c r="I594" s="149" t="n">
        <ns0:f>E594*G594</ns0:f>
        <ns0:v>4</ns0:v>
      </ns0:c>
      <ns0:c r="J594" s="149" t="n">
        <ns0:f>E594*(F594-G594)</ns0:f>
        <ns0:v>0</ns0:v>
      </ns0:c>
      <ns0:c r="K594" s="149" t="n">
        <ns0:f>IF(AND(B594="开局",G594=0,OR(D594="普通盒",D594="单颗暂存盒")),J594,0)</ns0:f>
        <ns0:v>0</ns0:v>
      </ns0:c>
      <ns0:c r="L594" s="149" t="n">
        <ns0:f>IF(AND(B594="开局",G594&gt;0,OR(D594="普通盒",D594="底部置顶盒",D594="炸弹盒")),J594,0)</ns0:f>
        <ns0:v>0</ns0:v>
      </ns0:c>
      <ns0:c r="M594" s="149" t="n">
        <ns0:f>IF(AND(B594="开局",OR(D594="固定颜色盒",D594="单向收纳盒")),J594,0)</ns0:f>
        <ns0:v>0</ns0:v>
      </ns0:c>
      <ns0:c r="N594" s="149" t="n">
        <ns0:f>IF(AND(B594="开局",OR(D594="数字盖盒",D594="普通冰冻盒",D594="数字冰冻盒",D594="数字冰冻单颗暂存盒")),J594,0)</ns0:f>
        <ns0:v>0</ns0:v>
      </ns0:c>
      <ns0:c r="O594" s="145" t="str">
        <ns0:f>IF(AND(E594&gt;0,E594=INT(E594),G594&gt;=0,G594&lt;=F594,G594=INT(G594),OR(AND(F594=1,OR(D594="单颗暂存盒",D594="数字冰冻单颗暂存盒")),AND(F594=4,NOT(OR(D594="单颗暂存盒",D594="数字冰冻单颗暂存盒")))),IF(OR(D594="数字盖盒",D594="数字冰冻盒",D594="数字冰冻单颗暂存盒"),AND(H594&gt;=1,H594=INT(H594)),H594=0),IF(B594="开局",AND(IF(OR(D594="数字盖盒",D594="普通冰冻盒",D594="数字冰冻盒",D594="炸弹盒",D594="底部置顶盒"),OR(G594=3,G594=4),TRUE),IF(OR(D594="单向收纳盒",D594="单颗暂存盒",D594="数字冰冻单颗暂存盒"),OR(G594=0,G594=1),TRUE),IF(OR(D594="固定颜色盒",D594="广告锁定周转盒"),G594=0,TRUE)),TRUE)),"通过","需调整")</ns0:f>
        <ns0:v>通过</ns0:v>
      </ns0:c>
      <ns0:c r="P594" s="145" t="str">
        <ns0:v>炸弹盒</ns0:v>
      </ns0:c>
      <ns0:c r="Q594" s="145" t="str">
        <ns0:v>固定层序见本关首行</ns0:v>
      </ns0:c>
      <ns0:c r="R594" s="149" t="n">
        <ns0:f>E594*H594</ns0:f>
        <ns0:v>0</ns0:v>
      </ns0:c>
    </ns0:row>
    <ns0:row r="595" ht="21" customHeight="1">
      <ns0:c r="A595" s="147" t="n">
        <ns0:v>88</ns0:v>
      </ns0:c>
      <ns0:c r="B595" s="147" t="str">
        <ns0:v>开局</ns0:v>
      </ns0:c>
      <ns0:c r="C595" s="147" t="str">
        <ns0:v>W9-088-05</ns0:v>
      </ns0:c>
      <ns0:c r="D595" s="147" t="str">
        <ns0:v>固定颜色盒</ns0:v>
      </ns0:c>
      <ns0:c r="E595" s="152" t="n">
        <ns0:v>1</ns0:v>
      </ns0:c>
      <ns0:c r="F595" s="152" t="n">
        <ns0:v>4</ns0:v>
      </ns0:c>
      <ns0:c r="G595" s="152" t="n">
        <ns0:v>0</ns0:v>
      </ns0:c>
      <ns0:c r="H595" s="152" t="n">
        <ns0:v>0</ns0:v>
      </ns0:c>
      <ns0:c r="I595" s="150" t="n">
        <ns0:f>E595*G595</ns0:f>
        <ns0:v>0</ns0:v>
      </ns0:c>
      <ns0:c r="J595" s="150" t="n">
        <ns0:f>E595*(F595-G595)</ns0:f>
        <ns0:v>4</ns0:v>
      </ns0:c>
      <ns0:c r="K595" s="150" t="n">
        <ns0:f>IF(AND(B595="开局",G595=0,OR(D595="普通盒",D595="单颗暂存盒")),J595,0)</ns0:f>
        <ns0:v>0</ns0:v>
      </ns0:c>
      <ns0:c r="L595" s="150" t="n">
        <ns0:f>IF(AND(B595="开局",G595&gt;0,OR(D595="普通盒",D595="底部置顶盒",D595="炸弹盒")),J595,0)</ns0:f>
        <ns0:v>0</ns0:v>
      </ns0:c>
      <ns0:c r="M595" s="150" t="n">
        <ns0:f>IF(AND(B595="开局",OR(D595="固定颜色盒",D595="单向收纳盒")),J595,0)</ns0:f>
        <ns0:v>4</ns0:v>
      </ns0:c>
      <ns0:c r="N595" s="150" t="n">
        <ns0:f>IF(AND(B595="开局",OR(D595="数字盖盒",D595="普通冰冻盒",D595="数字冰冻盒",D595="数字冰冻单颗暂存盒")),J595,0)</ns0:f>
        <ns0:v>0</ns0:v>
      </ns0:c>
      <ns0:c r="O595" s="147" t="str">
        <ns0:f>IF(AND(E595&gt;0,E595=INT(E595),G595&gt;=0,G595&lt;=F595,G595=INT(G595),OR(AND(F595=1,OR(D595="单颗暂存盒",D595="数字冰冻单颗暂存盒")),AND(F595=4,NOT(OR(D595="单颗暂存盒",D595="数字冰冻单颗暂存盒")))),IF(OR(D595="数字盖盒",D595="数字冰冻盒",D595="数字冰冻单颗暂存盒"),AND(H595&gt;=1,H595=INT(H595)),H595=0),IF(B595="开局",AND(IF(OR(D595="数字盖盒",D595="普通冰冻盒",D595="数字冰冻盒",D595="炸弹盒",D595="底部置顶盒"),OR(G595=3,G595=4),TRUE),IF(OR(D595="单向收纳盒",D595="单颗暂存盒",D595="数字冰冻单颗暂存盒"),OR(G595=0,G595=1),TRUE),IF(OR(D595="固定颜色盒",D595="广告锁定周转盒"),G595=0,TRUE)),TRUE)),"通过","需调整")</ns0:f>
        <ns0:v>通过</ns0:v>
      </ns0:c>
      <ns0:c r="P595" s="147" t="str">
        <ns0:v>固定颜色盒</ns0:v>
      </ns0:c>
      <ns0:c r="Q595" s="147" t="str">
        <ns0:v>固定层序见本关首行</ns0:v>
      </ns0:c>
      <ns0:c r="R595" s="150" t="n">
        <ns0:f>E595*H595</ns0:f>
        <ns0:v>0</ns0:v>
      </ns0:c>
    </ns0:row>
    <ns0:row r="596" ht="21" customHeight="1">
      <ns0:c r="A596" s="145" t="n">
        <ns0:v>88</ns0:v>
      </ns0:c>
      <ns0:c r="B596" s="145" t="str">
        <ns0:v>开局</ns0:v>
      </ns0:c>
      <ns0:c r="C596" s="145" t="str">
        <ns0:v>W9-088-06</ns0:v>
      </ns0:c>
      <ns0:c r="D596" s="145" t="str">
        <ns0:v>广告锁定周转盒</ns0:v>
      </ns0:c>
      <ns0:c r="E596" s="152" t="n">
        <ns0:v>2</ns0:v>
      </ns0:c>
      <ns0:c r="F596" s="152" t="n">
        <ns0:v>4</ns0:v>
      </ns0:c>
      <ns0:c r="G596" s="152" t="n">
        <ns0:v>0</ns0:v>
      </ns0:c>
      <ns0:c r="H596" s="152" t="n">
        <ns0:v>0</ns0:v>
      </ns0:c>
      <ns0:c r="I596" s="149" t="n">
        <ns0:f>E596*G596</ns0:f>
        <ns0:v>0</ns0:v>
      </ns0:c>
      <ns0:c r="J596" s="149" t="n">
        <ns0:f>E596*(F596-G596)</ns0:f>
        <ns0:v>8</ns0:v>
      </ns0:c>
      <ns0:c r="K596" s="149" t="n">
        <ns0:f>IF(AND(B596="开局",G596=0,OR(D596="普通盒",D596="单颗暂存盒")),J596,0)</ns0:f>
        <ns0:v>0</ns0:v>
      </ns0:c>
      <ns0:c r="L596" s="149" t="n">
        <ns0:f>IF(AND(B596="开局",G596&gt;0,OR(D596="普通盒",D596="底部置顶盒",D596="炸弹盒")),J596,0)</ns0:f>
        <ns0:v>0</ns0:v>
      </ns0:c>
      <ns0:c r="M596" s="149" t="n">
        <ns0:f>IF(AND(B596="开局",OR(D596="固定颜色盒",D596="单向收纳盒")),J596,0)</ns0:f>
        <ns0:v>0</ns0:v>
      </ns0:c>
      <ns0:c r="N596" s="149" t="n">
        <ns0:f>IF(AND(B596="开局",OR(D596="数字盖盒",D596="普通冰冻盒",D596="数字冰冻盒",D596="数字冰冻单颗暂存盒")),J596,0)</ns0:f>
        <ns0:v>0</ns0:v>
      </ns0:c>
      <ns0:c r="O596" s="145" t="str">
        <ns0:f>IF(AND(E596&gt;0,E596=INT(E596),G596&gt;=0,G596&lt;=F596,G596=INT(G596),OR(AND(F596=1,OR(D596="单颗暂存盒",D596="数字冰冻单颗暂存盒")),AND(F596=4,NOT(OR(D596="单颗暂存盒",D596="数字冰冻单颗暂存盒")))),IF(OR(D596="数字盖盒",D596="数字冰冻盒",D596="数字冰冻单颗暂存盒"),AND(H596&gt;=1,H596=INT(H596)),H596=0),IF(B596="开局",AND(IF(OR(D596="数字盖盒",D596="普通冰冻盒",D596="数字冰冻盒",D596="炸弹盒",D596="底部置顶盒"),OR(G596=3,G596=4),TRUE),IF(OR(D596="单向收纳盒",D596="单颗暂存盒",D596="数字冰冻单颗暂存盒"),OR(G596=0,G596=1),TRUE),IF(OR(D596="固定颜色盒",D596="广告锁定周转盒"),G596=0,TRUE)),TRUE)),"通过","需调整")</ns0:f>
        <ns0:v>通过</ns0:v>
      </ns0:c>
      <ns0:c r="P596" s="145" t="str">
        <ns0:v>双广告锁位</ns0:v>
      </ns0:c>
      <ns0:c r="Q596" s="145" t="str">
        <ns0:v>固定层序见本关首行</ns0:v>
      </ns0:c>
      <ns0:c r="R596" s="149" t="n">
        <ns0:f>E596*H596</ns0:f>
        <ns0:v>0</ns0:v>
      </ns0:c>
    </ns0:row>
    <ns0:row r="597" ht="21" customHeight="1">
      <ns0:c r="A597" s="147" t="n">
        <ns0:v>89</ns0:v>
      </ns0:c>
      <ns0:c r="B597" s="147" t="str">
        <ns0:v>开局</ns0:v>
      </ns0:c>
      <ns0:c r="C597" s="147" t="str">
        <ns0:v>W9-089-01</ns0:v>
      </ns0:c>
      <ns0:c r="D597" s="147" t="str">
        <ns0:v>普通盒</ns0:v>
      </ns0:c>
      <ns0:c r="E597" s="152" t="n">
        <ns0:v>11</ns0:v>
      </ns0:c>
      <ns0:c r="F597" s="152" t="n">
        <ns0:v>4</ns0:v>
      </ns0:c>
      <ns0:c r="G597" s="152" t="n">
        <ns0:v>4</ns0:v>
      </ns0:c>
      <ns0:c r="H597" s="152" t="n">
        <ns0:v>0</ns0:v>
      </ns0:c>
      <ns0:c r="I597" s="150" t="n">
        <ns0:f>E597*G597</ns0:f>
        <ns0:v>44</ns0:v>
      </ns0:c>
      <ns0:c r="J597" s="150" t="n">
        <ns0:f>E597*(F597-G597)</ns0:f>
        <ns0:v>0</ns0:v>
      </ns0:c>
      <ns0:c r="K597" s="150" t="n">
        <ns0:f>IF(AND(B597="开局",G597=0,OR(D597="普通盒",D597="单颗暂存盒")),J597,0)</ns0:f>
        <ns0:v>0</ns0:v>
      </ns0:c>
      <ns0:c r="L597" s="150" t="n">
        <ns0:f>IF(AND(B597="开局",G597&gt;0,OR(D597="普通盒",D597="底部置顶盒",D597="炸弹盒")),J597,0)</ns0:f>
        <ns0:v>0</ns0:v>
      </ns0:c>
      <ns0:c r="M597" s="150" t="n">
        <ns0:f>IF(AND(B597="开局",OR(D597="固定颜色盒",D597="单向收纳盒")),J597,0)</ns0:f>
        <ns0:v>0</ns0:v>
      </ns0:c>
      <ns0:c r="N597" s="150" t="n">
        <ns0:f>IF(AND(B597="开局",OR(D597="数字盖盒",D597="普通冰冻盒",D597="数字冰冻盒",D597="数字冰冻单颗暂存盒")),J597,0)</ns0:f>
        <ns0:v>0</ns0:v>
      </ns0:c>
      <ns0:c r="O597" s="147" t="str">
        <ns0:f>IF(AND(E597&gt;0,E597=INT(E597),G597&gt;=0,G597&lt;=F597,G597=INT(G597),OR(AND(F597=1,OR(D597="单颗暂存盒",D597="数字冰冻单颗暂存盒")),AND(F597=4,NOT(OR(D597="单颗暂存盒",D597="数字冰冻单颗暂存盒")))),IF(OR(D597="数字盖盒",D597="数字冰冻盒",D597="数字冰冻单颗暂存盒"),AND(H597&gt;=1,H597=INT(H597)),H597=0),IF(B597="开局",AND(IF(OR(D597="数字盖盒",D597="普通冰冻盒",D597="数字冰冻盒",D597="炸弹盒",D597="底部置顶盒"),OR(G597=3,G597=4),TRUE),IF(OR(D597="单向收纳盒",D597="单颗暂存盒",D597="数字冰冻单颗暂存盒"),OR(G597=0,G597=1),TRUE),IF(OR(D597="固定颜色盒",D597="广告锁定周转盒"),G597=0,TRUE)),TRUE)),"通过","需调整")</ns0:f>
        <ns0:v>通过</ns0:v>
      </ns0:c>
      <ns0:c r="P597" s="147" t="str">
        <ns0:v>普通盒</ns0:v>
      </ns0:c>
      <ns0:c r="Q597" s="147" t="str">
        <ns0:v>层序JSON:{"reference":"2026-10-12 第81至90关炸弹学习与缓和节奏；固定层序、明牌拆弹材料与组合机关","slots":[{"group_id":"W9-089-01","layers":[12,4,6,8]},{"group_id":"W9-089-01","layers":[12,2,6,6]},{"group_id":"W9-089-02","layers":[3,3,4]},{"group_id":"W9-089-01","layers":[12,8,5,8]},{"group_id":"W9-089-01","layers":[0,12,2,5]},{"group_id":"W9-089-04","layers":[5,0,5,2],"bomb_seconds":150},{"group_id":"W9-089-03","layers":[5]},{"group_id":"W9-089-01","layers":[2,8,2,3]},{"group_id":"W9-089-01","layers":[6,3,8,0]},{"group_id":"W9-089-01","layers":[0,0,6,4]},{"group_id":"W9-089-01","layers":[3,0,12,0]},{"group_id":"W9-089-05","layers":[2,4,8,3]},{"group_id":"W9-089-01","layers":[5,6,6,3],"hidden":[1,2,3]},{"group_id":"W9-089-01","layers":[3,5,8,12]},{"group_id":"W9-089-01","layers":[4,8,12,0]},{"group_id":"W9-089-06","layers":[]}],"stock":[{"group_id":"W9-089-08","layers":[4,4,6,12]},{"group_id":"W9-089-08","layers":[2,5,4,2]}],"demand_sequences":[[5,2,0,8,12,0,5,6],[3,4,6,3,12,2,8,4]]}</ns0:v>
      </ns0:c>
      <ns0:c r="R597" s="150" t="n">
        <ns0:f>E597*H597</ns0:f>
        <ns0:v>0</ns0:v>
      </ns0:c>
    </ns0:row>
    <ns0:row r="598" ht="21" customHeight="1">
      <ns0:c r="A598" s="145" t="n">
        <ns0:v>89</ns0:v>
      </ns0:c>
      <ns0:c r="B598" s="145" t="str">
        <ns0:v>开局</ns0:v>
      </ns0:c>
      <ns0:c r="C598" s="145" t="str">
        <ns0:v>W9-089-02</ns0:v>
      </ns0:c>
      <ns0:c r="D598" s="145" t="str">
        <ns0:v>普通盒</ns0:v>
      </ns0:c>
      <ns0:c r="E598" s="152" t="n">
        <ns0:v>1</ns0:v>
      </ns0:c>
      <ns0:c r="F598" s="152" t="n">
        <ns0:v>4</ns0:v>
      </ns0:c>
      <ns0:c r="G598" s="152" t="n">
        <ns0:v>3</ns0:v>
      </ns0:c>
      <ns0:c r="H598" s="152" t="n">
        <ns0:v>0</ns0:v>
      </ns0:c>
      <ns0:c r="I598" s="149" t="n">
        <ns0:f>E598*G598</ns0:f>
        <ns0:v>3</ns0:v>
      </ns0:c>
      <ns0:c r="J598" s="149" t="n">
        <ns0:f>E598*(F598-G598)</ns0:f>
        <ns0:v>1</ns0:v>
      </ns0:c>
      <ns0:c r="K598" s="149" t="n">
        <ns0:f>IF(AND(B598="开局",G598=0,OR(D598="普通盒",D598="单颗暂存盒")),J598,0)</ns0:f>
        <ns0:v>0</ns0:v>
      </ns0:c>
      <ns0:c r="L598" s="149" t="n">
        <ns0:f>IF(AND(B598="开局",G598&gt;0,OR(D598="普通盒",D598="底部置顶盒",D598="炸弹盒")),J598,0)</ns0:f>
        <ns0:v>1</ns0:v>
      </ns0:c>
      <ns0:c r="M598" s="149" t="n">
        <ns0:f>IF(AND(B598="开局",OR(D598="固定颜色盒",D598="单向收纳盒")),J598,0)</ns0:f>
        <ns0:v>0</ns0:v>
      </ns0:c>
      <ns0:c r="N598" s="149" t="n">
        <ns0:f>IF(AND(B598="开局",OR(D598="数字盖盒",D598="普通冰冻盒",D598="数字冰冻盒",D598="数字冰冻单颗暂存盒")),J598,0)</ns0:f>
        <ns0:v>0</ns0:v>
      </ns0:c>
      <ns0:c r="O598" s="145" t="str">
        <ns0:f>IF(AND(E598&gt;0,E598=INT(E598),G598&gt;=0,G598&lt;=F598,G598=INT(G598),OR(AND(F598=1,OR(D598="单颗暂存盒",D598="数字冰冻单颗暂存盒")),AND(F598=4,NOT(OR(D598="单颗暂存盒",D598="数字冰冻单颗暂存盒")))),IF(OR(D598="数字盖盒",D598="数字冰冻盒",D598="数字冰冻单颗暂存盒"),AND(H598&gt;=1,H598=INT(H598)),H598=0),IF(B598="开局",AND(IF(OR(D598="数字盖盒",D598="普通冰冻盒",D598="数字冰冻盒",D598="炸弹盒",D598="底部置顶盒"),OR(G598=3,G598=4),TRUE),IF(OR(D598="单向收纳盒",D598="单颗暂存盒",D598="数字冰冻单颗暂存盒"),OR(G598=0,G598=1),TRUE),IF(OR(D598="固定颜色盒",D598="广告锁定周转盒"),G598=0,TRUE)),TRUE)),"通过","需调整")</ns0:f>
        <ns0:v>通过</ns0:v>
      </ns0:c>
      <ns0:c r="P598" s="145" t="str">
        <ns0:v>普通盒</ns0:v>
      </ns0:c>
      <ns0:c r="Q598" s="145" t="str">
        <ns0:v>固定层序见本关首行</ns0:v>
      </ns0:c>
      <ns0:c r="R598" s="149" t="n">
        <ns0:f>E598*H598</ns0:f>
        <ns0:v>0</ns0:v>
      </ns0:c>
    </ns0:row>
    <ns0:row r="599" ht="21" customHeight="1">
      <ns0:c r="A599" s="147" t="n">
        <ns0:v>89</ns0:v>
      </ns0:c>
      <ns0:c r="B599" s="147" t="str">
        <ns0:v>开局</ns0:v>
      </ns0:c>
      <ns0:c r="C599" s="147" t="str">
        <ns0:v>W9-089-03</ns0:v>
      </ns0:c>
      <ns0:c r="D599" s="147" t="str">
        <ns0:v>普通盒</ns0:v>
      </ns0:c>
      <ns0:c r="E599" s="152" t="n">
        <ns0:v>1</ns0:v>
      </ns0:c>
      <ns0:c r="F599" s="152" t="n">
        <ns0:v>4</ns0:v>
      </ns0:c>
      <ns0:c r="G599" s="152" t="n">
        <ns0:v>1</ns0:v>
      </ns0:c>
      <ns0:c r="H599" s="152" t="n">
        <ns0:v>0</ns0:v>
      </ns0:c>
      <ns0:c r="I599" s="150" t="n">
        <ns0:f>E599*G599</ns0:f>
        <ns0:v>1</ns0:v>
      </ns0:c>
      <ns0:c r="J599" s="150" t="n">
        <ns0:f>E599*(F599-G599)</ns0:f>
        <ns0:v>3</ns0:v>
      </ns0:c>
      <ns0:c r="K599" s="150" t="n">
        <ns0:f>IF(AND(B599="开局",G599=0,OR(D599="普通盒",D599="单颗暂存盒")),J599,0)</ns0:f>
        <ns0:v>0</ns0:v>
      </ns0:c>
      <ns0:c r="L599" s="150" t="n">
        <ns0:f>IF(AND(B599="开局",G599&gt;0,OR(D599="普通盒",D599="底部置顶盒",D599="炸弹盒")),J599,0)</ns0:f>
        <ns0:v>3</ns0:v>
      </ns0:c>
      <ns0:c r="M599" s="150" t="n">
        <ns0:f>IF(AND(B599="开局",OR(D599="固定颜色盒",D599="单向收纳盒")),J599,0)</ns0:f>
        <ns0:v>0</ns0:v>
      </ns0:c>
      <ns0:c r="N599" s="150" t="n">
        <ns0:f>IF(AND(B599="开局",OR(D599="数字盖盒",D599="普通冰冻盒",D599="数字冰冻盒",D599="数字冰冻单颗暂存盒")),J599,0)</ns0:f>
        <ns0:v>0</ns0:v>
      </ns0:c>
      <ns0:c r="O599" s="147" t="str">
        <ns0:f>IF(AND(E599&gt;0,E599=INT(E599),G599&gt;=0,G599&lt;=F599,G599=INT(G599),OR(AND(F599=1,OR(D599="单颗暂存盒",D599="数字冰冻单颗暂存盒")),AND(F599=4,NOT(OR(D599="单颗暂存盒",D599="数字冰冻单颗暂存盒")))),IF(OR(D599="数字盖盒",D599="数字冰冻盒",D599="数字冰冻单颗暂存盒"),AND(H599&gt;=1,H599=INT(H599)),H599=0),IF(B599="开局",AND(IF(OR(D599="数字盖盒",D599="普通冰冻盒",D599="数字冰冻盒",D599="炸弹盒",D599="底部置顶盒"),OR(G599=3,G599=4),TRUE),IF(OR(D599="单向收纳盒",D599="单颗暂存盒",D599="数字冰冻单颗暂存盒"),OR(G599=0,G599=1),TRUE),IF(OR(D599="固定颜色盒",D599="广告锁定周转盒"),G599=0,TRUE)),TRUE)),"通过","需调整")</ns0:f>
        <ns0:v>通过</ns0:v>
      </ns0:c>
      <ns0:c r="P599" s="147" t="str">
        <ns0:v>普通盒</ns0:v>
      </ns0:c>
      <ns0:c r="Q599" s="147" t="str">
        <ns0:v>固定层序见本关首行</ns0:v>
      </ns0:c>
      <ns0:c r="R599" s="150" t="n">
        <ns0:f>E599*H599</ns0:f>
        <ns0:v>0</ns0:v>
      </ns0:c>
    </ns0:row>
    <ns0:row r="600" ht="21" customHeight="1">
      <ns0:c r="A600" s="145" t="n">
        <ns0:v>89</ns0:v>
      </ns0:c>
      <ns0:c r="B600" s="145" t="str">
        <ns0:v>开局</ns0:v>
      </ns0:c>
      <ns0:c r="C600" s="145" t="str">
        <ns0:v>W9-089-04</ns0:v>
      </ns0:c>
      <ns0:c r="D600" s="145" t="str">
        <ns0:v>炸弹盒</ns0:v>
      </ns0:c>
      <ns0:c r="E600" s="152" t="n">
        <ns0:v>1</ns0:v>
      </ns0:c>
      <ns0:c r="F600" s="152" t="n">
        <ns0:v>4</ns0:v>
      </ns0:c>
      <ns0:c r="G600" s="152" t="n">
        <ns0:v>4</ns0:v>
      </ns0:c>
      <ns0:c r="H600" s="152" t="n">
        <ns0:v>0</ns0:v>
      </ns0:c>
      <ns0:c r="I600" s="149" t="n">
        <ns0:f>E600*G600</ns0:f>
        <ns0:v>4</ns0:v>
      </ns0:c>
      <ns0:c r="J600" s="149" t="n">
        <ns0:f>E600*(F600-G600)</ns0:f>
        <ns0:v>0</ns0:v>
      </ns0:c>
      <ns0:c r="K600" s="149" t="n">
        <ns0:f>IF(AND(B600="开局",G600=0,OR(D600="普通盒",D600="单颗暂存盒")),J600,0)</ns0:f>
        <ns0:v>0</ns0:v>
      </ns0:c>
      <ns0:c r="L600" s="149" t="n">
        <ns0:f>IF(AND(B600="开局",G600&gt;0,OR(D600="普通盒",D600="底部置顶盒",D600="炸弹盒")),J600,0)</ns0:f>
        <ns0:v>0</ns0:v>
      </ns0:c>
      <ns0:c r="M600" s="149" t="n">
        <ns0:f>IF(AND(B600="开局",OR(D600="固定颜色盒",D600="单向收纳盒")),J600,0)</ns0:f>
        <ns0:v>0</ns0:v>
      </ns0:c>
      <ns0:c r="N600" s="149" t="n">
        <ns0:f>IF(AND(B600="开局",OR(D600="数字盖盒",D600="普通冰冻盒",D600="数字冰冻盒",D600="数字冰冻单颗暂存盒")),J600,0)</ns0:f>
        <ns0:v>0</ns0:v>
      </ns0:c>
      <ns0:c r="O600" s="145" t="str">
        <ns0:f>IF(AND(E600&gt;0,E600=INT(E600),G600&gt;=0,G600&lt;=F600,G600=INT(G600),OR(AND(F600=1,OR(D600="单颗暂存盒",D600="数字冰冻单颗暂存盒")),AND(F600=4,NOT(OR(D600="单颗暂存盒",D600="数字冰冻单颗暂存盒")))),IF(OR(D600="数字盖盒",D600="数字冰冻盒",D600="数字冰冻单颗暂存盒"),AND(H600&gt;=1,H600=INT(H600)),H600=0),IF(B600="开局",AND(IF(OR(D600="数字盖盒",D600="普通冰冻盒",D600="数字冰冻盒",D600="炸弹盒",D600="底部置顶盒"),OR(G600=3,G600=4),TRUE),IF(OR(D600="单向收纳盒",D600="单颗暂存盒",D600="数字冰冻单颗暂存盒"),OR(G600=0,G600=1),TRUE),IF(OR(D600="固定颜色盒",D600="广告锁定周转盒"),G600=0,TRUE)),TRUE)),"通过","需调整")</ns0:f>
        <ns0:v>通过</ns0:v>
      </ns0:c>
      <ns0:c r="P600" s="145" t="str">
        <ns0:v>炸弹盒</ns0:v>
      </ns0:c>
      <ns0:c r="Q600" s="145" t="str">
        <ns0:v>固定层序见本关首行</ns0:v>
      </ns0:c>
      <ns0:c r="R600" s="149" t="n">
        <ns0:f>E600*H600</ns0:f>
        <ns0:v>0</ns0:v>
      </ns0:c>
    </ns0:row>
    <ns0:row r="601" ht="21" customHeight="1">
      <ns0:c r="A601" s="147" t="n">
        <ns0:v>89</ns0:v>
      </ns0:c>
      <ns0:c r="B601" s="147" t="str">
        <ns0:v>开局</ns0:v>
      </ns0:c>
      <ns0:c r="C601" s="147" t="str">
        <ns0:v>W9-089-05</ns0:v>
      </ns0:c>
      <ns0:c r="D601" s="147" t="str">
        <ns0:v>数字冰冻盒</ns0:v>
      </ns0:c>
      <ns0:c r="E601" s="152" t="n">
        <ns0:v>1</ns0:v>
      </ns0:c>
      <ns0:c r="F601" s="152" t="n">
        <ns0:v>4</ns0:v>
      </ns0:c>
      <ns0:c r="G601" s="152" t="n">
        <ns0:v>4</ns0:v>
      </ns0:c>
      <ns0:c r="H601" s="152" t="n">
        <ns0:v>2</ns0:v>
      </ns0:c>
      <ns0:c r="I601" s="150" t="n">
        <ns0:f>E601*G601</ns0:f>
        <ns0:v>4</ns0:v>
      </ns0:c>
      <ns0:c r="J601" s="150" t="n">
        <ns0:f>E601*(F601-G601)</ns0:f>
        <ns0:v>0</ns0:v>
      </ns0:c>
      <ns0:c r="K601" s="150" t="n">
        <ns0:f>IF(AND(B601="开局",G601=0,OR(D601="普通盒",D601="单颗暂存盒")),J601,0)</ns0:f>
        <ns0:v>0</ns0:v>
      </ns0:c>
      <ns0:c r="L601" s="150" t="n">
        <ns0:f>IF(AND(B601="开局",G601&gt;0,OR(D601="普通盒",D601="底部置顶盒",D601="炸弹盒")),J601,0)</ns0:f>
        <ns0:v>0</ns0:v>
      </ns0:c>
      <ns0:c r="M601" s="150" t="n">
        <ns0:f>IF(AND(B601="开局",OR(D601="固定颜色盒",D601="单向收纳盒")),J601,0)</ns0:f>
        <ns0:v>0</ns0:v>
      </ns0:c>
      <ns0:c r="N601" s="150" t="n">
        <ns0:f>IF(AND(B601="开局",OR(D601="数字盖盒",D601="普通冰冻盒",D601="数字冰冻盒",D601="数字冰冻单颗暂存盒")),J601,0)</ns0:f>
        <ns0:v>0</ns0:v>
      </ns0:c>
      <ns0:c r="O601" s="147" t="str">
        <ns0:f>IF(AND(E601&gt;0,E601=INT(E601),G601&gt;=0,G601&lt;=F601,G601=INT(G601),OR(AND(F601=1,OR(D601="单颗暂存盒",D601="数字冰冻单颗暂存盒")),AND(F601=4,NOT(OR(D601="单颗暂存盒",D601="数字冰冻单颗暂存盒")))),IF(OR(D601="数字盖盒",D601="数字冰冻盒",D601="数字冰冻单颗暂存盒"),AND(H601&gt;=1,H601=INT(H601)),H601=0),IF(B601="开局",AND(IF(OR(D601="数字盖盒",D601="普通冰冻盒",D601="数字冰冻盒",D601="炸弹盒",D601="底部置顶盒"),OR(G601=3,G601=4),TRUE),IF(OR(D601="单向收纳盒",D601="单颗暂存盒",D601="数字冰冻单颗暂存盒"),OR(G601=0,G601=1),TRUE),IF(OR(D601="固定颜色盒",D601="广告锁定周转盒"),G601=0,TRUE)),TRUE)),"通过","需调整")</ns0:f>
        <ns0:v>通过</ns0:v>
      </ns0:c>
      <ns0:c r="P601" s="147" t="str">
        <ns0:v>数字冰冻盒</ns0:v>
      </ns0:c>
      <ns0:c r="Q601" s="147" t="str">
        <ns0:v>固定层序见本关首行</ns0:v>
      </ns0:c>
      <ns0:c r="R601" s="150" t="n">
        <ns0:f>E601*H601</ns0:f>
        <ns0:v>2</ns0:v>
      </ns0:c>
    </ns0:row>
    <ns0:row r="602" ht="21" customHeight="1">
      <ns0:c r="A602" s="145" t="n">
        <ns0:v>89</ns0:v>
      </ns0:c>
      <ns0:c r="B602" s="145" t="str">
        <ns0:v>开局</ns0:v>
      </ns0:c>
      <ns0:c r="C602" s="145" t="str">
        <ns0:v>W9-089-06</ns0:v>
      </ns0:c>
      <ns0:c r="D602" s="145" t="str">
        <ns0:v>单颗暂存盒</ns0:v>
      </ns0:c>
      <ns0:c r="E602" s="152" t="n">
        <ns0:v>1</ns0:v>
      </ns0:c>
      <ns0:c r="F602" s="152" t="n">
        <ns0:v>1</ns0:v>
      </ns0:c>
      <ns0:c r="G602" s="152" t="n">
        <ns0:v>0</ns0:v>
      </ns0:c>
      <ns0:c r="H602" s="152" t="n">
        <ns0:v>0</ns0:v>
      </ns0:c>
      <ns0:c r="I602" s="149" t="n">
        <ns0:f>E602*G602</ns0:f>
        <ns0:v>0</ns0:v>
      </ns0:c>
      <ns0:c r="J602" s="149" t="n">
        <ns0:f>E602*(F602-G602)</ns0:f>
        <ns0:v>1</ns0:v>
      </ns0:c>
      <ns0:c r="K602" s="149" t="n">
        <ns0:f>IF(AND(B602="开局",G602=0,OR(D602="普通盒",D602="单颗暂存盒")),J602,0)</ns0:f>
        <ns0:v>1</ns0:v>
      </ns0:c>
      <ns0:c r="L602" s="149" t="n">
        <ns0:f>IF(AND(B602="开局",G602&gt;0,OR(D602="普通盒",D602="底部置顶盒",D602="炸弹盒")),J602,0)</ns0:f>
        <ns0:v>0</ns0:v>
      </ns0:c>
      <ns0:c r="M602" s="149" t="n">
        <ns0:f>IF(AND(B602="开局",OR(D602="固定颜色盒",D602="单向收纳盒")),J602,0)</ns0:f>
        <ns0:v>0</ns0:v>
      </ns0:c>
      <ns0:c r="N602" s="149" t="n">
        <ns0:f>IF(AND(B602="开局",OR(D602="数字盖盒",D602="普通冰冻盒",D602="数字冰冻盒",D602="数字冰冻单颗暂存盒")),J602,0)</ns0:f>
        <ns0:v>0</ns0:v>
      </ns0:c>
      <ns0:c r="O602" s="145" t="str">
        <ns0:f>IF(AND(E602&gt;0,E602=INT(E602),G602&gt;=0,G602&lt;=F602,G602=INT(G602),OR(AND(F602=1,OR(D602="单颗暂存盒",D602="数字冰冻单颗暂存盒")),AND(F602=4,NOT(OR(D602="单颗暂存盒",D602="数字冰冻单颗暂存盒")))),IF(OR(D602="数字盖盒",D602="数字冰冻盒",D602="数字冰冻单颗暂存盒"),AND(H602&gt;=1,H602=INT(H602)),H602=0),IF(B602="开局",AND(IF(OR(D602="数字盖盒",D602="普通冰冻盒",D602="数字冰冻盒",D602="炸弹盒",D602="底部置顶盒"),OR(G602=3,G602=4),TRUE),IF(OR(D602="单向收纳盒",D602="单颗暂存盒",D602="数字冰冻单颗暂存盒"),OR(G602=0,G602=1),TRUE),IF(OR(D602="固定颜色盒",D602="广告锁定周转盒"),G602=0,TRUE)),TRUE)),"通过","需调整")</ns0:f>
        <ns0:v>通过</ns0:v>
      </ns0:c>
      <ns0:c r="P602" s="145" t="str">
        <ns0:v>单颗暂存盒</ns0:v>
      </ns0:c>
      <ns0:c r="Q602" s="145" t="str">
        <ns0:v>固定层序见本关首行</ns0:v>
      </ns0:c>
      <ns0:c r="R602" s="149" t="n">
        <ns0:f>E602*H602</ns0:f>
        <ns0:v>0</ns0:v>
      </ns0:c>
    </ns0:row>
    <ns0:row r="603" ht="21" customHeight="1">
      <ns0:c r="A603" s="147" t="n">
        <ns0:v>89</ns0:v>
      </ns0:c>
      <ns0:c r="B603" s="147" t="str">
        <ns0:v>开局</ns0:v>
      </ns0:c>
      <ns0:c r="C603" s="147" t="str">
        <ns0:v>W9-089-07</ns0:v>
      </ns0:c>
      <ns0:c r="D603" s="147" t="str">
        <ns0:v>广告锁定周转盒</ns0:v>
      </ns0:c>
      <ns0:c r="E603" s="152" t="n">
        <ns0:v>2</ns0:v>
      </ns0:c>
      <ns0:c r="F603" s="152" t="n">
        <ns0:v>4</ns0:v>
      </ns0:c>
      <ns0:c r="G603" s="152" t="n">
        <ns0:v>0</ns0:v>
      </ns0:c>
      <ns0:c r="H603" s="152" t="n">
        <ns0:v>0</ns0:v>
      </ns0:c>
      <ns0:c r="I603" s="150" t="n">
        <ns0:f>E603*G603</ns0:f>
        <ns0:v>0</ns0:v>
      </ns0:c>
      <ns0:c r="J603" s="150" t="n">
        <ns0:f>E603*(F603-G603)</ns0:f>
        <ns0:v>8</ns0:v>
      </ns0:c>
      <ns0:c r="K603" s="150" t="n">
        <ns0:f>IF(AND(B603="开局",G603=0,OR(D603="普通盒",D603="单颗暂存盒")),J603,0)</ns0:f>
        <ns0:v>0</ns0:v>
      </ns0:c>
      <ns0:c r="L603" s="150" t="n">
        <ns0:f>IF(AND(B603="开局",G603&gt;0,OR(D603="普通盒",D603="底部置顶盒",D603="炸弹盒")),J603,0)</ns0:f>
        <ns0:v>0</ns0:v>
      </ns0:c>
      <ns0:c r="M603" s="150" t="n">
        <ns0:f>IF(AND(B603="开局",OR(D603="固定颜色盒",D603="单向收纳盒")),J603,0)</ns0:f>
        <ns0:v>0</ns0:v>
      </ns0:c>
      <ns0:c r="N603" s="150" t="n">
        <ns0:f>IF(AND(B603="开局",OR(D603="数字盖盒",D603="普通冰冻盒",D603="数字冰冻盒",D603="数字冰冻单颗暂存盒")),J603,0)</ns0:f>
        <ns0:v>0</ns0:v>
      </ns0:c>
      <ns0:c r="O603" s="147" t="str">
        <ns0:f>IF(AND(E603&gt;0,E603=INT(E603),G603&gt;=0,G603&lt;=F603,G603=INT(G603),OR(AND(F603=1,OR(D603="单颗暂存盒",D603="数字冰冻单颗暂存盒")),AND(F603=4,NOT(OR(D603="单颗暂存盒",D603="数字冰冻单颗暂存盒")))),IF(OR(D603="数字盖盒",D603="数字冰冻盒",D603="数字冰冻单颗暂存盒"),AND(H603&gt;=1,H603=INT(H603)),H603=0),IF(B603="开局",AND(IF(OR(D603="数字盖盒",D603="普通冰冻盒",D603="数字冰冻盒",D603="炸弹盒",D603="底部置顶盒"),OR(G603=3,G603=4),TRUE),IF(OR(D603="单向收纳盒",D603="单颗暂存盒",D603="数字冰冻单颗暂存盒"),OR(G603=0,G603=1),TRUE),IF(OR(D603="固定颜色盒",D603="广告锁定周转盒"),G603=0,TRUE)),TRUE)),"通过","需调整")</ns0:f>
        <ns0:v>通过</ns0:v>
      </ns0:c>
      <ns0:c r="P603" s="147" t="str">
        <ns0:v>双广告锁位</ns0:v>
      </ns0:c>
      <ns0:c r="Q603" s="147" t="str">
        <ns0:v>固定层序见本关首行</ns0:v>
      </ns0:c>
      <ns0:c r="R603" s="150" t="n">
        <ns0:f>E603*H603</ns0:f>
        <ns0:v>0</ns0:v>
      </ns0:c>
    </ns0:row>
    <ns0:row r="604" ht="21" customHeight="1">
      <ns0:c r="A604" s="145" t="n">
        <ns0:v>89</ns0:v>
      </ns0:c>
      <ns0:c r="B604" s="145" t="str">
        <ns0:v>备货</ns0:v>
      </ns0:c>
      <ns0:c r="C604" s="145" t="str">
        <ns0:v>W9-089-08</ns0:v>
      </ns0:c>
      <ns0:c r="D604" s="145" t="str">
        <ns0:v>普通盒</ns0:v>
      </ns0:c>
      <ns0:c r="E604" s="152" t="n">
        <ns0:v>2</ns0:v>
      </ns0:c>
      <ns0:c r="F604" s="152" t="n">
        <ns0:v>4</ns0:v>
      </ns0:c>
      <ns0:c r="G604" s="152" t="n">
        <ns0:v>4</ns0:v>
      </ns0:c>
      <ns0:c r="H604" s="152" t="n">
        <ns0:v>0</ns0:v>
      </ns0:c>
      <ns0:c r="I604" s="149" t="n">
        <ns0:f>E604*G604</ns0:f>
        <ns0:v>8</ns0:v>
      </ns0:c>
      <ns0:c r="J604" s="149" t="n">
        <ns0:f>E604*(F604-G604)</ns0:f>
        <ns0:v>0</ns0:v>
      </ns0:c>
      <ns0:c r="K604" s="149" t="n">
        <ns0:f>IF(AND(B604="开局",G604=0,OR(D604="普通盒",D604="单颗暂存盒")),J604,0)</ns0:f>
        <ns0:v>0</ns0:v>
      </ns0:c>
      <ns0:c r="L604" s="149" t="n">
        <ns0:f>IF(AND(B604="开局",G604&gt;0,OR(D604="普通盒",D604="底部置顶盒",D604="炸弹盒")),J604,0)</ns0:f>
        <ns0:v>0</ns0:v>
      </ns0:c>
      <ns0:c r="M604" s="149" t="n">
        <ns0:f>IF(AND(B604="开局",OR(D604="固定颜色盒",D604="单向收纳盒")),J604,0)</ns0:f>
        <ns0:v>0</ns0:v>
      </ns0:c>
      <ns0:c r="N604" s="149" t="n">
        <ns0:f>IF(AND(B604="开局",OR(D604="数字盖盒",D604="普通冰冻盒",D604="数字冰冻盒",D604="数字冰冻单颗暂存盒")),J604,0)</ns0:f>
        <ns0:v>0</ns0:v>
      </ns0:c>
      <ns0:c r="O604" s="145" t="str">
        <ns0:f>IF(AND(E604&gt;0,E604=INT(E604),G604&gt;=0,G604&lt;=F604,G604=INT(G604),OR(AND(F604=1,OR(D604="单颗暂存盒",D604="数字冰冻单颗暂存盒")),AND(F604=4,NOT(OR(D604="单颗暂存盒",D604="数字冰冻单颗暂存盒")))),IF(OR(D604="数字盖盒",D604="数字冰冻盒",D604="数字冰冻单颗暂存盒"),AND(H604&gt;=1,H604=INT(H604)),H604=0),IF(B604="开局",AND(IF(OR(D604="数字盖盒",D604="普通冰冻盒",D604="数字冰冻盒",D604="炸弹盒",D604="底部置顶盒"),OR(G604=3,G604=4),TRUE),IF(OR(D604="单向收纳盒",D604="单颗暂存盒",D604="数字冰冻单颗暂存盒"),OR(G604=0,G604=1),TRUE),IF(OR(D604="固定颜色盒",D604="广告锁定周转盒"),G604=0,TRUE)),TRUE)),"通过","需调整")</ns0:f>
        <ns0:v>通过</ns0:v>
      </ns0:c>
      <ns0:c r="P604" s="145" t="str">
        <ns0:v>连续侧边补货</ns0:v>
      </ns0:c>
      <ns0:c r="Q604" s="145" t="str">
        <ns0:v>固定层序见本关首行</ns0:v>
      </ns0:c>
      <ns0:c r="R604" s="149" t="n">
        <ns0:f>E604*H604</ns0:f>
        <ns0:v>0</ns0:v>
      </ns0:c>
    </ns0:row>
    <ns0:row r="605" ht="21" customHeight="1">
      <ns0:c r="A605" s="147" t="n">
        <ns0:v>90</ns0:v>
      </ns0:c>
      <ns0:c r="B605" s="147" t="str">
        <ns0:v>开局</ns0:v>
      </ns0:c>
      <ns0:c r="C605" s="147" t="str">
        <ns0:v>W9-090-01</ns0:v>
      </ns0:c>
      <ns0:c r="D605" s="147" t="str">
        <ns0:v>普通盒</ns0:v>
      </ns0:c>
      <ns0:c r="E605" s="152" t="n">
        <ns0:v>12</ns0:v>
      </ns0:c>
      <ns0:c r="F605" s="152" t="n">
        <ns0:v>4</ns0:v>
      </ns0:c>
      <ns0:c r="G605" s="152" t="n">
        <ns0:v>4</ns0:v>
      </ns0:c>
      <ns0:c r="H605" s="152" t="n">
        <ns0:v>0</ns0:v>
      </ns0:c>
      <ns0:c r="I605" s="150" t="n">
        <ns0:f>E605*G605</ns0:f>
        <ns0:v>48</ns0:v>
      </ns0:c>
      <ns0:c r="J605" s="150" t="n">
        <ns0:f>E605*(F605-G605)</ns0:f>
        <ns0:v>0</ns0:v>
      </ns0:c>
      <ns0:c r="K605" s="150" t="n">
        <ns0:f>IF(AND(B605="开局",G605=0,OR(D605="普通盒",D605="单颗暂存盒")),J605,0)</ns0:f>
        <ns0:v>0</ns0:v>
      </ns0:c>
      <ns0:c r="L605" s="150" t="n">
        <ns0:f>IF(AND(B605="开局",G605&gt;0,OR(D605="普通盒",D605="底部置顶盒",D605="炸弹盒")),J605,0)</ns0:f>
        <ns0:v>0</ns0:v>
      </ns0:c>
      <ns0:c r="M605" s="150" t="n">
        <ns0:f>IF(AND(B605="开局",OR(D605="固定颜色盒",D605="单向收纳盒")),J605,0)</ns0:f>
        <ns0:v>0</ns0:v>
      </ns0:c>
      <ns0:c r="N605" s="150" t="n">
        <ns0:f>IF(AND(B605="开局",OR(D605="数字盖盒",D605="普通冰冻盒",D605="数字冰冻盒",D605="数字冰冻单颗暂存盒")),J605,0)</ns0:f>
        <ns0:v>0</ns0:v>
      </ns0:c>
      <ns0:c r="O605" s="147" t="str">
        <ns0:f>IF(AND(E605&gt;0,E605=INT(E605),G605&gt;=0,G605&lt;=F605,G605=INT(G605),OR(AND(F605=1,OR(D605="单颗暂存盒",D605="数字冰冻单颗暂存盒")),AND(F605=4,NOT(OR(D605="单颗暂存盒",D605="数字冰冻单颗暂存盒")))),IF(OR(D605="数字盖盒",D605="数字冰冻盒",D605="数字冰冻单颗暂存盒"),AND(H605&gt;=1,H605=INT(H605)),H605=0),IF(B605="开局",AND(IF(OR(D605="数字盖盒",D605="普通冰冻盒",D605="数字冰冻盒",D605="炸弹盒",D605="底部置顶盒"),OR(G605=3,G605=4),TRUE),IF(OR(D605="单向收纳盒",D605="单颗暂存盒",D605="数字冰冻单颗暂存盒"),OR(G605=0,G605=1),TRUE),IF(OR(D605="固定颜色盒",D605="广告锁定周转盒"),G605=0,TRUE)),TRUE)),"通过","需调整")</ns0:f>
        <ns0:v>通过</ns0:v>
      </ns0:c>
      <ns0:c r="P605" s="147" t="str">
        <ns0:v>普通盒</ns0:v>
      </ns0:c>
      <ns0:c r="Q605" s="147" t="str">
        <ns0:v>层序JSON:{"reference":"2026-10-12 第81至90关炸弹学习与缓和节奏；固定层序、明牌拆弹材料与组合机关","slots":[{"group_id":"W9-090-01","layers":[5,3,6,8]},{"group_id":"W9-090-01","layers":[0,3,0,2]},{"group_id":"W9-090-01","layers":[6,5,8,3]},{"group_id":"W9-090-01","layers":[0,2,3,8]},{"group_id":"W9-090-02","layers":[0,5,4]},{"group_id":"W9-090-01","layers":[8,5,2,3]},{"group_id":"W9-090-01","layers":[4,6,0,5]},{"group_id":"W9-090-01","layers":[4,2,5,2]},{"group_id":"W9-090-01","layers":[4,2,3,3]},{"group_id":"W9-090-05","layers":[5,2,6,0]},{"group_id":"W9-090-03","layers":[2]},{"group_id":"W9-090-01","layers":[8,8,0,6]},{"group_id":"W9-090-01","layers":[6,8,5,0]},{"group_id":"W9-090-01","layers":[4,6,3,4]},{"group_id":"W9-090-01","layers":[6,8,4,4]},{"group_id":"W9-090-06","layers":[],"fixed_flavor":6},{"group_id":"W9-090-04","layers":[]}],"stock":[],"demand_sequences":[[8,6,8,0,3,4,5],[4,3,2,6,5,2,0]]}</ns0:v>
      </ns0:c>
      <ns0:c r="R605" s="150" t="n">
        <ns0:f>E605*H605</ns0:f>
        <ns0:v>0</ns0:v>
      </ns0:c>
    </ns0:row>
    <ns0:row r="606" ht="21" customHeight="1">
      <ns0:c r="A606" s="145" t="n">
        <ns0:v>90</ns0:v>
      </ns0:c>
      <ns0:c r="B606" s="145" t="str">
        <ns0:v>开局</ns0:v>
      </ns0:c>
      <ns0:c r="C606" s="145" t="str">
        <ns0:v>W9-090-02</ns0:v>
      </ns0:c>
      <ns0:c r="D606" s="145" t="str">
        <ns0:v>普通盒</ns0:v>
      </ns0:c>
      <ns0:c r="E606" s="152" t="n">
        <ns0:v>1</ns0:v>
      </ns0:c>
      <ns0:c r="F606" s="152" t="n">
        <ns0:v>4</ns0:v>
      </ns0:c>
      <ns0:c r="G606" s="152" t="n">
        <ns0:v>3</ns0:v>
      </ns0:c>
      <ns0:c r="H606" s="152" t="n">
        <ns0:v>0</ns0:v>
      </ns0:c>
      <ns0:c r="I606" s="149" t="n">
        <ns0:f>E606*G606</ns0:f>
        <ns0:v>3</ns0:v>
      </ns0:c>
      <ns0:c r="J606" s="149" t="n">
        <ns0:f>E606*(F606-G606)</ns0:f>
        <ns0:v>1</ns0:v>
      </ns0:c>
      <ns0:c r="K606" s="149" t="n">
        <ns0:f>IF(AND(B606="开局",G606=0,OR(D606="普通盒",D606="单颗暂存盒")),J606,0)</ns0:f>
        <ns0:v>0</ns0:v>
      </ns0:c>
      <ns0:c r="L606" s="149" t="n">
        <ns0:f>IF(AND(B606="开局",G606&gt;0,OR(D606="普通盒",D606="底部置顶盒",D606="炸弹盒")),J606,0)</ns0:f>
        <ns0:v>1</ns0:v>
      </ns0:c>
      <ns0:c r="M606" s="149" t="n">
        <ns0:f>IF(AND(B606="开局",OR(D606="固定颜色盒",D606="单向收纳盒")),J606,0)</ns0:f>
        <ns0:v>0</ns0:v>
      </ns0:c>
      <ns0:c r="N606" s="149" t="n">
        <ns0:f>IF(AND(B606="开局",OR(D606="数字盖盒",D606="普通冰冻盒",D606="数字冰冻盒",D606="数字冰冻单颗暂存盒")),J606,0)</ns0:f>
        <ns0:v>0</ns0:v>
      </ns0:c>
      <ns0:c r="O606" s="145" t="str">
        <ns0:f>IF(AND(E606&gt;0,E606=INT(E606),G606&gt;=0,G606&lt;=F606,G606=INT(G606),OR(AND(F606=1,OR(D606="单颗暂存盒",D606="数字冰冻单颗暂存盒")),AND(F606=4,NOT(OR(D606="单颗暂存盒",D606="数字冰冻单颗暂存盒")))),IF(OR(D606="数字盖盒",D606="数字冰冻盒",D606="数字冰冻单颗暂存盒"),AND(H606&gt;=1,H606=INT(H606)),H606=0),IF(B606="开局",AND(IF(OR(D606="数字盖盒",D606="普通冰冻盒",D606="数字冰冻盒",D606="炸弹盒",D606="底部置顶盒"),OR(G606=3,G606=4),TRUE),IF(OR(D606="单向收纳盒",D606="单颗暂存盒",D606="数字冰冻单颗暂存盒"),OR(G606=0,G606=1),TRUE),IF(OR(D606="固定颜色盒",D606="广告锁定周转盒"),G606=0,TRUE)),TRUE)),"通过","需调整")</ns0:f>
        <ns0:v>通过</ns0:v>
      </ns0:c>
      <ns0:c r="P606" s="145" t="str">
        <ns0:v>普通盒</ns0:v>
      </ns0:c>
      <ns0:c r="Q606" s="145" t="str">
        <ns0:v>固定层序见本关首行</ns0:v>
      </ns0:c>
      <ns0:c r="R606" s="149" t="n">
        <ns0:f>E606*H606</ns0:f>
        <ns0:v>0</ns0:v>
      </ns0:c>
    </ns0:row>
    <ns0:row r="607" ht="21" customHeight="1">
      <ns0:c r="A607" s="147" t="n">
        <ns0:v>90</ns0:v>
      </ns0:c>
      <ns0:c r="B607" s="147" t="str">
        <ns0:v>开局</ns0:v>
      </ns0:c>
      <ns0:c r="C607" s="147" t="str">
        <ns0:v>W9-090-03</ns0:v>
      </ns0:c>
      <ns0:c r="D607" s="147" t="str">
        <ns0:v>普通盒</ns0:v>
      </ns0:c>
      <ns0:c r="E607" s="152" t="n">
        <ns0:v>1</ns0:v>
      </ns0:c>
      <ns0:c r="F607" s="152" t="n">
        <ns0:v>4</ns0:v>
      </ns0:c>
      <ns0:c r="G607" s="152" t="n">
        <ns0:v>1</ns0:v>
      </ns0:c>
      <ns0:c r="H607" s="152" t="n">
        <ns0:v>0</ns0:v>
      </ns0:c>
      <ns0:c r="I607" s="150" t="n">
        <ns0:f>E607*G607</ns0:f>
        <ns0:v>1</ns0:v>
      </ns0:c>
      <ns0:c r="J607" s="150" t="n">
        <ns0:f>E607*(F607-G607)</ns0:f>
        <ns0:v>3</ns0:v>
      </ns0:c>
      <ns0:c r="K607" s="150" t="n">
        <ns0:f>IF(AND(B607="开局",G607=0,OR(D607="普通盒",D607="单颗暂存盒")),J607,0)</ns0:f>
        <ns0:v>0</ns0:v>
      </ns0:c>
      <ns0:c r="L607" s="150" t="n">
        <ns0:f>IF(AND(B607="开局",G607&gt;0,OR(D607="普通盒",D607="底部置顶盒",D607="炸弹盒")),J607,0)</ns0:f>
        <ns0:v>3</ns0:v>
      </ns0:c>
      <ns0:c r="M607" s="150" t="n">
        <ns0:f>IF(AND(B607="开局",OR(D607="固定颜色盒",D607="单向收纳盒")),J607,0)</ns0:f>
        <ns0:v>0</ns0:v>
      </ns0:c>
      <ns0:c r="N607" s="150" t="n">
        <ns0:f>IF(AND(B607="开局",OR(D607="数字盖盒",D607="普通冰冻盒",D607="数字冰冻盒",D607="数字冰冻单颗暂存盒")),J607,0)</ns0:f>
        <ns0:v>0</ns0:v>
      </ns0:c>
      <ns0:c r="O607" s="147" t="str">
        <ns0:f>IF(AND(E607&gt;0,E607=INT(E607),G607&gt;=0,G607&lt;=F607,G607=INT(G607),OR(AND(F607=1,OR(D607="单颗暂存盒",D607="数字冰冻单颗暂存盒")),AND(F607=4,NOT(OR(D607="单颗暂存盒",D607="数字冰冻单颗暂存盒")))),IF(OR(D607="数字盖盒",D607="数字冰冻盒",D607="数字冰冻单颗暂存盒"),AND(H607&gt;=1,H607=INT(H607)),H607=0),IF(B607="开局",AND(IF(OR(D607="数字盖盒",D607="普通冰冻盒",D607="数字冰冻盒",D607="炸弹盒",D607="底部置顶盒"),OR(G607=3,G607=4),TRUE),IF(OR(D607="单向收纳盒",D607="单颗暂存盒",D607="数字冰冻单颗暂存盒"),OR(G607=0,G607=1),TRUE),IF(OR(D607="固定颜色盒",D607="广告锁定周转盒"),G607=0,TRUE)),TRUE)),"通过","需调整")</ns0:f>
        <ns0:v>通过</ns0:v>
      </ns0:c>
      <ns0:c r="P607" s="147" t="str">
        <ns0:v>普通盒</ns0:v>
      </ns0:c>
      <ns0:c r="Q607" s="147" t="str">
        <ns0:v>固定层序见本关首行</ns0:v>
      </ns0:c>
      <ns0:c r="R607" s="150" t="n">
        <ns0:f>E607*H607</ns0:f>
        <ns0:v>0</ns0:v>
      </ns0:c>
    </ns0:row>
    <ns0:row r="608" ht="21" customHeight="1">
      <ns0:c r="A608" s="145" t="n">
        <ns0:v>90</ns0:v>
      </ns0:c>
      <ns0:c r="B608" s="145" t="str">
        <ns0:v>开局</ns0:v>
      </ns0:c>
      <ns0:c r="C608" s="145" t="str">
        <ns0:v>W9-090-04</ns0:v>
      </ns0:c>
      <ns0:c r="D608" s="145" t="str">
        <ns0:v>普通盒</ns0:v>
      </ns0:c>
      <ns0:c r="E608" s="152" t="n">
        <ns0:v>1</ns0:v>
      </ns0:c>
      <ns0:c r="F608" s="152" t="n">
        <ns0:v>4</ns0:v>
      </ns0:c>
      <ns0:c r="G608" s="152" t="n">
        <ns0:v>0</ns0:v>
      </ns0:c>
      <ns0:c r="H608" s="152" t="n">
        <ns0:v>0</ns0:v>
      </ns0:c>
      <ns0:c r="I608" s="149" t="n">
        <ns0:f>E608*G608</ns0:f>
        <ns0:v>0</ns0:v>
      </ns0:c>
      <ns0:c r="J608" s="149" t="n">
        <ns0:f>E608*(F608-G608)</ns0:f>
        <ns0:v>4</ns0:v>
      </ns0:c>
      <ns0:c r="K608" s="149" t="n">
        <ns0:f>IF(AND(B608="开局",G608=0,OR(D608="普通盒",D608="单颗暂存盒")),J608,0)</ns0:f>
        <ns0:v>4</ns0:v>
      </ns0:c>
      <ns0:c r="L608" s="149" t="n">
        <ns0:f>IF(AND(B608="开局",G608&gt;0,OR(D608="普通盒",D608="底部置顶盒",D608="炸弹盒")),J608,0)</ns0:f>
        <ns0:v>0</ns0:v>
      </ns0:c>
      <ns0:c r="M608" s="149" t="n">
        <ns0:f>IF(AND(B608="开局",OR(D608="固定颜色盒",D608="单向收纳盒")),J608,0)</ns0:f>
        <ns0:v>0</ns0:v>
      </ns0:c>
      <ns0:c r="N608" s="149" t="n">
        <ns0:f>IF(AND(B608="开局",OR(D608="数字盖盒",D608="普通冰冻盒",D608="数字冰冻盒",D608="数字冰冻单颗暂存盒")),J608,0)</ns0:f>
        <ns0:v>0</ns0:v>
      </ns0:c>
      <ns0:c r="O608" s="145" t="str">
        <ns0:f>IF(AND(E608&gt;0,E608=INT(E608),G608&gt;=0,G608&lt;=F608,G608=INT(G608),OR(AND(F608=1,OR(D608="单颗暂存盒",D608="数字冰冻单颗暂存盒")),AND(F608=4,NOT(OR(D608="单颗暂存盒",D608="数字冰冻单颗暂存盒")))),IF(OR(D608="数字盖盒",D608="数字冰冻盒",D608="数字冰冻单颗暂存盒"),AND(H608&gt;=1,H608=INT(H608)),H608=0),IF(B608="开局",AND(IF(OR(D608="数字盖盒",D608="普通冰冻盒",D608="数字冰冻盒",D608="炸弹盒",D608="底部置顶盒"),OR(G608=3,G608=4),TRUE),IF(OR(D608="单向收纳盒",D608="单颗暂存盒",D608="数字冰冻单颗暂存盒"),OR(G608=0,G608=1),TRUE),IF(OR(D608="固定颜色盒",D608="广告锁定周转盒"),G608=0,TRUE)),TRUE)),"通过","需调整")</ns0:f>
        <ns0:v>通过</ns0:v>
      </ns0:c>
      <ns0:c r="P608" s="145" t="str">
        <ns0:v>普通盒</ns0:v>
      </ns0:c>
      <ns0:c r="Q608" s="145" t="str">
        <ns0:v>固定层序见本关首行</ns0:v>
      </ns0:c>
      <ns0:c r="R608" s="149" t="n">
        <ns0:f>E608*H608</ns0:f>
        <ns0:v>0</ns0:v>
      </ns0:c>
    </ns0:row>
    <ns0:row r="609" ht="21" customHeight="1">
      <ns0:c r="A609" s="147" t="n">
        <ns0:v>90</ns0:v>
      </ns0:c>
      <ns0:c r="B609" s="147" t="str">
        <ns0:v>开局</ns0:v>
      </ns0:c>
      <ns0:c r="C609" s="147" t="str">
        <ns0:v>W9-090-05</ns0:v>
      </ns0:c>
      <ns0:c r="D609" s="147" t="str">
        <ns0:v>底部置顶盒</ns0:v>
      </ns0:c>
      <ns0:c r="E609" s="152" t="n">
        <ns0:v>1</ns0:v>
      </ns0:c>
      <ns0:c r="F609" s="152" t="n">
        <ns0:v>4</ns0:v>
      </ns0:c>
      <ns0:c r="G609" s="152" t="n">
        <ns0:v>4</ns0:v>
      </ns0:c>
      <ns0:c r="H609" s="152" t="n">
        <ns0:v>0</ns0:v>
      </ns0:c>
      <ns0:c r="I609" s="150" t="n">
        <ns0:f>E609*G609</ns0:f>
        <ns0:v>4</ns0:v>
      </ns0:c>
      <ns0:c r="J609" s="150" t="n">
        <ns0:f>E609*(F609-G609)</ns0:f>
        <ns0:v>0</ns0:v>
      </ns0:c>
      <ns0:c r="K609" s="150" t="n">
        <ns0:f>IF(AND(B609="开局",G609=0,OR(D609="普通盒",D609="单颗暂存盒")),J609,0)</ns0:f>
        <ns0:v>0</ns0:v>
      </ns0:c>
      <ns0:c r="L609" s="150" t="n">
        <ns0:f>IF(AND(B609="开局",G609&gt;0,OR(D609="普通盒",D609="底部置顶盒",D609="炸弹盒")),J609,0)</ns0:f>
        <ns0:v>0</ns0:v>
      </ns0:c>
      <ns0:c r="M609" s="150" t="n">
        <ns0:f>IF(AND(B609="开局",OR(D609="固定颜色盒",D609="单向收纳盒")),J609,0)</ns0:f>
        <ns0:v>0</ns0:v>
      </ns0:c>
      <ns0:c r="N609" s="150" t="n">
        <ns0:f>IF(AND(B609="开局",OR(D609="数字盖盒",D609="普通冰冻盒",D609="数字冰冻盒",D609="数字冰冻单颗暂存盒")),J609,0)</ns0:f>
        <ns0:v>0</ns0:v>
      </ns0:c>
      <ns0:c r="O609" s="147" t="str">
        <ns0:f>IF(AND(E609&gt;0,E609=INT(E609),G609&gt;=0,G609&lt;=F609,G609=INT(G609),OR(AND(F609=1,OR(D609="单颗暂存盒",D609="数字冰冻单颗暂存盒")),AND(F609=4,NOT(OR(D609="单颗暂存盒",D609="数字冰冻单颗暂存盒")))),IF(OR(D609="数字盖盒",D609="数字冰冻盒",D609="数字冰冻单颗暂存盒"),AND(H609&gt;=1,H609=INT(H609)),H609=0),IF(B609="开局",AND(IF(OR(D609="数字盖盒",D609="普通冰冻盒",D609="数字冰冻盒",D609="炸弹盒",D609="底部置顶盒"),OR(G609=3,G609=4),TRUE),IF(OR(D609="单向收纳盒",D609="单颗暂存盒",D609="数字冰冻单颗暂存盒"),OR(G609=0,G609=1),TRUE),IF(OR(D609="固定颜色盒",D609="广告锁定周转盒"),G609=0,TRUE)),TRUE)),"通过","需调整")</ns0:f>
        <ns0:v>通过</ns0:v>
      </ns0:c>
      <ns0:c r="P609" s="147" t="str">
        <ns0:v>底部置顶盒</ns0:v>
      </ns0:c>
      <ns0:c r="Q609" s="147" t="str">
        <ns0:v>固定层序见本关首行</ns0:v>
      </ns0:c>
      <ns0:c r="R609" s="150" t="n">
        <ns0:f>E609*H609</ns0:f>
        <ns0:v>0</ns0:v>
      </ns0:c>
    </ns0:row>
    <ns0:row r="610" ht="21" customHeight="1">
      <ns0:c r="A610" s="145" t="n">
        <ns0:v>90</ns0:v>
      </ns0:c>
      <ns0:c r="B610" s="145" t="str">
        <ns0:v>开局</ns0:v>
      </ns0:c>
      <ns0:c r="C610" s="145" t="str">
        <ns0:v>W9-090-06</ns0:v>
      </ns0:c>
      <ns0:c r="D610" s="145" t="str">
        <ns0:v>固定颜色盒</ns0:v>
      </ns0:c>
      <ns0:c r="E610" s="152" t="n">
        <ns0:v>1</ns0:v>
      </ns0:c>
      <ns0:c r="F610" s="152" t="n">
        <ns0:v>4</ns0:v>
      </ns0:c>
      <ns0:c r="G610" s="152" t="n">
        <ns0:v>0</ns0:v>
      </ns0:c>
      <ns0:c r="H610" s="152" t="n">
        <ns0:v>0</ns0:v>
      </ns0:c>
      <ns0:c r="I610" s="149" t="n">
        <ns0:f>E610*G610</ns0:f>
        <ns0:v>0</ns0:v>
      </ns0:c>
      <ns0:c r="J610" s="149" t="n">
        <ns0:f>E610*(F610-G610)</ns0:f>
        <ns0:v>4</ns0:v>
      </ns0:c>
      <ns0:c r="K610" s="149" t="n">
        <ns0:f>IF(AND(B610="开局",G610=0,OR(D610="普通盒",D610="单颗暂存盒")),J610,0)</ns0:f>
        <ns0:v>0</ns0:v>
      </ns0:c>
      <ns0:c r="L610" s="149" t="n">
        <ns0:f>IF(AND(B610="开局",G610&gt;0,OR(D610="普通盒",D610="底部置顶盒",D610="炸弹盒")),J610,0)</ns0:f>
        <ns0:v>0</ns0:v>
      </ns0:c>
      <ns0:c r="M610" s="149" t="n">
        <ns0:f>IF(AND(B610="开局",OR(D610="固定颜色盒",D610="单向收纳盒")),J610,0)</ns0:f>
        <ns0:v>4</ns0:v>
      </ns0:c>
      <ns0:c r="N610" s="149" t="n">
        <ns0:f>IF(AND(B610="开局",OR(D610="数字盖盒",D610="普通冰冻盒",D610="数字冰冻盒",D610="数字冰冻单颗暂存盒")),J610,0)</ns0:f>
        <ns0:v>0</ns0:v>
      </ns0:c>
      <ns0:c r="O610" s="145" t="str">
        <ns0:f>IF(AND(E610&gt;0,E610=INT(E610),G610&gt;=0,G610&lt;=F610,G610=INT(G610),OR(AND(F610=1,OR(D610="单颗暂存盒",D610="数字冰冻单颗暂存盒")),AND(F610=4,NOT(OR(D610="单颗暂存盒",D610="数字冰冻单颗暂存盒")))),IF(OR(D610="数字盖盒",D610="数字冰冻盒",D610="数字冰冻单颗暂存盒"),AND(H610&gt;=1,H610=INT(H610)),H610=0),IF(B610="开局",AND(IF(OR(D610="数字盖盒",D610="普通冰冻盒",D610="数字冰冻盒",D610="炸弹盒",D610="底部置顶盒"),OR(G610=3,G610=4),TRUE),IF(OR(D610="单向收纳盒",D610="单颗暂存盒",D610="数字冰冻单颗暂存盒"),OR(G610=0,G610=1),TRUE),IF(OR(D610="固定颜色盒",D610="广告锁定周转盒"),G610=0,TRUE)),TRUE)),"通过","需调整")</ns0:f>
        <ns0:v>通过</ns0:v>
      </ns0:c>
      <ns0:c r="P610" s="145" t="str">
        <ns0:v>固定颜色盒</ns0:v>
      </ns0:c>
      <ns0:c r="Q610" s="145" t="str">
        <ns0:v>固定层序见本关首行</ns0:v>
      </ns0:c>
      <ns0:c r="R610" s="149" t="n">
        <ns0:f>E610*H610</ns0:f>
        <ns0:v>0</ns0:v>
      </ns0:c>
    </ns0:row>
    <ns0:row r="611" ht="21" customHeight="1">
      <ns0:c r="A611" s="147" t="n">
        <ns0:v>90</ns0:v>
      </ns0:c>
      <ns0:c r="B611" s="147" t="str">
        <ns0:v>开局</ns0:v>
      </ns0:c>
      <ns0:c r="C611" s="147" t="str">
        <ns0:v>W9-090-07</ns0:v>
      </ns0:c>
      <ns0:c r="D611" s="147" t="str">
        <ns0:v>广告锁定周转盒</ns0:v>
      </ns0:c>
      <ns0:c r="E611" s="152" t="n">
        <ns0:v>2</ns0:v>
      </ns0:c>
      <ns0:c r="F611" s="152" t="n">
        <ns0:v>4</ns0:v>
      </ns0:c>
      <ns0:c r="G611" s="152" t="n">
        <ns0:v>0</ns0:v>
      </ns0:c>
      <ns0:c r="H611" s="152" t="n">
        <ns0:v>0</ns0:v>
      </ns0:c>
      <ns0:c r="I611" s="150" t="n">
        <ns0:f>E611*G611</ns0:f>
        <ns0:v>0</ns0:v>
      </ns0:c>
      <ns0:c r="J611" s="150" t="n">
        <ns0:f>E611*(F611-G611)</ns0:f>
        <ns0:v>8</ns0:v>
      </ns0:c>
      <ns0:c r="K611" s="150" t="n">
        <ns0:f>IF(AND(B611="开局",G611=0,OR(D611="普通盒",D611="单颗暂存盒")),J611,0)</ns0:f>
        <ns0:v>0</ns0:v>
      </ns0:c>
      <ns0:c r="L611" s="150" t="n">
        <ns0:f>IF(AND(B611="开局",G611&gt;0,OR(D611="普通盒",D611="底部置顶盒",D611="炸弹盒")),J611,0)</ns0:f>
        <ns0:v>0</ns0:v>
      </ns0:c>
      <ns0:c r="M611" s="150" t="n">
        <ns0:f>IF(AND(B611="开局",OR(D611="固定颜色盒",D611="单向收纳盒")),J611,0)</ns0:f>
        <ns0:v>0</ns0:v>
      </ns0:c>
      <ns0:c r="N611" s="150" t="n">
        <ns0:f>IF(AND(B611="开局",OR(D611="数字盖盒",D611="普通冰冻盒",D611="数字冰冻盒",D611="数字冰冻单颗暂存盒")),J611,0)</ns0:f>
        <ns0:v>0</ns0:v>
      </ns0:c>
      <ns0:c r="O611" s="147" t="str">
        <ns0:f>IF(AND(E611&gt;0,E611=INT(E611),G611&gt;=0,G611&lt;=F611,G611=INT(G611),OR(AND(F611=1,OR(D611="单颗暂存盒",D611="数字冰冻单颗暂存盒")),AND(F611=4,NOT(OR(D611="单颗暂存盒",D611="数字冰冻单颗暂存盒")))),IF(OR(D611="数字盖盒",D611="数字冰冻盒",D611="数字冰冻单颗暂存盒"),AND(H611&gt;=1,H611=INT(H611)),H611=0),IF(B611="开局",AND(IF(OR(D611="数字盖盒",D611="普通冰冻盒",D611="数字冰冻盒",D611="炸弹盒",D611="底部置顶盒"),OR(G611=3,G611=4),TRUE),IF(OR(D611="单向收纳盒",D611="单颗暂存盒",D611="数字冰冻单颗暂存盒"),OR(G611=0,G611=1),TRUE),IF(OR(D611="固定颜色盒",D611="广告锁定周转盒"),G611=0,TRUE)),TRUE)),"通过","需调整")</ns0:f>
        <ns0:v>通过</ns0:v>
      </ns0:c>
      <ns0:c r="P611" s="147" t="str">
        <ns0:v>双广告锁位</ns0:v>
      </ns0:c>
      <ns0:c r="Q611" s="147" t="str">
        <ns0:v>固定层序见本关首行</ns0:v>
      </ns0:c>
      <ns0:c r="R611" s="150" t="n">
        <ns0:f>E611*H611</ns0:f>
        <ns0:v>0</ns0:v>
      </ns0:c>
    </ns0:row>
    <ns0:row r="612" ht="21" customHeight="1">
      <ns0:c r="A612" s="145"/>
      <ns0:c r="B612" s="145"/>
      <ns0:c r="C612" s="145"/>
      <ns0:c r="D612" s="145"/>
      <ns0:c r="E612" s="152"/>
      <ns0:c r="F612" s="152"/>
      <ns0:c r="G612" s="152"/>
      <ns0:c r="H612" s="152"/>
      <ns0:c r="I612" s="149"/>
      <ns0:c r="J612" s="149"/>
      <ns0:c r="K612" s="149"/>
      <ns0:c r="L612" s="149"/>
      <ns0:c r="M612" s="149"/>
      <ns0:c r="N612" s="149"/>
      <ns0:c r="O612" s="145"/>
      <ns0:c r="P612" s="145"/>
      <ns0:c r="Q612" s="145"/>
      <ns0:c r="R612" s="149"/>
    </ns0:row>
    <ns0:row r="613" ht="21" customHeight="1">
      <ns0:c r="A613" s="147"/>
      <ns0:c r="B613" s="147"/>
      <ns0:c r="C613" s="147"/>
      <ns0:c r="D613" s="147"/>
      <ns0:c r="E613" s="152"/>
      <ns0:c r="F613" s="152"/>
      <ns0:c r="G613" s="152"/>
      <ns0:c r="H613" s="152"/>
      <ns0:c r="I613" s="150"/>
      <ns0:c r="J613" s="150"/>
      <ns0:c r="K613" s="150"/>
      <ns0:c r="L613" s="150"/>
      <ns0:c r="M613" s="150"/>
      <ns0:c r="N613" s="150"/>
      <ns0:c r="O613" s="147"/>
      <ns0:c r="P613" s="147"/>
      <ns0:c r="Q613" s="147"/>
      <ns0:c r="R613" s="150"/>
    </ns0:row>
    <ns0:row r="614" ht="21" customHeight="1">
      <ns0:c r="A614" s="145"/>
      <ns0:c r="B614" s="145"/>
      <ns0:c r="C614" s="145"/>
      <ns0:c r="D614" s="145"/>
      <ns0:c r="E614" s="152"/>
      <ns0:c r="F614" s="152"/>
      <ns0:c r="G614" s="152"/>
      <ns0:c r="H614" s="152"/>
      <ns0:c r="I614" s="149"/>
      <ns0:c r="J614" s="149"/>
      <ns0:c r="K614" s="149"/>
      <ns0:c r="L614" s="149"/>
      <ns0:c r="M614" s="149"/>
      <ns0:c r="N614" s="149"/>
      <ns0:c r="O614" s="145"/>
      <ns0:c r="P614" s="145"/>
      <ns0:c r="Q614" s="145"/>
      <ns0:c r="R614" s="149"/>
    </ns0:row>
    <ns0:row r="615" ht="21" customHeight="1">
      <ns0:c r="A615" s="147" t="n">
        <ns0:v>91</ns0:v>
      </ns0:c>
      <ns0:c r="B615" s="147" t="str">
        <ns0:v>开局</ns0:v>
      </ns0:c>
      <ns0:c r="C615" s="147" t="str">
        <ns0:v>W10-091-01</ns0:v>
      </ns0:c>
      <ns0:c r="D615" s="147" t="str">
        <ns0:v>普通盒</ns0:v>
      </ns0:c>
      <ns0:c r="E615" s="152" t="n">
        <ns0:v>12</ns0:v>
      </ns0:c>
      <ns0:c r="F615" s="152" t="n">
        <ns0:v>4</ns0:v>
      </ns0:c>
      <ns0:c r="G615" s="152" t="n">
        <ns0:v>4</ns0:v>
      </ns0:c>
      <ns0:c r="H615" s="152" t="n">
        <ns0:v>0</ns0:v>
      </ns0:c>
      <ns0:c r="I615" s="150" t="n">
        <ns0:f>E615*G615</ns0:f>
        <ns0:v>48</ns0:v>
      </ns0:c>
      <ns0:c r="J615" s="150" t="n">
        <ns0:f>E615*(F615-G615)</ns0:f>
        <ns0:v>0</ns0:v>
      </ns0:c>
      <ns0:c r="K615" s="150" t="n">
        <ns0:f>IF(AND(B615="开局",G615=0,OR(D615="普通盒",D615="单颗暂存盒")),J615,0)</ns0:f>
        <ns0:v>0</ns0:v>
      </ns0:c>
      <ns0:c r="L615" s="150" t="n">
        <ns0:f>IF(AND(B615="开局",G615&gt;0,OR(D615="普通盒",D615="底部置顶盒",D615="炸弹盒")),J615,0)</ns0:f>
        <ns0:v>0</ns0:v>
      </ns0:c>
      <ns0:c r="M615" s="150" t="n">
        <ns0:f>IF(AND(B615="开局",OR(D615="固定颜色盒",D615="单向收纳盒")),J615,0)</ns0:f>
        <ns0:v>0</ns0:v>
      </ns0:c>
      <ns0:c r="N615" s="150" t="n">
        <ns0:f>IF(AND(B615="开局",OR(D615="数字盖盒",D615="普通冰冻盒",D615="数字冰冻盒",D615="数字冰冻单颗暂存盒")),J615,0)</ns0:f>
        <ns0:v>0</ns0:v>
      </ns0:c>
      <ns0:c r="O615" s="147" t="str">
        <ns0:f>IF(AND(E615&gt;0,E615=INT(E615),G615&gt;=0,G615&lt;=F615,G615=INT(G615),OR(AND(F615=1,OR(D615="单颗暂存盒",D615="数字冰冻单颗暂存盒")),AND(F615=4,NOT(OR(D615="单颗暂存盒",D615="数字冰冻单颗暂存盒")))),IF(OR(D615="数字盖盒",D615="数字冰冻盒",D615="数字冰冻单颗暂存盒"),AND(H615&gt;=1,H615=INT(H615)),H615=0),IF(B615="开局",AND(IF(OR(D615="数字盖盒",D615="普通冰冻盒",D615="数字冰冻盒",D615="炸弹盒",D615="底部置顶盒"),OR(G615=3,G615=4),TRUE),IF(OR(D615="单向收纳盒",D615="单颗暂存盒",D615="数字冰冻单颗暂存盒"),OR(G615=0,G615=1),TRUE),IF(OR(D615="固定颜色盒",D615="广告锁定周转盒"),G615=0,TRUE)),TRUE)),"通过","需调整")</ns0:f>
        <ns0:v>通过</ns0:v>
      </ns0:c>
      <ns0:c r="P615" s="147" t="str">
        <ns0:v>普通盒</ns0:v>
      </ns0:c>
      <ns0:c r="Q615" s="147" t="str">
        <ns0:v>层序JSON:{"reference":"2026-10-12 第91至100关组合挑战与百关收尾；固定层序、明牌拆弹材料与分段反馈","slots":[{"group_id":"W10-091-01","layers":[0,6,4,8]},{"group_id":"W10-091-02","layers":[5,3,2]},{"group_id":"W10-091-01","layers":[8,6,6,4]},{"group_id":"W10-091-01","layers":[5,6,0,3]},{"group_id":"W10-091-01","layers":[6,8,4,3]},{"group_id":"W10-091-01","layers":[5,2,0,6]},{"group_id":"W10-091-01","layers":[0,2,4,3]},{"group_id":"W10-091-05","layers":[3,5,3,0]},{"group_id":"W10-091-01","layers":[3,8,5,4]},{"group_id":"W10-091-01","layers":[6,0,5,8]},{"group_id":"W10-091-01","layers":[0,5,5,2]},{"group_id":"W10-091-01","layers":[2,4,2,0]},{"group_id":"W10-091-03","layers":[2]},{"group_id":"W10-091-01","layers":[2,3,8,4]},{"group_id":"W10-091-01","layers":[8,8,4,6]},{"group_id":"W10-091-04","layers":[]},{"group_id":"W10-091-06","layers":[]}],"stock":[],"demand_sequences":[[5,2,3,6,3,0,8],[0,8,2,4,6,5,4]]}</ns0:v>
      </ns0:c>
      <ns0:c r="R615" s="150" t="n">
        <ns0:f>E615*H615</ns0:f>
        <ns0:v>0</ns0:v>
      </ns0:c>
    </ns0:row>
    <ns0:row r="616" ht="21" customHeight="1">
      <ns0:c r="A616" s="145" t="n">
        <ns0:v>91</ns0:v>
      </ns0:c>
      <ns0:c r="B616" s="145" t="str">
        <ns0:v>开局</ns0:v>
      </ns0:c>
      <ns0:c r="C616" s="145" t="str">
        <ns0:v>W10-091-02</ns0:v>
      </ns0:c>
      <ns0:c r="D616" s="145" t="str">
        <ns0:v>普通盒</ns0:v>
      </ns0:c>
      <ns0:c r="E616" s="152" t="n">
        <ns0:v>1</ns0:v>
      </ns0:c>
      <ns0:c r="F616" s="152" t="n">
        <ns0:v>4</ns0:v>
      </ns0:c>
      <ns0:c r="G616" s="152" t="n">
        <ns0:v>3</ns0:v>
      </ns0:c>
      <ns0:c r="H616" s="152" t="n">
        <ns0:v>0</ns0:v>
      </ns0:c>
      <ns0:c r="I616" s="149" t="n">
        <ns0:f>E616*G616</ns0:f>
        <ns0:v>3</ns0:v>
      </ns0:c>
      <ns0:c r="J616" s="149" t="n">
        <ns0:f>E616*(F616-G616)</ns0:f>
        <ns0:v>1</ns0:v>
      </ns0:c>
      <ns0:c r="K616" s="149" t="n">
        <ns0:f>IF(AND(B616="开局",G616=0,OR(D616="普通盒",D616="单颗暂存盒")),J616,0)</ns0:f>
        <ns0:v>0</ns0:v>
      </ns0:c>
      <ns0:c r="L616" s="149" t="n">
        <ns0:f>IF(AND(B616="开局",G616&gt;0,OR(D616="普通盒",D616="底部置顶盒",D616="炸弹盒")),J616,0)</ns0:f>
        <ns0:v>1</ns0:v>
      </ns0:c>
      <ns0:c r="M616" s="149" t="n">
        <ns0:f>IF(AND(B616="开局",OR(D616="固定颜色盒",D616="单向收纳盒")),J616,0)</ns0:f>
        <ns0:v>0</ns0:v>
      </ns0:c>
      <ns0:c r="N616" s="149" t="n">
        <ns0:f>IF(AND(B616="开局",OR(D616="数字盖盒",D616="普通冰冻盒",D616="数字冰冻盒",D616="数字冰冻单颗暂存盒")),J616,0)</ns0:f>
        <ns0:v>0</ns0:v>
      </ns0:c>
      <ns0:c r="O616" s="145" t="str">
        <ns0:f>IF(AND(E616&gt;0,E616=INT(E616),G616&gt;=0,G616&lt;=F616,G616=INT(G616),OR(AND(F616=1,OR(D616="单颗暂存盒",D616="数字冰冻单颗暂存盒")),AND(F616=4,NOT(OR(D616="单颗暂存盒",D616="数字冰冻单颗暂存盒")))),IF(OR(D616="数字盖盒",D616="数字冰冻盒",D616="数字冰冻单颗暂存盒"),AND(H616&gt;=1,H616=INT(H616)),H616=0),IF(B616="开局",AND(IF(OR(D616="数字盖盒",D616="普通冰冻盒",D616="数字冰冻盒",D616="炸弹盒",D616="底部置顶盒"),OR(G616=3,G616=4),TRUE),IF(OR(D616="单向收纳盒",D616="单颗暂存盒",D616="数字冰冻单颗暂存盒"),OR(G616=0,G616=1),TRUE),IF(OR(D616="固定颜色盒",D616="广告锁定周转盒"),G616=0,TRUE)),TRUE)),"通过","需调整")</ns0:f>
        <ns0:v>通过</ns0:v>
      </ns0:c>
      <ns0:c r="P616" s="145" t="str">
        <ns0:v>普通盒</ns0:v>
      </ns0:c>
      <ns0:c r="Q616" s="145" t="str">
        <ns0:v>固定层序见本关首行</ns0:v>
      </ns0:c>
      <ns0:c r="R616" s="149" t="n">
        <ns0:f>E616*H616</ns0:f>
        <ns0:v>0</ns0:v>
      </ns0:c>
    </ns0:row>
    <ns0:row r="617" ht="21" customHeight="1">
      <ns0:c r="A617" s="147" t="n">
        <ns0:v>91</ns0:v>
      </ns0:c>
      <ns0:c r="B617" s="147" t="str">
        <ns0:v>开局</ns0:v>
      </ns0:c>
      <ns0:c r="C617" s="147" t="str">
        <ns0:v>W10-091-03</ns0:v>
      </ns0:c>
      <ns0:c r="D617" s="147" t="str">
        <ns0:v>普通盒</ns0:v>
      </ns0:c>
      <ns0:c r="E617" s="152" t="n">
        <ns0:v>1</ns0:v>
      </ns0:c>
      <ns0:c r="F617" s="152" t="n">
        <ns0:v>4</ns0:v>
      </ns0:c>
      <ns0:c r="G617" s="152" t="n">
        <ns0:v>1</ns0:v>
      </ns0:c>
      <ns0:c r="H617" s="152" t="n">
        <ns0:v>0</ns0:v>
      </ns0:c>
      <ns0:c r="I617" s="150" t="n">
        <ns0:f>E617*G617</ns0:f>
        <ns0:v>1</ns0:v>
      </ns0:c>
      <ns0:c r="J617" s="150" t="n">
        <ns0:f>E617*(F617-G617)</ns0:f>
        <ns0:v>3</ns0:v>
      </ns0:c>
      <ns0:c r="K617" s="150" t="n">
        <ns0:f>IF(AND(B617="开局",G617=0,OR(D617="普通盒",D617="单颗暂存盒")),J617,0)</ns0:f>
        <ns0:v>0</ns0:v>
      </ns0:c>
      <ns0:c r="L617" s="150" t="n">
        <ns0:f>IF(AND(B617="开局",G617&gt;0,OR(D617="普通盒",D617="底部置顶盒",D617="炸弹盒")),J617,0)</ns0:f>
        <ns0:v>3</ns0:v>
      </ns0:c>
      <ns0:c r="M617" s="150" t="n">
        <ns0:f>IF(AND(B617="开局",OR(D617="固定颜色盒",D617="单向收纳盒")),J617,0)</ns0:f>
        <ns0:v>0</ns0:v>
      </ns0:c>
      <ns0:c r="N617" s="150" t="n">
        <ns0:f>IF(AND(B617="开局",OR(D617="数字盖盒",D617="普通冰冻盒",D617="数字冰冻盒",D617="数字冰冻单颗暂存盒")),J617,0)</ns0:f>
        <ns0:v>0</ns0:v>
      </ns0:c>
      <ns0:c r="O617" s="147" t="str">
        <ns0:f>IF(AND(E617&gt;0,E617=INT(E617),G617&gt;=0,G617&lt;=F617,G617=INT(G617),OR(AND(F617=1,OR(D617="单颗暂存盒",D617="数字冰冻单颗暂存盒")),AND(F617=4,NOT(OR(D617="单颗暂存盒",D617="数字冰冻单颗暂存盒")))),IF(OR(D617="数字盖盒",D617="数字冰冻盒",D617="数字冰冻单颗暂存盒"),AND(H617&gt;=1,H617=INT(H617)),H617=0),IF(B617="开局",AND(IF(OR(D617="数字盖盒",D617="普通冰冻盒",D617="数字冰冻盒",D617="炸弹盒",D617="底部置顶盒"),OR(G617=3,G617=4),TRUE),IF(OR(D617="单向收纳盒",D617="单颗暂存盒",D617="数字冰冻单颗暂存盒"),OR(G617=0,G617=1),TRUE),IF(OR(D617="固定颜色盒",D617="广告锁定周转盒"),G617=0,TRUE)),TRUE)),"通过","需调整")</ns0:f>
        <ns0:v>通过</ns0:v>
      </ns0:c>
      <ns0:c r="P617" s="147" t="str">
        <ns0:v>普通盒</ns0:v>
      </ns0:c>
      <ns0:c r="Q617" s="147" t="str">
        <ns0:v>固定层序见本关首行</ns0:v>
      </ns0:c>
      <ns0:c r="R617" s="150" t="n">
        <ns0:f>E617*H617</ns0:f>
        <ns0:v>0</ns0:v>
      </ns0:c>
    </ns0:row>
    <ns0:row r="618" ht="21" customHeight="1">
      <ns0:c r="A618" s="145" t="n">
        <ns0:v>91</ns0:v>
      </ns0:c>
      <ns0:c r="B618" s="145" t="str">
        <ns0:v>开局</ns0:v>
      </ns0:c>
      <ns0:c r="C618" s="145" t="str">
        <ns0:v>W10-091-04</ns0:v>
      </ns0:c>
      <ns0:c r="D618" s="145" t="str">
        <ns0:v>普通盒</ns0:v>
      </ns0:c>
      <ns0:c r="E618" s="152" t="n">
        <ns0:v>1</ns0:v>
      </ns0:c>
      <ns0:c r="F618" s="152" t="n">
        <ns0:v>4</ns0:v>
      </ns0:c>
      <ns0:c r="G618" s="152" t="n">
        <ns0:v>0</ns0:v>
      </ns0:c>
      <ns0:c r="H618" s="152" t="n">
        <ns0:v>0</ns0:v>
      </ns0:c>
      <ns0:c r="I618" s="149" t="n">
        <ns0:f>E618*G618</ns0:f>
        <ns0:v>0</ns0:v>
      </ns0:c>
      <ns0:c r="J618" s="149" t="n">
        <ns0:f>E618*(F618-G618)</ns0:f>
        <ns0:v>4</ns0:v>
      </ns0:c>
      <ns0:c r="K618" s="149" t="n">
        <ns0:f>IF(AND(B618="开局",G618=0,OR(D618="普通盒",D618="单颗暂存盒")),J618,0)</ns0:f>
        <ns0:v>4</ns0:v>
      </ns0:c>
      <ns0:c r="L618" s="149" t="n">
        <ns0:f>IF(AND(B618="开局",G618&gt;0,OR(D618="普通盒",D618="底部置顶盒",D618="炸弹盒")),J618,0)</ns0:f>
        <ns0:v>0</ns0:v>
      </ns0:c>
      <ns0:c r="M618" s="149" t="n">
        <ns0:f>IF(AND(B618="开局",OR(D618="固定颜色盒",D618="单向收纳盒")),J618,0)</ns0:f>
        <ns0:v>0</ns0:v>
      </ns0:c>
      <ns0:c r="N618" s="149" t="n">
        <ns0:f>IF(AND(B618="开局",OR(D618="数字盖盒",D618="普通冰冻盒",D618="数字冰冻盒",D618="数字冰冻单颗暂存盒")),J618,0)</ns0:f>
        <ns0:v>0</ns0:v>
      </ns0:c>
      <ns0:c r="O618" s="145" t="str">
        <ns0:f>IF(AND(E618&gt;0,E618=INT(E618),G618&gt;=0,G618&lt;=F618,G618=INT(G618),OR(AND(F618=1,OR(D618="单颗暂存盒",D618="数字冰冻单颗暂存盒")),AND(F618=4,NOT(OR(D618="单颗暂存盒",D618="数字冰冻单颗暂存盒")))),IF(OR(D618="数字盖盒",D618="数字冰冻盒",D618="数字冰冻单颗暂存盒"),AND(H618&gt;=1,H618=INT(H618)),H618=0),IF(B618="开局",AND(IF(OR(D618="数字盖盒",D618="普通冰冻盒",D618="数字冰冻盒",D618="炸弹盒",D618="底部置顶盒"),OR(G618=3,G618=4),TRUE),IF(OR(D618="单向收纳盒",D618="单颗暂存盒",D618="数字冰冻单颗暂存盒"),OR(G618=0,G618=1),TRUE),IF(OR(D618="固定颜色盒",D618="广告锁定周转盒"),G618=0,TRUE)),TRUE)),"通过","需调整")</ns0:f>
        <ns0:v>通过</ns0:v>
      </ns0:c>
      <ns0:c r="P618" s="145" t="str">
        <ns0:v>普通盒</ns0:v>
      </ns0:c>
      <ns0:c r="Q618" s="145" t="str">
        <ns0:v>固定层序见本关首行</ns0:v>
      </ns0:c>
      <ns0:c r="R618" s="149" t="n">
        <ns0:f>E618*H618</ns0:f>
        <ns0:v>0</ns0:v>
      </ns0:c>
    </ns0:row>
    <ns0:row r="619" ht="21" customHeight="1">
      <ns0:c r="A619" s="147" t="n">
        <ns0:v>91</ns0:v>
      </ns0:c>
      <ns0:c r="B619" s="147" t="str">
        <ns0:v>开局</ns0:v>
      </ns0:c>
      <ns0:c r="C619" s="147" t="str">
        <ns0:v>W10-091-05</ns0:v>
      </ns0:c>
      <ns0:c r="D619" s="147" t="str">
        <ns0:v>底部置顶盒</ns0:v>
      </ns0:c>
      <ns0:c r="E619" s="152" t="n">
        <ns0:v>1</ns0:v>
      </ns0:c>
      <ns0:c r="F619" s="152" t="n">
        <ns0:v>4</ns0:v>
      </ns0:c>
      <ns0:c r="G619" s="152" t="n">
        <ns0:v>4</ns0:v>
      </ns0:c>
      <ns0:c r="H619" s="152" t="n">
        <ns0:v>0</ns0:v>
      </ns0:c>
      <ns0:c r="I619" s="150" t="n">
        <ns0:f>E619*G619</ns0:f>
        <ns0:v>4</ns0:v>
      </ns0:c>
      <ns0:c r="J619" s="150" t="n">
        <ns0:f>E619*(F619-G619)</ns0:f>
        <ns0:v>0</ns0:v>
      </ns0:c>
      <ns0:c r="K619" s="150" t="n">
        <ns0:f>IF(AND(B619="开局",G619=0,OR(D619="普通盒",D619="单颗暂存盒")),J619,0)</ns0:f>
        <ns0:v>0</ns0:v>
      </ns0:c>
      <ns0:c r="L619" s="150" t="n">
        <ns0:f>IF(AND(B619="开局",G619&gt;0,OR(D619="普通盒",D619="底部置顶盒",D619="炸弹盒")),J619,0)</ns0:f>
        <ns0:v>0</ns0:v>
      </ns0:c>
      <ns0:c r="M619" s="150" t="n">
        <ns0:f>IF(AND(B619="开局",OR(D619="固定颜色盒",D619="单向收纳盒")),J619,0)</ns0:f>
        <ns0:v>0</ns0:v>
      </ns0:c>
      <ns0:c r="N619" s="150" t="n">
        <ns0:f>IF(AND(B619="开局",OR(D619="数字盖盒",D619="普通冰冻盒",D619="数字冰冻盒",D619="数字冰冻单颗暂存盒")),J619,0)</ns0:f>
        <ns0:v>0</ns0:v>
      </ns0:c>
      <ns0:c r="O619" s="147" t="str">
        <ns0:f>IF(AND(E619&gt;0,E619=INT(E619),G619&gt;=0,G619&lt;=F619,G619=INT(G619),OR(AND(F619=1,OR(D619="单颗暂存盒",D619="数字冰冻单颗暂存盒")),AND(F619=4,NOT(OR(D619="单颗暂存盒",D619="数字冰冻单颗暂存盒")))),IF(OR(D619="数字盖盒",D619="数字冰冻盒",D619="数字冰冻单颗暂存盒"),AND(H619&gt;=1,H619=INT(H619)),H619=0),IF(B619="开局",AND(IF(OR(D619="数字盖盒",D619="普通冰冻盒",D619="数字冰冻盒",D619="炸弹盒",D619="底部置顶盒"),OR(G619=3,G619=4),TRUE),IF(OR(D619="单向收纳盒",D619="单颗暂存盒",D619="数字冰冻单颗暂存盒"),OR(G619=0,G619=1),TRUE),IF(OR(D619="固定颜色盒",D619="广告锁定周转盒"),G619=0,TRUE)),TRUE)),"通过","需调整")</ns0:f>
        <ns0:v>通过</ns0:v>
      </ns0:c>
      <ns0:c r="P619" s="147" t="str">
        <ns0:v>底部置顶盒</ns0:v>
      </ns0:c>
      <ns0:c r="Q619" s="147" t="str">
        <ns0:v>固定层序见本关首行</ns0:v>
      </ns0:c>
      <ns0:c r="R619" s="150" t="n">
        <ns0:f>E619*H619</ns0:f>
        <ns0:v>0</ns0:v>
      </ns0:c>
    </ns0:row>
    <ns0:row r="620" ht="21" customHeight="1">
      <ns0:c r="A620" s="145" t="n">
        <ns0:v>91</ns0:v>
      </ns0:c>
      <ns0:c r="B620" s="145" t="str">
        <ns0:v>开局</ns0:v>
      </ns0:c>
      <ns0:c r="C620" s="145" t="str">
        <ns0:v>W10-091-06</ns0:v>
      </ns0:c>
      <ns0:c r="D620" s="145" t="str">
        <ns0:v>单向收纳盒</ns0:v>
      </ns0:c>
      <ns0:c r="E620" s="152" t="n">
        <ns0:v>1</ns0:v>
      </ns0:c>
      <ns0:c r="F620" s="152" t="n">
        <ns0:v>4</ns0:v>
      </ns0:c>
      <ns0:c r="G620" s="152" t="n">
        <ns0:v>0</ns0:v>
      </ns0:c>
      <ns0:c r="H620" s="152" t="n">
        <ns0:v>0</ns0:v>
      </ns0:c>
      <ns0:c r="I620" s="149" t="n">
        <ns0:f>E620*G620</ns0:f>
        <ns0:v>0</ns0:v>
      </ns0:c>
      <ns0:c r="J620" s="149" t="n">
        <ns0:f>E620*(F620-G620)</ns0:f>
        <ns0:v>4</ns0:v>
      </ns0:c>
      <ns0:c r="K620" s="149" t="n">
        <ns0:f>IF(AND(B620="开局",G620=0,OR(D620="普通盒",D620="单颗暂存盒")),J620,0)</ns0:f>
        <ns0:v>0</ns0:v>
      </ns0:c>
      <ns0:c r="L620" s="149" t="n">
        <ns0:f>IF(AND(B620="开局",G620&gt;0,OR(D620="普通盒",D620="底部置顶盒",D620="炸弹盒")),J620,0)</ns0:f>
        <ns0:v>0</ns0:v>
      </ns0:c>
      <ns0:c r="M620" s="149" t="n">
        <ns0:f>IF(AND(B620="开局",OR(D620="固定颜色盒",D620="单向收纳盒")),J620,0)</ns0:f>
        <ns0:v>4</ns0:v>
      </ns0:c>
      <ns0:c r="N620" s="149" t="n">
        <ns0:f>IF(AND(B620="开局",OR(D620="数字盖盒",D620="普通冰冻盒",D620="数字冰冻盒",D620="数字冰冻单颗暂存盒")),J620,0)</ns0:f>
        <ns0:v>0</ns0:v>
      </ns0:c>
      <ns0:c r="O620" s="145" t="str">
        <ns0:f>IF(AND(E620&gt;0,E620=INT(E620),G620&gt;=0,G620&lt;=F620,G620=INT(G620),OR(AND(F620=1,OR(D620="单颗暂存盒",D620="数字冰冻单颗暂存盒")),AND(F620=4,NOT(OR(D620="单颗暂存盒",D620="数字冰冻单颗暂存盒")))),IF(OR(D620="数字盖盒",D620="数字冰冻盒",D620="数字冰冻单颗暂存盒"),AND(H620&gt;=1,H620=INT(H620)),H620=0),IF(B620="开局",AND(IF(OR(D620="数字盖盒",D620="普通冰冻盒",D620="数字冰冻盒",D620="炸弹盒",D620="底部置顶盒"),OR(G620=3,G620=4),TRUE),IF(OR(D620="单向收纳盒",D620="单颗暂存盒",D620="数字冰冻单颗暂存盒"),OR(G620=0,G620=1),TRUE),IF(OR(D620="固定颜色盒",D620="广告锁定周转盒"),G620=0,TRUE)),TRUE)),"通过","需调整")</ns0:f>
        <ns0:v>通过</ns0:v>
      </ns0:c>
      <ns0:c r="P620" s="145" t="str">
        <ns0:v>单向收纳盒</ns0:v>
      </ns0:c>
      <ns0:c r="Q620" s="145" t="str">
        <ns0:v>固定层序见本关首行</ns0:v>
      </ns0:c>
      <ns0:c r="R620" s="149" t="n">
        <ns0:f>E620*H620</ns0:f>
        <ns0:v>0</ns0:v>
      </ns0:c>
    </ns0:row>
    <ns0:row r="621" ht="21" customHeight="1">
      <ns0:c r="A621" s="147" t="n">
        <ns0:v>91</ns0:v>
      </ns0:c>
      <ns0:c r="B621" s="147" t="str">
        <ns0:v>开局</ns0:v>
      </ns0:c>
      <ns0:c r="C621" s="147" t="str">
        <ns0:v>W10-091-07</ns0:v>
      </ns0:c>
      <ns0:c r="D621" s="147" t="str">
        <ns0:v>广告锁定周转盒</ns0:v>
      </ns0:c>
      <ns0:c r="E621" s="152" t="n">
        <ns0:v>2</ns0:v>
      </ns0:c>
      <ns0:c r="F621" s="152" t="n">
        <ns0:v>4</ns0:v>
      </ns0:c>
      <ns0:c r="G621" s="152" t="n">
        <ns0:v>0</ns0:v>
      </ns0:c>
      <ns0:c r="H621" s="152" t="n">
        <ns0:v>0</ns0:v>
      </ns0:c>
      <ns0:c r="I621" s="150" t="n">
        <ns0:f>E621*G621</ns0:f>
        <ns0:v>0</ns0:v>
      </ns0:c>
      <ns0:c r="J621" s="150" t="n">
        <ns0:f>E621*(F621-G621)</ns0:f>
        <ns0:v>8</ns0:v>
      </ns0:c>
      <ns0:c r="K621" s="150" t="n">
        <ns0:f>IF(AND(B621="开局",G621=0,OR(D621="普通盒",D621="单颗暂存盒")),J621,0)</ns0:f>
        <ns0:v>0</ns0:v>
      </ns0:c>
      <ns0:c r="L621" s="150" t="n">
        <ns0:f>IF(AND(B621="开局",G621&gt;0,OR(D621="普通盒",D621="底部置顶盒",D621="炸弹盒")),J621,0)</ns0:f>
        <ns0:v>0</ns0:v>
      </ns0:c>
      <ns0:c r="M621" s="150" t="n">
        <ns0:f>IF(AND(B621="开局",OR(D621="固定颜色盒",D621="单向收纳盒")),J621,0)</ns0:f>
        <ns0:v>0</ns0:v>
      </ns0:c>
      <ns0:c r="N621" s="150" t="n">
        <ns0:f>IF(AND(B621="开局",OR(D621="数字盖盒",D621="普通冰冻盒",D621="数字冰冻盒",D621="数字冰冻单颗暂存盒")),J621,0)</ns0:f>
        <ns0:v>0</ns0:v>
      </ns0:c>
      <ns0:c r="O621" s="147" t="str">
        <ns0:f>IF(AND(E621&gt;0,E621=INT(E621),G621&gt;=0,G621&lt;=F621,G621=INT(G621),OR(AND(F621=1,OR(D621="单颗暂存盒",D621="数字冰冻单颗暂存盒")),AND(F621=4,NOT(OR(D621="单颗暂存盒",D621="数字冰冻单颗暂存盒")))),IF(OR(D621="数字盖盒",D621="数字冰冻盒",D621="数字冰冻单颗暂存盒"),AND(H621&gt;=1,H621=INT(H621)),H621=0),IF(B621="开局",AND(IF(OR(D621="数字盖盒",D621="普通冰冻盒",D621="数字冰冻盒",D621="炸弹盒",D621="底部置顶盒"),OR(G621=3,G621=4),TRUE),IF(OR(D621="单向收纳盒",D621="单颗暂存盒",D621="数字冰冻单颗暂存盒"),OR(G621=0,G621=1),TRUE),IF(OR(D621="固定颜色盒",D621="广告锁定周转盒"),G621=0,TRUE)),TRUE)),"通过","需调整")</ns0:f>
        <ns0:v>通过</ns0:v>
      </ns0:c>
      <ns0:c r="P621" s="147" t="str">
        <ns0:v>双广告锁位</ns0:v>
      </ns0:c>
      <ns0:c r="Q621" s="147" t="str">
        <ns0:v>固定层序见本关首行</ns0:v>
      </ns0:c>
      <ns0:c r="R621" s="150" t="n">
        <ns0:f>E621*H621</ns0:f>
        <ns0:v>0</ns0:v>
      </ns0:c>
    </ns0:row>
    <ns0:row r="622" ht="21" customHeight="1">
      <ns0:c r="A622" s="145" t="n">
        <ns0:v>92</ns0:v>
      </ns0:c>
      <ns0:c r="B622" s="145" t="str">
        <ns0:v>开局</ns0:v>
      </ns0:c>
      <ns0:c r="C622" s="145" t="str">
        <ns0:v>W10-092-01</ns0:v>
      </ns0:c>
      <ns0:c r="D622" s="145" t="str">
        <ns0:v>普通盒</ns0:v>
      </ns0:c>
      <ns0:c r="E622" s="152" t="n">
        <ns0:v>12</ns0:v>
      </ns0:c>
      <ns0:c r="F622" s="152" t="n">
        <ns0:v>4</ns0:v>
      </ns0:c>
      <ns0:c r="G622" s="152" t="n">
        <ns0:v>4</ns0:v>
      </ns0:c>
      <ns0:c r="H622" s="152" t="n">
        <ns0:v>0</ns0:v>
      </ns0:c>
      <ns0:c r="I622" s="149" t="n">
        <ns0:f>E622*G622</ns0:f>
        <ns0:v>48</ns0:v>
      </ns0:c>
      <ns0:c r="J622" s="149" t="n">
        <ns0:f>E622*(F622-G622)</ns0:f>
        <ns0:v>0</ns0:v>
      </ns0:c>
      <ns0:c r="K622" s="149" t="n">
        <ns0:f>IF(AND(B622="开局",G622=0,OR(D622="普通盒",D622="单颗暂存盒")),J622,0)</ns0:f>
        <ns0:v>0</ns0:v>
      </ns0:c>
      <ns0:c r="L622" s="149" t="n">
        <ns0:f>IF(AND(B622="开局",G622&gt;0,OR(D622="普通盒",D622="底部置顶盒",D622="炸弹盒")),J622,0)</ns0:f>
        <ns0:v>0</ns0:v>
      </ns0:c>
      <ns0:c r="M622" s="149" t="n">
        <ns0:f>IF(AND(B622="开局",OR(D622="固定颜色盒",D622="单向收纳盒")),J622,0)</ns0:f>
        <ns0:v>0</ns0:v>
      </ns0:c>
      <ns0:c r="N622" s="149" t="n">
        <ns0:f>IF(AND(B622="开局",OR(D622="数字盖盒",D622="普通冰冻盒",D622="数字冰冻盒",D622="数字冰冻单颗暂存盒")),J622,0)</ns0:f>
        <ns0:v>0</ns0:v>
      </ns0:c>
      <ns0:c r="O622" s="145" t="str">
        <ns0:f>IF(AND(E622&gt;0,E622=INT(E622),G622&gt;=0,G622&lt;=F622,G622=INT(G622),OR(AND(F622=1,OR(D622="单颗暂存盒",D622="数字冰冻单颗暂存盒")),AND(F622=4,NOT(OR(D622="单颗暂存盒",D622="数字冰冻单颗暂存盒")))),IF(OR(D622="数字盖盒",D622="数字冰冻盒",D622="数字冰冻单颗暂存盒"),AND(H622&gt;=1,H622=INT(H622)),H622=0),IF(B622="开局",AND(IF(OR(D622="数字盖盒",D622="普通冰冻盒",D622="数字冰冻盒",D622="炸弹盒",D622="底部置顶盒"),OR(G622=3,G622=4),TRUE),IF(OR(D622="单向收纳盒",D622="单颗暂存盒",D622="数字冰冻单颗暂存盒"),OR(G622=0,G622=1),TRUE),IF(OR(D622="固定颜色盒",D622="广告锁定周转盒"),G622=0,TRUE)),TRUE)),"通过","需调整")</ns0:f>
        <ns0:v>通过</ns0:v>
      </ns0:c>
      <ns0:c r="P622" s="145" t="str">
        <ns0:v>普通盒</ns0:v>
      </ns0:c>
      <ns0:c r="Q622" s="145" t="str">
        <ns0:v>层序JSON:{"reference":"2026-10-12 第91至100关组合挑战与百关收尾；固定层序、明牌拆弹材料与分段反馈","slots":[{"group_id":"W10-092-01","layers":[12,3,6,5]},{"group_id":"W10-092-01","layers":[4,2,6,8]},{"group_id":"W10-092-02","layers":[4,2,8]},{"group_id":"W10-092-05","layers":[12,2,2,5],"bomb_seconds":125},{"group_id":"W10-092-01","layers":[6,5,5,4]},{"group_id":"W10-092-01","layers":[0,5,0,2]},{"group_id":"W10-092-01","layers":[0,4,2,6]},{"group_id":"W10-092-01","layers":[8,6,3,6]},{"group_id":"W10-092-01","layers":[6,3,2,4]},{"group_id":"W10-092-01","layers":[0,4,3,3]},{"group_id":"W10-092-01","layers":[2,4,0,12]},{"group_id":"W10-092-01","layers":[5,5,0,12]},{"group_id":"W10-092-03","layers":[3]},{"group_id":"W10-092-01","layers":[0,6,8,4]},{"group_id":"W10-092-01","layers":[5,0,3,3]},{"group_id":"W10-092-04","layers":[]},{"group_id":"W10-092-06","layers":[],"fixed_flavor":2}],"stock":[],"demand_sequences":[[5,3,4,5,0,3,4],[2,6,8,0,12,2,6]]}</ns0:v>
      </ns0:c>
      <ns0:c r="R622" s="149" t="n">
        <ns0:f>E622*H622</ns0:f>
        <ns0:v>0</ns0:v>
      </ns0:c>
    </ns0:row>
    <ns0:row r="623" ht="21" customHeight="1">
      <ns0:c r="A623" s="147" t="n">
        <ns0:v>92</ns0:v>
      </ns0:c>
      <ns0:c r="B623" s="147" t="str">
        <ns0:v>开局</ns0:v>
      </ns0:c>
      <ns0:c r="C623" s="147" t="str">
        <ns0:v>W10-092-02</ns0:v>
      </ns0:c>
      <ns0:c r="D623" s="147" t="str">
        <ns0:v>普通盒</ns0:v>
      </ns0:c>
      <ns0:c r="E623" s="152" t="n">
        <ns0:v>1</ns0:v>
      </ns0:c>
      <ns0:c r="F623" s="152" t="n">
        <ns0:v>4</ns0:v>
      </ns0:c>
      <ns0:c r="G623" s="152" t="n">
        <ns0:v>3</ns0:v>
      </ns0:c>
      <ns0:c r="H623" s="152" t="n">
        <ns0:v>0</ns0:v>
      </ns0:c>
      <ns0:c r="I623" s="150" t="n">
        <ns0:f>E623*G623</ns0:f>
        <ns0:v>3</ns0:v>
      </ns0:c>
      <ns0:c r="J623" s="150" t="n">
        <ns0:f>E623*(F623-G623)</ns0:f>
        <ns0:v>1</ns0:v>
      </ns0:c>
      <ns0:c r="K623" s="150" t="n">
        <ns0:f>IF(AND(B623="开局",G623=0,OR(D623="普通盒",D623="单颗暂存盒")),J623,0)</ns0:f>
        <ns0:v>0</ns0:v>
      </ns0:c>
      <ns0:c r="L623" s="150" t="n">
        <ns0:f>IF(AND(B623="开局",G623&gt;0,OR(D623="普通盒",D623="底部置顶盒",D623="炸弹盒")),J623,0)</ns0:f>
        <ns0:v>1</ns0:v>
      </ns0:c>
      <ns0:c r="M623" s="150" t="n">
        <ns0:f>IF(AND(B623="开局",OR(D623="固定颜色盒",D623="单向收纳盒")),J623,0)</ns0:f>
        <ns0:v>0</ns0:v>
      </ns0:c>
      <ns0:c r="N623" s="150" t="n">
        <ns0:f>IF(AND(B623="开局",OR(D623="数字盖盒",D623="普通冰冻盒",D623="数字冰冻盒",D623="数字冰冻单颗暂存盒")),J623,0)</ns0:f>
        <ns0:v>0</ns0:v>
      </ns0:c>
      <ns0:c r="O623" s="147" t="str">
        <ns0:f>IF(AND(E623&gt;0,E623=INT(E623),G623&gt;=0,G623&lt;=F623,G623=INT(G623),OR(AND(F623=1,OR(D623="单颗暂存盒",D623="数字冰冻单颗暂存盒")),AND(F623=4,NOT(OR(D623="单颗暂存盒",D623="数字冰冻单颗暂存盒")))),IF(OR(D623="数字盖盒",D623="数字冰冻盒",D623="数字冰冻单颗暂存盒"),AND(H623&gt;=1,H623=INT(H623)),H623=0),IF(B623="开局",AND(IF(OR(D623="数字盖盒",D623="普通冰冻盒",D623="数字冰冻盒",D623="炸弹盒",D623="底部置顶盒"),OR(G623=3,G623=4),TRUE),IF(OR(D623="单向收纳盒",D623="单颗暂存盒",D623="数字冰冻单颗暂存盒"),OR(G623=0,G623=1),TRUE),IF(OR(D623="固定颜色盒",D623="广告锁定周转盒"),G623=0,TRUE)),TRUE)),"通过","需调整")</ns0:f>
        <ns0:v>通过</ns0:v>
      </ns0:c>
      <ns0:c r="P623" s="147" t="str">
        <ns0:v>普通盒</ns0:v>
      </ns0:c>
      <ns0:c r="Q623" s="147" t="str">
        <ns0:v>固定层序见本关首行</ns0:v>
      </ns0:c>
      <ns0:c r="R623" s="150" t="n">
        <ns0:f>E623*H623</ns0:f>
        <ns0:v>0</ns0:v>
      </ns0:c>
    </ns0:row>
    <ns0:row r="624" ht="21" customHeight="1">
      <ns0:c r="A624" s="145" t="n">
        <ns0:v>92</ns0:v>
      </ns0:c>
      <ns0:c r="B624" s="145" t="str">
        <ns0:v>开局</ns0:v>
      </ns0:c>
      <ns0:c r="C624" s="145" t="str">
        <ns0:v>W10-092-03</ns0:v>
      </ns0:c>
      <ns0:c r="D624" s="145" t="str">
        <ns0:v>普通盒</ns0:v>
      </ns0:c>
      <ns0:c r="E624" s="152" t="n">
        <ns0:v>1</ns0:v>
      </ns0:c>
      <ns0:c r="F624" s="152" t="n">
        <ns0:v>4</ns0:v>
      </ns0:c>
      <ns0:c r="G624" s="152" t="n">
        <ns0:v>1</ns0:v>
      </ns0:c>
      <ns0:c r="H624" s="152" t="n">
        <ns0:v>0</ns0:v>
      </ns0:c>
      <ns0:c r="I624" s="149" t="n">
        <ns0:f>E624*G624</ns0:f>
        <ns0:v>1</ns0:v>
      </ns0:c>
      <ns0:c r="J624" s="149" t="n">
        <ns0:f>E624*(F624-G624)</ns0:f>
        <ns0:v>3</ns0:v>
      </ns0:c>
      <ns0:c r="K624" s="149" t="n">
        <ns0:f>IF(AND(B624="开局",G624=0,OR(D624="普通盒",D624="单颗暂存盒")),J624,0)</ns0:f>
        <ns0:v>0</ns0:v>
      </ns0:c>
      <ns0:c r="L624" s="149" t="n">
        <ns0:f>IF(AND(B624="开局",G624&gt;0,OR(D624="普通盒",D624="底部置顶盒",D624="炸弹盒")),J624,0)</ns0:f>
        <ns0:v>3</ns0:v>
      </ns0:c>
      <ns0:c r="M624" s="149" t="n">
        <ns0:f>IF(AND(B624="开局",OR(D624="固定颜色盒",D624="单向收纳盒")),J624,0)</ns0:f>
        <ns0:v>0</ns0:v>
      </ns0:c>
      <ns0:c r="N624" s="149" t="n">
        <ns0:f>IF(AND(B624="开局",OR(D624="数字盖盒",D624="普通冰冻盒",D624="数字冰冻盒",D624="数字冰冻单颗暂存盒")),J624,0)</ns0:f>
        <ns0:v>0</ns0:v>
      </ns0:c>
      <ns0:c r="O624" s="145" t="str">
        <ns0:f>IF(AND(E624&gt;0,E624=INT(E624),G624&gt;=0,G624&lt;=F624,G624=INT(G624),OR(AND(F624=1,OR(D624="单颗暂存盒",D624="数字冰冻单颗暂存盒")),AND(F624=4,NOT(OR(D624="单颗暂存盒",D624="数字冰冻单颗暂存盒")))),IF(OR(D624="数字盖盒",D624="数字冰冻盒",D624="数字冰冻单颗暂存盒"),AND(H624&gt;=1,H624=INT(H624)),H624=0),IF(B624="开局",AND(IF(OR(D624="数字盖盒",D624="普通冰冻盒",D624="数字冰冻盒",D624="炸弹盒",D624="底部置顶盒"),OR(G624=3,G624=4),TRUE),IF(OR(D624="单向收纳盒",D624="单颗暂存盒",D624="数字冰冻单颗暂存盒"),OR(G624=0,G624=1),TRUE),IF(OR(D624="固定颜色盒",D624="广告锁定周转盒"),G624=0,TRUE)),TRUE)),"通过","需调整")</ns0:f>
        <ns0:v>通过</ns0:v>
      </ns0:c>
      <ns0:c r="P624" s="145" t="str">
        <ns0:v>普通盒</ns0:v>
      </ns0:c>
      <ns0:c r="Q624" s="145" t="str">
        <ns0:v>固定层序见本关首行</ns0:v>
      </ns0:c>
      <ns0:c r="R624" s="149" t="n">
        <ns0:f>E624*H624</ns0:f>
        <ns0:v>0</ns0:v>
      </ns0:c>
    </ns0:row>
    <ns0:row r="625" ht="21" customHeight="1">
      <ns0:c r="A625" s="147" t="n">
        <ns0:v>92</ns0:v>
      </ns0:c>
      <ns0:c r="B625" s="147" t="str">
        <ns0:v>开局</ns0:v>
      </ns0:c>
      <ns0:c r="C625" s="147" t="str">
        <ns0:v>W10-092-04</ns0:v>
      </ns0:c>
      <ns0:c r="D625" s="147" t="str">
        <ns0:v>普通盒</ns0:v>
      </ns0:c>
      <ns0:c r="E625" s="152" t="n">
        <ns0:v>1</ns0:v>
      </ns0:c>
      <ns0:c r="F625" s="152" t="n">
        <ns0:v>4</ns0:v>
      </ns0:c>
      <ns0:c r="G625" s="152" t="n">
        <ns0:v>0</ns0:v>
      </ns0:c>
      <ns0:c r="H625" s="152" t="n">
        <ns0:v>0</ns0:v>
      </ns0:c>
      <ns0:c r="I625" s="150" t="n">
        <ns0:f>E625*G625</ns0:f>
        <ns0:v>0</ns0:v>
      </ns0:c>
      <ns0:c r="J625" s="150" t="n">
        <ns0:f>E625*(F625-G625)</ns0:f>
        <ns0:v>4</ns0:v>
      </ns0:c>
      <ns0:c r="K625" s="150" t="n">
        <ns0:f>IF(AND(B625="开局",G625=0,OR(D625="普通盒",D625="单颗暂存盒")),J625,0)</ns0:f>
        <ns0:v>4</ns0:v>
      </ns0:c>
      <ns0:c r="L625" s="150" t="n">
        <ns0:f>IF(AND(B625="开局",G625&gt;0,OR(D625="普通盒",D625="底部置顶盒",D625="炸弹盒")),J625,0)</ns0:f>
        <ns0:v>0</ns0:v>
      </ns0:c>
      <ns0:c r="M625" s="150" t="n">
        <ns0:f>IF(AND(B625="开局",OR(D625="固定颜色盒",D625="单向收纳盒")),J625,0)</ns0:f>
        <ns0:v>0</ns0:v>
      </ns0:c>
      <ns0:c r="N625" s="150" t="n">
        <ns0:f>IF(AND(B625="开局",OR(D625="数字盖盒",D625="普通冰冻盒",D625="数字冰冻盒",D625="数字冰冻单颗暂存盒")),J625,0)</ns0:f>
        <ns0:v>0</ns0:v>
      </ns0:c>
      <ns0:c r="O625" s="147" t="str">
        <ns0:f>IF(AND(E625&gt;0,E625=INT(E625),G625&gt;=0,G625&lt;=F625,G625=INT(G625),OR(AND(F625=1,OR(D625="单颗暂存盒",D625="数字冰冻单颗暂存盒")),AND(F625=4,NOT(OR(D625="单颗暂存盒",D625="数字冰冻单颗暂存盒")))),IF(OR(D625="数字盖盒",D625="数字冰冻盒",D625="数字冰冻单颗暂存盒"),AND(H625&gt;=1,H625=INT(H625)),H625=0),IF(B625="开局",AND(IF(OR(D625="数字盖盒",D625="普通冰冻盒",D625="数字冰冻盒",D625="炸弹盒",D625="底部置顶盒"),OR(G625=3,G625=4),TRUE),IF(OR(D625="单向收纳盒",D625="单颗暂存盒",D625="数字冰冻单颗暂存盒"),OR(G625=0,G625=1),TRUE),IF(OR(D625="固定颜色盒",D625="广告锁定周转盒"),G625=0,TRUE)),TRUE)),"通过","需调整")</ns0:f>
        <ns0:v>通过</ns0:v>
      </ns0:c>
      <ns0:c r="P625" s="147" t="str">
        <ns0:v>普通盒</ns0:v>
      </ns0:c>
      <ns0:c r="Q625" s="147" t="str">
        <ns0:v>固定层序见本关首行</ns0:v>
      </ns0:c>
      <ns0:c r="R625" s="150" t="n">
        <ns0:f>E625*H625</ns0:f>
        <ns0:v>0</ns0:v>
      </ns0:c>
    </ns0:row>
    <ns0:row r="626" ht="21" customHeight="1">
      <ns0:c r="A626" s="145" t="n">
        <ns0:v>92</ns0:v>
      </ns0:c>
      <ns0:c r="B626" s="145" t="str">
        <ns0:v>开局</ns0:v>
      </ns0:c>
      <ns0:c r="C626" s="145" t="str">
        <ns0:v>W10-092-05</ns0:v>
      </ns0:c>
      <ns0:c r="D626" s="145" t="str">
        <ns0:v>炸弹盒</ns0:v>
      </ns0:c>
      <ns0:c r="E626" s="152" t="n">
        <ns0:v>1</ns0:v>
      </ns0:c>
      <ns0:c r="F626" s="152" t="n">
        <ns0:v>4</ns0:v>
      </ns0:c>
      <ns0:c r="G626" s="152" t="n">
        <ns0:v>4</ns0:v>
      </ns0:c>
      <ns0:c r="H626" s="152" t="n">
        <ns0:v>0</ns0:v>
      </ns0:c>
      <ns0:c r="I626" s="149" t="n">
        <ns0:f>E626*G626</ns0:f>
        <ns0:v>4</ns0:v>
      </ns0:c>
      <ns0:c r="J626" s="149" t="n">
        <ns0:f>E626*(F626-G626)</ns0:f>
        <ns0:v>0</ns0:v>
      </ns0:c>
      <ns0:c r="K626" s="149" t="n">
        <ns0:f>IF(AND(B626="开局",G626=0,OR(D626="普通盒",D626="单颗暂存盒")),J626,0)</ns0:f>
        <ns0:v>0</ns0:v>
      </ns0:c>
      <ns0:c r="L626" s="149" t="n">
        <ns0:f>IF(AND(B626="开局",G626&gt;0,OR(D626="普通盒",D626="底部置顶盒",D626="炸弹盒")),J626,0)</ns0:f>
        <ns0:v>0</ns0:v>
      </ns0:c>
      <ns0:c r="M626" s="149" t="n">
        <ns0:f>IF(AND(B626="开局",OR(D626="固定颜色盒",D626="单向收纳盒")),J626,0)</ns0:f>
        <ns0:v>0</ns0:v>
      </ns0:c>
      <ns0:c r="N626" s="149" t="n">
        <ns0:f>IF(AND(B626="开局",OR(D626="数字盖盒",D626="普通冰冻盒",D626="数字冰冻盒",D626="数字冰冻单颗暂存盒")),J626,0)</ns0:f>
        <ns0:v>0</ns0:v>
      </ns0:c>
      <ns0:c r="O626" s="145" t="str">
        <ns0:f>IF(AND(E626&gt;0,E626=INT(E626),G626&gt;=0,G626&lt;=F626,G626=INT(G626),OR(AND(F626=1,OR(D626="单颗暂存盒",D626="数字冰冻单颗暂存盒")),AND(F626=4,NOT(OR(D626="单颗暂存盒",D626="数字冰冻单颗暂存盒")))),IF(OR(D626="数字盖盒",D626="数字冰冻盒",D626="数字冰冻单颗暂存盒"),AND(H626&gt;=1,H626=INT(H626)),H626=0),IF(B626="开局",AND(IF(OR(D626="数字盖盒",D626="普通冰冻盒",D626="数字冰冻盒",D626="炸弹盒",D626="底部置顶盒"),OR(G626=3,G626=4),TRUE),IF(OR(D626="单向收纳盒",D626="单颗暂存盒",D626="数字冰冻单颗暂存盒"),OR(G626=0,G626=1),TRUE),IF(OR(D626="固定颜色盒",D626="广告锁定周转盒"),G626=0,TRUE)),TRUE)),"通过","需调整")</ns0:f>
        <ns0:v>通过</ns0:v>
      </ns0:c>
      <ns0:c r="P626" s="145" t="str">
        <ns0:v>炸弹盒</ns0:v>
      </ns0:c>
      <ns0:c r="Q626" s="145" t="str">
        <ns0:v>固定层序见本关首行</ns0:v>
      </ns0:c>
      <ns0:c r="R626" s="149" t="n">
        <ns0:f>E626*H626</ns0:f>
        <ns0:v>0</ns0:v>
      </ns0:c>
    </ns0:row>
    <ns0:row r="627" ht="21" customHeight="1">
      <ns0:c r="A627" s="147" t="n">
        <ns0:v>92</ns0:v>
      </ns0:c>
      <ns0:c r="B627" s="147" t="str">
        <ns0:v>开局</ns0:v>
      </ns0:c>
      <ns0:c r="C627" s="147" t="str">
        <ns0:v>W10-092-06</ns0:v>
      </ns0:c>
      <ns0:c r="D627" s="147" t="str">
        <ns0:v>固定颜色盒</ns0:v>
      </ns0:c>
      <ns0:c r="E627" s="152" t="n">
        <ns0:v>1</ns0:v>
      </ns0:c>
      <ns0:c r="F627" s="152" t="n">
        <ns0:v>4</ns0:v>
      </ns0:c>
      <ns0:c r="G627" s="152" t="n">
        <ns0:v>0</ns0:v>
      </ns0:c>
      <ns0:c r="H627" s="152" t="n">
        <ns0:v>0</ns0:v>
      </ns0:c>
      <ns0:c r="I627" s="150" t="n">
        <ns0:f>E627*G627</ns0:f>
        <ns0:v>0</ns0:v>
      </ns0:c>
      <ns0:c r="J627" s="150" t="n">
        <ns0:f>E627*(F627-G627)</ns0:f>
        <ns0:v>4</ns0:v>
      </ns0:c>
      <ns0:c r="K627" s="150" t="n">
        <ns0:f>IF(AND(B627="开局",G627=0,OR(D627="普通盒",D627="单颗暂存盒")),J627,0)</ns0:f>
        <ns0:v>0</ns0:v>
      </ns0:c>
      <ns0:c r="L627" s="150" t="n">
        <ns0:f>IF(AND(B627="开局",G627&gt;0,OR(D627="普通盒",D627="底部置顶盒",D627="炸弹盒")),J627,0)</ns0:f>
        <ns0:v>0</ns0:v>
      </ns0:c>
      <ns0:c r="M627" s="150" t="n">
        <ns0:f>IF(AND(B627="开局",OR(D627="固定颜色盒",D627="单向收纳盒")),J627,0)</ns0:f>
        <ns0:v>4</ns0:v>
      </ns0:c>
      <ns0:c r="N627" s="150" t="n">
        <ns0:f>IF(AND(B627="开局",OR(D627="数字盖盒",D627="普通冰冻盒",D627="数字冰冻盒",D627="数字冰冻单颗暂存盒")),J627,0)</ns0:f>
        <ns0:v>0</ns0:v>
      </ns0:c>
      <ns0:c r="O627" s="147" t="str">
        <ns0:f>IF(AND(E627&gt;0,E627=INT(E627),G627&gt;=0,G627&lt;=F627,G627=INT(G627),OR(AND(F627=1,OR(D627="单颗暂存盒",D627="数字冰冻单颗暂存盒")),AND(F627=4,NOT(OR(D627="单颗暂存盒",D627="数字冰冻单颗暂存盒")))),IF(OR(D627="数字盖盒",D627="数字冰冻盒",D627="数字冰冻单颗暂存盒"),AND(H627&gt;=1,H627=INT(H627)),H627=0),IF(B627="开局",AND(IF(OR(D627="数字盖盒",D627="普通冰冻盒",D627="数字冰冻盒",D627="炸弹盒",D627="底部置顶盒"),OR(G627=3,G627=4),TRUE),IF(OR(D627="单向收纳盒",D627="单颗暂存盒",D627="数字冰冻单颗暂存盒"),OR(G627=0,G627=1),TRUE),IF(OR(D627="固定颜色盒",D627="广告锁定周转盒"),G627=0,TRUE)),TRUE)),"通过","需调整")</ns0:f>
        <ns0:v>通过</ns0:v>
      </ns0:c>
      <ns0:c r="P627" s="147" t="str">
        <ns0:v>固定颜色盒</ns0:v>
      </ns0:c>
      <ns0:c r="Q627" s="147" t="str">
        <ns0:v>固定层序见本关首行</ns0:v>
      </ns0:c>
      <ns0:c r="R627" s="150" t="n">
        <ns0:f>E627*H627</ns0:f>
        <ns0:v>0</ns0:v>
      </ns0:c>
    </ns0:row>
    <ns0:row r="628" ht="21" customHeight="1">
      <ns0:c r="A628" s="145" t="n">
        <ns0:v>92</ns0:v>
      </ns0:c>
      <ns0:c r="B628" s="145" t="str">
        <ns0:v>开局</ns0:v>
      </ns0:c>
      <ns0:c r="C628" s="145" t="str">
        <ns0:v>W10-092-07</ns0:v>
      </ns0:c>
      <ns0:c r="D628" s="145" t="str">
        <ns0:v>广告锁定周转盒</ns0:v>
      </ns0:c>
      <ns0:c r="E628" s="152" t="n">
        <ns0:v>2</ns0:v>
      </ns0:c>
      <ns0:c r="F628" s="152" t="n">
        <ns0:v>4</ns0:v>
      </ns0:c>
      <ns0:c r="G628" s="152" t="n">
        <ns0:v>0</ns0:v>
      </ns0:c>
      <ns0:c r="H628" s="152" t="n">
        <ns0:v>0</ns0:v>
      </ns0:c>
      <ns0:c r="I628" s="149" t="n">
        <ns0:f>E628*G628</ns0:f>
        <ns0:v>0</ns0:v>
      </ns0:c>
      <ns0:c r="J628" s="149" t="n">
        <ns0:f>E628*(F628-G628)</ns0:f>
        <ns0:v>8</ns0:v>
      </ns0:c>
      <ns0:c r="K628" s="149" t="n">
        <ns0:f>IF(AND(B628="开局",G628=0,OR(D628="普通盒",D628="单颗暂存盒")),J628,0)</ns0:f>
        <ns0:v>0</ns0:v>
      </ns0:c>
      <ns0:c r="L628" s="149" t="n">
        <ns0:f>IF(AND(B628="开局",G628&gt;0,OR(D628="普通盒",D628="底部置顶盒",D628="炸弹盒")),J628,0)</ns0:f>
        <ns0:v>0</ns0:v>
      </ns0:c>
      <ns0:c r="M628" s="149" t="n">
        <ns0:f>IF(AND(B628="开局",OR(D628="固定颜色盒",D628="单向收纳盒")),J628,0)</ns0:f>
        <ns0:v>0</ns0:v>
      </ns0:c>
      <ns0:c r="N628" s="149" t="n">
        <ns0:f>IF(AND(B628="开局",OR(D628="数字盖盒",D628="普通冰冻盒",D628="数字冰冻盒",D628="数字冰冻单颗暂存盒")),J628,0)</ns0:f>
        <ns0:v>0</ns0:v>
      </ns0:c>
      <ns0:c r="O628" s="145" t="str">
        <ns0:f>IF(AND(E628&gt;0,E628=INT(E628),G628&gt;=0,G628&lt;=F628,G628=INT(G628),OR(AND(F628=1,OR(D628="单颗暂存盒",D628="数字冰冻单颗暂存盒")),AND(F628=4,NOT(OR(D628="单颗暂存盒",D628="数字冰冻单颗暂存盒")))),IF(OR(D628="数字盖盒",D628="数字冰冻盒",D628="数字冰冻单颗暂存盒"),AND(H628&gt;=1,H628=INT(H628)),H628=0),IF(B628="开局",AND(IF(OR(D628="数字盖盒",D628="普通冰冻盒",D628="数字冰冻盒",D628="炸弹盒",D628="底部置顶盒"),OR(G628=3,G628=4),TRUE),IF(OR(D628="单向收纳盒",D628="单颗暂存盒",D628="数字冰冻单颗暂存盒"),OR(G628=0,G628=1),TRUE),IF(OR(D628="固定颜色盒",D628="广告锁定周转盒"),G628=0,TRUE)),TRUE)),"通过","需调整")</ns0:f>
        <ns0:v>通过</ns0:v>
      </ns0:c>
      <ns0:c r="P628" s="145" t="str">
        <ns0:v>双广告锁位</ns0:v>
      </ns0:c>
      <ns0:c r="Q628" s="145" t="str">
        <ns0:v>固定层序见本关首行</ns0:v>
      </ns0:c>
      <ns0:c r="R628" s="149" t="n">
        <ns0:f>E628*H628</ns0:f>
        <ns0:v>0</ns0:v>
      </ns0:c>
    </ns0:row>
    <ns0:row r="629" ht="21" customHeight="1">
      <ns0:c r="A629" s="147" t="n">
        <ns0:v>93</ns0:v>
      </ns0:c>
      <ns0:c r="B629" s="147" t="str">
        <ns0:v>开局</ns0:v>
      </ns0:c>
      <ns0:c r="C629" s="147" t="str">
        <ns0:v>W10-093-01</ns0:v>
      </ns0:c>
      <ns0:c r="D629" s="147" t="str">
        <ns0:v>普通盒</ns0:v>
      </ns0:c>
      <ns0:c r="E629" s="152" t="n">
        <ns0:v>11</ns0:v>
      </ns0:c>
      <ns0:c r="F629" s="152" t="n">
        <ns0:v>4</ns0:v>
      </ns0:c>
      <ns0:c r="G629" s="152" t="n">
        <ns0:v>4</ns0:v>
      </ns0:c>
      <ns0:c r="H629" s="152" t="n">
        <ns0:v>0</ns0:v>
      </ns0:c>
      <ns0:c r="I629" s="150" t="n">
        <ns0:f>E629*G629</ns0:f>
        <ns0:v>44</ns0:v>
      </ns0:c>
      <ns0:c r="J629" s="150" t="n">
        <ns0:f>E629*(F629-G629)</ns0:f>
        <ns0:v>0</ns0:v>
      </ns0:c>
      <ns0:c r="K629" s="150" t="n">
        <ns0:f>IF(AND(B629="开局",G629=0,OR(D629="普通盒",D629="单颗暂存盒")),J629,0)</ns0:f>
        <ns0:v>0</ns0:v>
      </ns0:c>
      <ns0:c r="L629" s="150" t="n">
        <ns0:f>IF(AND(B629="开局",G629&gt;0,OR(D629="普通盒",D629="底部置顶盒",D629="炸弹盒")),J629,0)</ns0:f>
        <ns0:v>0</ns0:v>
      </ns0:c>
      <ns0:c r="M629" s="150" t="n">
        <ns0:f>IF(AND(B629="开局",OR(D629="固定颜色盒",D629="单向收纳盒")),J629,0)</ns0:f>
        <ns0:v>0</ns0:v>
      </ns0:c>
      <ns0:c r="N629" s="150" t="n">
        <ns0:f>IF(AND(B629="开局",OR(D629="数字盖盒",D629="普通冰冻盒",D629="数字冰冻盒",D629="数字冰冻单颗暂存盒")),J629,0)</ns0:f>
        <ns0:v>0</ns0:v>
      </ns0:c>
      <ns0:c r="O629" s="147" t="str">
        <ns0:f>IF(AND(E629&gt;0,E629=INT(E629),G629&gt;=0,G629&lt;=F629,G629=INT(G629),OR(AND(F629=1,OR(D629="单颗暂存盒",D629="数字冰冻单颗暂存盒")),AND(F629=4,NOT(OR(D629="单颗暂存盒",D629="数字冰冻单颗暂存盒")))),IF(OR(D629="数字盖盒",D629="数字冰冻盒",D629="数字冰冻单颗暂存盒"),AND(H629&gt;=1,H629=INT(H629)),H629=0),IF(B629="开局",AND(IF(OR(D629="数字盖盒",D629="普通冰冻盒",D629="数字冰冻盒",D629="炸弹盒",D629="底部置顶盒"),OR(G629=3,G629=4),TRUE),IF(OR(D629="单向收纳盒",D629="单颗暂存盒",D629="数字冰冻单颗暂存盒"),OR(G629=0,G629=1),TRUE),IF(OR(D629="固定颜色盒",D629="广告锁定周转盒"),G629=0,TRUE)),TRUE)),"通过","需调整")</ns0:f>
        <ns0:v>通过</ns0:v>
      </ns0:c>
      <ns0:c r="P629" s="147" t="str">
        <ns0:v>普通盒</ns0:v>
      </ns0:c>
      <ns0:c r="Q629" s="147" t="str">
        <ns0:v>层序JSON:{"reference":"2026-10-12 第91至100关组合挑战与百关收尾；固定层序、明牌拆弹材料与分段反馈","slots":[{"group_id":"W10-093-01","layers":[4,5,8,6]},{"group_id":"W10-093-05","layers":[0,6,5,6],"bomb_seconds":140},{"group_id":"W10-093-01","layers":[3,0,6,2]},{"group_id":"W10-093-02","layers":[8,6,12]},{"group_id":"W10-093-01","layers":[12,2,3,8]},{"group_id":"W10-093-01","layers":[3,2,3,8]},{"group_id":"W10-093-01","layers":[3,6,5,4]},{"group_id":"W10-093-07","layers":[2,0,8,2]},{"group_id":"W10-093-01","layers":[12,0,4,2]},{"group_id":"W10-093-01","layers":[4,8,4,5]},{"group_id":"W10-093-01","layers":[8,12,6,0]},{"group_id":"W10-093-01","layers":[2,4,0,3]},{"group_id":"W10-093-03","layers":[5]},{"group_id":"W10-093-01","layers":[5,4,5,0]},{"group_id":"W10-093-01","layers":[3,6,3,5]},{"group_id":"W10-093-06","layers":[4,8,0,2]},{"group_id":"W10-093-04","layers":[]}],"stock":[],"demand_sequences":[[3,5,2,6,8,3,2,5],[6,4,12,0,0,8,4]]}</ns0:v>
      </ns0:c>
      <ns0:c r="R629" s="150" t="n">
        <ns0:f>E629*H629</ns0:f>
        <ns0:v>0</ns0:v>
      </ns0:c>
    </ns0:row>
    <ns0:row r="630" ht="21" customHeight="1">
      <ns0:c r="A630" s="145" t="n">
        <ns0:v>93</ns0:v>
      </ns0:c>
      <ns0:c r="B630" s="145" t="str">
        <ns0:v>开局</ns0:v>
      </ns0:c>
      <ns0:c r="C630" s="145" t="str">
        <ns0:v>W10-093-02</ns0:v>
      </ns0:c>
      <ns0:c r="D630" s="145" t="str">
        <ns0:v>普通盒</ns0:v>
      </ns0:c>
      <ns0:c r="E630" s="152" t="n">
        <ns0:v>1</ns0:v>
      </ns0:c>
      <ns0:c r="F630" s="152" t="n">
        <ns0:v>4</ns0:v>
      </ns0:c>
      <ns0:c r="G630" s="152" t="n">
        <ns0:v>3</ns0:v>
      </ns0:c>
      <ns0:c r="H630" s="152" t="n">
        <ns0:v>0</ns0:v>
      </ns0:c>
      <ns0:c r="I630" s="149" t="n">
        <ns0:f>E630*G630</ns0:f>
        <ns0:v>3</ns0:v>
      </ns0:c>
      <ns0:c r="J630" s="149" t="n">
        <ns0:f>E630*(F630-G630)</ns0:f>
        <ns0:v>1</ns0:v>
      </ns0:c>
      <ns0:c r="K630" s="149" t="n">
        <ns0:f>IF(AND(B630="开局",G630=0,OR(D630="普通盒",D630="单颗暂存盒")),J630,0)</ns0:f>
        <ns0:v>0</ns0:v>
      </ns0:c>
      <ns0:c r="L630" s="149" t="n">
        <ns0:f>IF(AND(B630="开局",G630&gt;0,OR(D630="普通盒",D630="底部置顶盒",D630="炸弹盒")),J630,0)</ns0:f>
        <ns0:v>1</ns0:v>
      </ns0:c>
      <ns0:c r="M630" s="149" t="n">
        <ns0:f>IF(AND(B630="开局",OR(D630="固定颜色盒",D630="单向收纳盒")),J630,0)</ns0:f>
        <ns0:v>0</ns0:v>
      </ns0:c>
      <ns0:c r="N630" s="149" t="n">
        <ns0:f>IF(AND(B630="开局",OR(D630="数字盖盒",D630="普通冰冻盒",D630="数字冰冻盒",D630="数字冰冻单颗暂存盒")),J630,0)</ns0:f>
        <ns0:v>0</ns0:v>
      </ns0:c>
      <ns0:c r="O630" s="145" t="str">
        <ns0:f>IF(AND(E630&gt;0,E630=INT(E630),G630&gt;=0,G630&lt;=F630,G630=INT(G630),OR(AND(F630=1,OR(D630="单颗暂存盒",D630="数字冰冻单颗暂存盒")),AND(F630=4,NOT(OR(D630="单颗暂存盒",D630="数字冰冻单颗暂存盒")))),IF(OR(D630="数字盖盒",D630="数字冰冻盒",D630="数字冰冻单颗暂存盒"),AND(H630&gt;=1,H630=INT(H630)),H630=0),IF(B630="开局",AND(IF(OR(D630="数字盖盒",D630="普通冰冻盒",D630="数字冰冻盒",D630="炸弹盒",D630="底部置顶盒"),OR(G630=3,G630=4),TRUE),IF(OR(D630="单向收纳盒",D630="单颗暂存盒",D630="数字冰冻单颗暂存盒"),OR(G630=0,G630=1),TRUE),IF(OR(D630="固定颜色盒",D630="广告锁定周转盒"),G630=0,TRUE)),TRUE)),"通过","需调整")</ns0:f>
        <ns0:v>通过</ns0:v>
      </ns0:c>
      <ns0:c r="P630" s="145" t="str">
        <ns0:v>普通盒</ns0:v>
      </ns0:c>
      <ns0:c r="Q630" s="145" t="str">
        <ns0:v>固定层序见本关首行</ns0:v>
      </ns0:c>
      <ns0:c r="R630" s="149" t="n">
        <ns0:f>E630*H630</ns0:f>
        <ns0:v>0</ns0:v>
      </ns0:c>
    </ns0:row>
    <ns0:row r="631" ht="21" customHeight="1">
      <ns0:c r="A631" s="147" t="n">
        <ns0:v>93</ns0:v>
      </ns0:c>
      <ns0:c r="B631" s="147" t="str">
        <ns0:v>开局</ns0:v>
      </ns0:c>
      <ns0:c r="C631" s="147" t="str">
        <ns0:v>W10-093-03</ns0:v>
      </ns0:c>
      <ns0:c r="D631" s="147" t="str">
        <ns0:v>普通盒</ns0:v>
      </ns0:c>
      <ns0:c r="E631" s="152" t="n">
        <ns0:v>1</ns0:v>
      </ns0:c>
      <ns0:c r="F631" s="152" t="n">
        <ns0:v>4</ns0:v>
      </ns0:c>
      <ns0:c r="G631" s="152" t="n">
        <ns0:v>1</ns0:v>
      </ns0:c>
      <ns0:c r="H631" s="152" t="n">
        <ns0:v>0</ns0:v>
      </ns0:c>
      <ns0:c r="I631" s="150" t="n">
        <ns0:f>E631*G631</ns0:f>
        <ns0:v>1</ns0:v>
      </ns0:c>
      <ns0:c r="J631" s="150" t="n">
        <ns0:f>E631*(F631-G631)</ns0:f>
        <ns0:v>3</ns0:v>
      </ns0:c>
      <ns0:c r="K631" s="150" t="n">
        <ns0:f>IF(AND(B631="开局",G631=0,OR(D631="普通盒",D631="单颗暂存盒")),J631,0)</ns0:f>
        <ns0:v>0</ns0:v>
      </ns0:c>
      <ns0:c r="L631" s="150" t="n">
        <ns0:f>IF(AND(B631="开局",G631&gt;0,OR(D631="普通盒",D631="底部置顶盒",D631="炸弹盒")),J631,0)</ns0:f>
        <ns0:v>3</ns0:v>
      </ns0:c>
      <ns0:c r="M631" s="150" t="n">
        <ns0:f>IF(AND(B631="开局",OR(D631="固定颜色盒",D631="单向收纳盒")),J631,0)</ns0:f>
        <ns0:v>0</ns0:v>
      </ns0:c>
      <ns0:c r="N631" s="150" t="n">
        <ns0:f>IF(AND(B631="开局",OR(D631="数字盖盒",D631="普通冰冻盒",D631="数字冰冻盒",D631="数字冰冻单颗暂存盒")),J631,0)</ns0:f>
        <ns0:v>0</ns0:v>
      </ns0:c>
      <ns0:c r="O631" s="147" t="str">
        <ns0:f>IF(AND(E631&gt;0,E631=INT(E631),G631&gt;=0,G631&lt;=F631,G631=INT(G631),OR(AND(F631=1,OR(D631="单颗暂存盒",D631="数字冰冻单颗暂存盒")),AND(F631=4,NOT(OR(D631="单颗暂存盒",D631="数字冰冻单颗暂存盒")))),IF(OR(D631="数字盖盒",D631="数字冰冻盒",D631="数字冰冻单颗暂存盒"),AND(H631&gt;=1,H631=INT(H631)),H631=0),IF(B631="开局",AND(IF(OR(D631="数字盖盒",D631="普通冰冻盒",D631="数字冰冻盒",D631="炸弹盒",D631="底部置顶盒"),OR(G631=3,G631=4),TRUE),IF(OR(D631="单向收纳盒",D631="单颗暂存盒",D631="数字冰冻单颗暂存盒"),OR(G631=0,G631=1),TRUE),IF(OR(D631="固定颜色盒",D631="广告锁定周转盒"),G631=0,TRUE)),TRUE)),"通过","需调整")</ns0:f>
        <ns0:v>通过</ns0:v>
      </ns0:c>
      <ns0:c r="P631" s="147" t="str">
        <ns0:v>普通盒</ns0:v>
      </ns0:c>
      <ns0:c r="Q631" s="147" t="str">
        <ns0:v>固定层序见本关首行</ns0:v>
      </ns0:c>
      <ns0:c r="R631" s="150" t="n">
        <ns0:f>E631*H631</ns0:f>
        <ns0:v>0</ns0:v>
      </ns0:c>
    </ns0:row>
    <ns0:row r="632" ht="21" customHeight="1">
      <ns0:c r="A632" s="145" t="n">
        <ns0:v>93</ns0:v>
      </ns0:c>
      <ns0:c r="B632" s="145" t="str">
        <ns0:v>开局</ns0:v>
      </ns0:c>
      <ns0:c r="C632" s="145" t="str">
        <ns0:v>W10-093-04</ns0:v>
      </ns0:c>
      <ns0:c r="D632" s="145" t="str">
        <ns0:v>普通盒</ns0:v>
      </ns0:c>
      <ns0:c r="E632" s="152" t="n">
        <ns0:v>1</ns0:v>
      </ns0:c>
      <ns0:c r="F632" s="152" t="n">
        <ns0:v>4</ns0:v>
      </ns0:c>
      <ns0:c r="G632" s="152" t="n">
        <ns0:v>0</ns0:v>
      </ns0:c>
      <ns0:c r="H632" s="152" t="n">
        <ns0:v>0</ns0:v>
      </ns0:c>
      <ns0:c r="I632" s="149" t="n">
        <ns0:f>E632*G632</ns0:f>
        <ns0:v>0</ns0:v>
      </ns0:c>
      <ns0:c r="J632" s="149" t="n">
        <ns0:f>E632*(F632-G632)</ns0:f>
        <ns0:v>4</ns0:v>
      </ns0:c>
      <ns0:c r="K632" s="149" t="n">
        <ns0:f>IF(AND(B632="开局",G632=0,OR(D632="普通盒",D632="单颗暂存盒")),J632,0)</ns0:f>
        <ns0:v>4</ns0:v>
      </ns0:c>
      <ns0:c r="L632" s="149" t="n">
        <ns0:f>IF(AND(B632="开局",G632&gt;0,OR(D632="普通盒",D632="底部置顶盒",D632="炸弹盒")),J632,0)</ns0:f>
        <ns0:v>0</ns0:v>
      </ns0:c>
      <ns0:c r="M632" s="149" t="n">
        <ns0:f>IF(AND(B632="开局",OR(D632="固定颜色盒",D632="单向收纳盒")),J632,0)</ns0:f>
        <ns0:v>0</ns0:v>
      </ns0:c>
      <ns0:c r="N632" s="149" t="n">
        <ns0:f>IF(AND(B632="开局",OR(D632="数字盖盒",D632="普通冰冻盒",D632="数字冰冻盒",D632="数字冰冻单颗暂存盒")),J632,0)</ns0:f>
        <ns0:v>0</ns0:v>
      </ns0:c>
      <ns0:c r="O632" s="145" t="str">
        <ns0:f>IF(AND(E632&gt;0,E632=INT(E632),G632&gt;=0,G632&lt;=F632,G632=INT(G632),OR(AND(F632=1,OR(D632="单颗暂存盒",D632="数字冰冻单颗暂存盒")),AND(F632=4,NOT(OR(D632="单颗暂存盒",D632="数字冰冻单颗暂存盒")))),IF(OR(D632="数字盖盒",D632="数字冰冻盒",D632="数字冰冻单颗暂存盒"),AND(H632&gt;=1,H632=INT(H632)),H632=0),IF(B632="开局",AND(IF(OR(D632="数字盖盒",D632="普通冰冻盒",D632="数字冰冻盒",D632="炸弹盒",D632="底部置顶盒"),OR(G632=3,G632=4),TRUE),IF(OR(D632="单向收纳盒",D632="单颗暂存盒",D632="数字冰冻单颗暂存盒"),OR(G632=0,G632=1),TRUE),IF(OR(D632="固定颜色盒",D632="广告锁定周转盒"),G632=0,TRUE)),TRUE)),"通过","需调整")</ns0:f>
        <ns0:v>通过</ns0:v>
      </ns0:c>
      <ns0:c r="P632" s="145" t="str">
        <ns0:v>普通盒</ns0:v>
      </ns0:c>
      <ns0:c r="Q632" s="145" t="str">
        <ns0:v>固定层序见本关首行</ns0:v>
      </ns0:c>
      <ns0:c r="R632" s="149" t="n">
        <ns0:f>E632*H632</ns0:f>
        <ns0:v>0</ns0:v>
      </ns0:c>
    </ns0:row>
    <ns0:row r="633" ht="21" customHeight="1">
      <ns0:c r="A633" s="147" t="n">
        <ns0:v>93</ns0:v>
      </ns0:c>
      <ns0:c r="B633" s="147" t="str">
        <ns0:v>开局</ns0:v>
      </ns0:c>
      <ns0:c r="C633" s="147" t="str">
        <ns0:v>W10-093-05</ns0:v>
      </ns0:c>
      <ns0:c r="D633" s="147" t="str">
        <ns0:v>炸弹盒</ns0:v>
      </ns0:c>
      <ns0:c r="E633" s="152" t="n">
        <ns0:v>1</ns0:v>
      </ns0:c>
      <ns0:c r="F633" s="152" t="n">
        <ns0:v>4</ns0:v>
      </ns0:c>
      <ns0:c r="G633" s="152" t="n">
        <ns0:v>4</ns0:v>
      </ns0:c>
      <ns0:c r="H633" s="152" t="n">
        <ns0:v>0</ns0:v>
      </ns0:c>
      <ns0:c r="I633" s="150" t="n">
        <ns0:f>E633*G633</ns0:f>
        <ns0:v>4</ns0:v>
      </ns0:c>
      <ns0:c r="J633" s="150" t="n">
        <ns0:f>E633*(F633-G633)</ns0:f>
        <ns0:v>0</ns0:v>
      </ns0:c>
      <ns0:c r="K633" s="150" t="n">
        <ns0:f>IF(AND(B633="开局",G633=0,OR(D633="普通盒",D633="单颗暂存盒")),J633,0)</ns0:f>
        <ns0:v>0</ns0:v>
      </ns0:c>
      <ns0:c r="L633" s="150" t="n">
        <ns0:f>IF(AND(B633="开局",G633&gt;0,OR(D633="普通盒",D633="底部置顶盒",D633="炸弹盒")),J633,0)</ns0:f>
        <ns0:v>0</ns0:v>
      </ns0:c>
      <ns0:c r="M633" s="150" t="n">
        <ns0:f>IF(AND(B633="开局",OR(D633="固定颜色盒",D633="单向收纳盒")),J633,0)</ns0:f>
        <ns0:v>0</ns0:v>
      </ns0:c>
      <ns0:c r="N633" s="150" t="n">
        <ns0:f>IF(AND(B633="开局",OR(D633="数字盖盒",D633="普通冰冻盒",D633="数字冰冻盒",D633="数字冰冻单颗暂存盒")),J633,0)</ns0:f>
        <ns0:v>0</ns0:v>
      </ns0:c>
      <ns0:c r="O633" s="147" t="str">
        <ns0:f>IF(AND(E633&gt;0,E633=INT(E633),G633&gt;=0,G633&lt;=F633,G633=INT(G633),OR(AND(F633=1,OR(D633="单颗暂存盒",D633="数字冰冻单颗暂存盒")),AND(F633=4,NOT(OR(D633="单颗暂存盒",D633="数字冰冻单颗暂存盒")))),IF(OR(D633="数字盖盒",D633="数字冰冻盒",D633="数字冰冻单颗暂存盒"),AND(H633&gt;=1,H633=INT(H633)),H633=0),IF(B633="开局",AND(IF(OR(D633="数字盖盒",D633="普通冰冻盒",D633="数字冰冻盒",D633="炸弹盒",D633="底部置顶盒"),OR(G633=3,G633=4),TRUE),IF(OR(D633="单向收纳盒",D633="单颗暂存盒",D633="数字冰冻单颗暂存盒"),OR(G633=0,G633=1),TRUE),IF(OR(D633="固定颜色盒",D633="广告锁定周转盒"),G633=0,TRUE)),TRUE)),"通过","需调整")</ns0:f>
        <ns0:v>通过</ns0:v>
      </ns0:c>
      <ns0:c r="P633" s="147" t="str">
        <ns0:v>炸弹盒</ns0:v>
      </ns0:c>
      <ns0:c r="Q633" s="147" t="str">
        <ns0:v>固定层序见本关首行</ns0:v>
      </ns0:c>
      <ns0:c r="R633" s="150" t="n">
        <ns0:f>E633*H633</ns0:f>
        <ns0:v>0</ns0:v>
      </ns0:c>
    </ns0:row>
    <ns0:row r="634" ht="21" customHeight="1">
      <ns0:c r="A634" s="145" t="n">
        <ns0:v>93</ns0:v>
      </ns0:c>
      <ns0:c r="B634" s="145" t="str">
        <ns0:v>开局</ns0:v>
      </ns0:c>
      <ns0:c r="C634" s="145" t="str">
        <ns0:v>W10-093-06</ns0:v>
      </ns0:c>
      <ns0:c r="D634" s="145" t="str">
        <ns0:v>底部置顶盒</ns0:v>
      </ns0:c>
      <ns0:c r="E634" s="152" t="n">
        <ns0:v>1</ns0:v>
      </ns0:c>
      <ns0:c r="F634" s="152" t="n">
        <ns0:v>4</ns0:v>
      </ns0:c>
      <ns0:c r="G634" s="152" t="n">
        <ns0:v>4</ns0:v>
      </ns0:c>
      <ns0:c r="H634" s="152" t="n">
        <ns0:v>0</ns0:v>
      </ns0:c>
      <ns0:c r="I634" s="149" t="n">
        <ns0:f>E634*G634</ns0:f>
        <ns0:v>4</ns0:v>
      </ns0:c>
      <ns0:c r="J634" s="149" t="n">
        <ns0:f>E634*(F634-G634)</ns0:f>
        <ns0:v>0</ns0:v>
      </ns0:c>
      <ns0:c r="K634" s="149" t="n">
        <ns0:f>IF(AND(B634="开局",G634=0,OR(D634="普通盒",D634="单颗暂存盒")),J634,0)</ns0:f>
        <ns0:v>0</ns0:v>
      </ns0:c>
      <ns0:c r="L634" s="149" t="n">
        <ns0:f>IF(AND(B634="开局",G634&gt;0,OR(D634="普通盒",D634="底部置顶盒",D634="炸弹盒")),J634,0)</ns0:f>
        <ns0:v>0</ns0:v>
      </ns0:c>
      <ns0:c r="M634" s="149" t="n">
        <ns0:f>IF(AND(B634="开局",OR(D634="固定颜色盒",D634="单向收纳盒")),J634,0)</ns0:f>
        <ns0:v>0</ns0:v>
      </ns0:c>
      <ns0:c r="N634" s="149" t="n">
        <ns0:f>IF(AND(B634="开局",OR(D634="数字盖盒",D634="普通冰冻盒",D634="数字冰冻盒",D634="数字冰冻单颗暂存盒")),J634,0)</ns0:f>
        <ns0:v>0</ns0:v>
      </ns0:c>
      <ns0:c r="O634" s="145" t="str">
        <ns0:f>IF(AND(E634&gt;0,E634=INT(E634),G634&gt;=0,G634&lt;=F634,G634=INT(G634),OR(AND(F634=1,OR(D634="单颗暂存盒",D634="数字冰冻单颗暂存盒")),AND(F634=4,NOT(OR(D634="单颗暂存盒",D634="数字冰冻单颗暂存盒")))),IF(OR(D634="数字盖盒",D634="数字冰冻盒",D634="数字冰冻单颗暂存盒"),AND(H634&gt;=1,H634=INT(H634)),H634=0),IF(B634="开局",AND(IF(OR(D634="数字盖盒",D634="普通冰冻盒",D634="数字冰冻盒",D634="炸弹盒",D634="底部置顶盒"),OR(G634=3,G634=4),TRUE),IF(OR(D634="单向收纳盒",D634="单颗暂存盒",D634="数字冰冻单颗暂存盒"),OR(G634=0,G634=1),TRUE),IF(OR(D634="固定颜色盒",D634="广告锁定周转盒"),G634=0,TRUE)),TRUE)),"通过","需调整")</ns0:f>
        <ns0:v>通过</ns0:v>
      </ns0:c>
      <ns0:c r="P634" s="145" t="str">
        <ns0:v>底部置顶盒</ns0:v>
      </ns0:c>
      <ns0:c r="Q634" s="145" t="str">
        <ns0:v>固定层序见本关首行</ns0:v>
      </ns0:c>
      <ns0:c r="R634" s="149" t="n">
        <ns0:f>E634*H634</ns0:f>
        <ns0:v>0</ns0:v>
      </ns0:c>
    </ns0:row>
    <ns0:row r="635" ht="21" customHeight="1">
      <ns0:c r="A635" s="147" t="n">
        <ns0:v>93</ns0:v>
      </ns0:c>
      <ns0:c r="B635" s="147" t="str">
        <ns0:v>开局</ns0:v>
      </ns0:c>
      <ns0:c r="C635" s="147" t="str">
        <ns0:v>W10-093-07</ns0:v>
      </ns0:c>
      <ns0:c r="D635" s="147" t="str">
        <ns0:v>数字冰冻盒</ns0:v>
      </ns0:c>
      <ns0:c r="E635" s="152" t="n">
        <ns0:v>1</ns0:v>
      </ns0:c>
      <ns0:c r="F635" s="152" t="n">
        <ns0:v>4</ns0:v>
      </ns0:c>
      <ns0:c r="G635" s="152" t="n">
        <ns0:v>4</ns0:v>
      </ns0:c>
      <ns0:c r="H635" s="152" t="n">
        <ns0:v>2</ns0:v>
      </ns0:c>
      <ns0:c r="I635" s="150" t="n">
        <ns0:f>E635*G635</ns0:f>
        <ns0:v>4</ns0:v>
      </ns0:c>
      <ns0:c r="J635" s="150" t="n">
        <ns0:f>E635*(F635-G635)</ns0:f>
        <ns0:v>0</ns0:v>
      </ns0:c>
      <ns0:c r="K635" s="150" t="n">
        <ns0:f>IF(AND(B635="开局",G635=0,OR(D635="普通盒",D635="单颗暂存盒")),J635,0)</ns0:f>
        <ns0:v>0</ns0:v>
      </ns0:c>
      <ns0:c r="L635" s="150" t="n">
        <ns0:f>IF(AND(B635="开局",G635&gt;0,OR(D635="普通盒",D635="底部置顶盒",D635="炸弹盒")),J635,0)</ns0:f>
        <ns0:v>0</ns0:v>
      </ns0:c>
      <ns0:c r="M635" s="150" t="n">
        <ns0:f>IF(AND(B635="开局",OR(D635="固定颜色盒",D635="单向收纳盒")),J635,0)</ns0:f>
        <ns0:v>0</ns0:v>
      </ns0:c>
      <ns0:c r="N635" s="150" t="n">
        <ns0:f>IF(AND(B635="开局",OR(D635="数字盖盒",D635="普通冰冻盒",D635="数字冰冻盒",D635="数字冰冻单颗暂存盒")),J635,0)</ns0:f>
        <ns0:v>0</ns0:v>
      </ns0:c>
      <ns0:c r="O635" s="147" t="str">
        <ns0:f>IF(AND(E635&gt;0,E635=INT(E635),G635&gt;=0,G635&lt;=F635,G635=INT(G635),OR(AND(F635=1,OR(D635="单颗暂存盒",D635="数字冰冻单颗暂存盒")),AND(F635=4,NOT(OR(D635="单颗暂存盒",D635="数字冰冻单颗暂存盒")))),IF(OR(D635="数字盖盒",D635="数字冰冻盒",D635="数字冰冻单颗暂存盒"),AND(H635&gt;=1,H635=INT(H635)),H635=0),IF(B635="开局",AND(IF(OR(D635="数字盖盒",D635="普通冰冻盒",D635="数字冰冻盒",D635="炸弹盒",D635="底部置顶盒"),OR(G635=3,G635=4),TRUE),IF(OR(D635="单向收纳盒",D635="单颗暂存盒",D635="数字冰冻单颗暂存盒"),OR(G635=0,G635=1),TRUE),IF(OR(D635="固定颜色盒",D635="广告锁定周转盒"),G635=0,TRUE)),TRUE)),"通过","需调整")</ns0:f>
        <ns0:v>通过</ns0:v>
      </ns0:c>
      <ns0:c r="P635" s="147" t="str">
        <ns0:v>数字冰冻盒</ns0:v>
      </ns0:c>
      <ns0:c r="Q635" s="147" t="str">
        <ns0:v>固定层序见本关首行</ns0:v>
      </ns0:c>
      <ns0:c r="R635" s="150" t="n">
        <ns0:f>E635*H635</ns0:f>
        <ns0:v>2</ns0:v>
      </ns0:c>
    </ns0:row>
    <ns0:row r="636" ht="21" customHeight="1">
      <ns0:c r="A636" s="145" t="n">
        <ns0:v>93</ns0:v>
      </ns0:c>
      <ns0:c r="B636" s="145" t="str">
        <ns0:v>开局</ns0:v>
      </ns0:c>
      <ns0:c r="C636" s="145" t="str">
        <ns0:v>W10-093-08</ns0:v>
      </ns0:c>
      <ns0:c r="D636" s="145" t="str">
        <ns0:v>广告锁定周转盒</ns0:v>
      </ns0:c>
      <ns0:c r="E636" s="152" t="n">
        <ns0:v>2</ns0:v>
      </ns0:c>
      <ns0:c r="F636" s="152" t="n">
        <ns0:v>4</ns0:v>
      </ns0:c>
      <ns0:c r="G636" s="152" t="n">
        <ns0:v>0</ns0:v>
      </ns0:c>
      <ns0:c r="H636" s="152" t="n">
        <ns0:v>0</ns0:v>
      </ns0:c>
      <ns0:c r="I636" s="149" t="n">
        <ns0:f>E636*G636</ns0:f>
        <ns0:v>0</ns0:v>
      </ns0:c>
      <ns0:c r="J636" s="149" t="n">
        <ns0:f>E636*(F636-G636)</ns0:f>
        <ns0:v>8</ns0:v>
      </ns0:c>
      <ns0:c r="K636" s="149" t="n">
        <ns0:f>IF(AND(B636="开局",G636=0,OR(D636="普通盒",D636="单颗暂存盒")),J636,0)</ns0:f>
        <ns0:v>0</ns0:v>
      </ns0:c>
      <ns0:c r="L636" s="149" t="n">
        <ns0:f>IF(AND(B636="开局",G636&gt;0,OR(D636="普通盒",D636="底部置顶盒",D636="炸弹盒")),J636,0)</ns0:f>
        <ns0:v>0</ns0:v>
      </ns0:c>
      <ns0:c r="M636" s="149" t="n">
        <ns0:f>IF(AND(B636="开局",OR(D636="固定颜色盒",D636="单向收纳盒")),J636,0)</ns0:f>
        <ns0:v>0</ns0:v>
      </ns0:c>
      <ns0:c r="N636" s="149" t="n">
        <ns0:f>IF(AND(B636="开局",OR(D636="数字盖盒",D636="普通冰冻盒",D636="数字冰冻盒",D636="数字冰冻单颗暂存盒")),J636,0)</ns0:f>
        <ns0:v>0</ns0:v>
      </ns0:c>
      <ns0:c r="O636" s="145" t="str">
        <ns0:f>IF(AND(E636&gt;0,E636=INT(E636),G636&gt;=0,G636&lt;=F636,G636=INT(G636),OR(AND(F636=1,OR(D636="单颗暂存盒",D636="数字冰冻单颗暂存盒")),AND(F636=4,NOT(OR(D636="单颗暂存盒",D636="数字冰冻单颗暂存盒")))),IF(OR(D636="数字盖盒",D636="数字冰冻盒",D636="数字冰冻单颗暂存盒"),AND(H636&gt;=1,H636=INT(H636)),H636=0),IF(B636="开局",AND(IF(OR(D636="数字盖盒",D636="普通冰冻盒",D636="数字冰冻盒",D636="炸弹盒",D636="底部置顶盒"),OR(G636=3,G636=4),TRUE),IF(OR(D636="单向收纳盒",D636="单颗暂存盒",D636="数字冰冻单颗暂存盒"),OR(G636=0,G636=1),TRUE),IF(OR(D636="固定颜色盒",D636="广告锁定周转盒"),G636=0,TRUE)),TRUE)),"通过","需调整")</ns0:f>
        <ns0:v>通过</ns0:v>
      </ns0:c>
      <ns0:c r="P636" s="145" t="str">
        <ns0:v>双广告锁位</ns0:v>
      </ns0:c>
      <ns0:c r="Q636" s="145" t="str">
        <ns0:v>固定层序见本关首行</ns0:v>
      </ns0:c>
      <ns0:c r="R636" s="149" t="n">
        <ns0:f>E636*H636</ns0:f>
        <ns0:v>0</ns0:v>
      </ns0:c>
    </ns0:row>
    <ns0:row r="637" ht="21" customHeight="1">
      <ns0:c r="A637" s="147" t="n">
        <ns0:v>94</ns0:v>
      </ns0:c>
      <ns0:c r="B637" s="147" t="str">
        <ns0:v>开局</ns0:v>
      </ns0:c>
      <ns0:c r="C637" s="147" t="str">
        <ns0:v>W10-094-01</ns0:v>
      </ns0:c>
      <ns0:c r="D637" s="147" t="str">
        <ns0:v>普通盒</ns0:v>
      </ns0:c>
      <ns0:c r="E637" s="152" t="n">
        <ns0:v>12</ns0:v>
      </ns0:c>
      <ns0:c r="F637" s="152" t="n">
        <ns0:v>4</ns0:v>
      </ns0:c>
      <ns0:c r="G637" s="152" t="n">
        <ns0:v>4</ns0:v>
      </ns0:c>
      <ns0:c r="H637" s="152" t="n">
        <ns0:v>0</ns0:v>
      </ns0:c>
      <ns0:c r="I637" s="150" t="n">
        <ns0:f>E637*G637</ns0:f>
        <ns0:v>48</ns0:v>
      </ns0:c>
      <ns0:c r="J637" s="150" t="n">
        <ns0:f>E637*(F637-G637)</ns0:f>
        <ns0:v>0</ns0:v>
      </ns0:c>
      <ns0:c r="K637" s="150" t="n">
        <ns0:f>IF(AND(B637="开局",G637=0,OR(D637="普通盒",D637="单颗暂存盒")),J637,0)</ns0:f>
        <ns0:v>0</ns0:v>
      </ns0:c>
      <ns0:c r="L637" s="150" t="n">
        <ns0:f>IF(AND(B637="开局",G637&gt;0,OR(D637="普通盒",D637="底部置顶盒",D637="炸弹盒")),J637,0)</ns0:f>
        <ns0:v>0</ns0:v>
      </ns0:c>
      <ns0:c r="M637" s="150" t="n">
        <ns0:f>IF(AND(B637="开局",OR(D637="固定颜色盒",D637="单向收纳盒")),J637,0)</ns0:f>
        <ns0:v>0</ns0:v>
      </ns0:c>
      <ns0:c r="N637" s="150" t="n">
        <ns0:f>IF(AND(B637="开局",OR(D637="数字盖盒",D637="普通冰冻盒",D637="数字冰冻盒",D637="数字冰冻单颗暂存盒")),J637,0)</ns0:f>
        <ns0:v>0</ns0:v>
      </ns0:c>
      <ns0:c r="O637" s="147" t="str">
        <ns0:f>IF(AND(E637&gt;0,E637=INT(E637),G637&gt;=0,G637&lt;=F637,G637=INT(G637),OR(AND(F637=1,OR(D637="单颗暂存盒",D637="数字冰冻单颗暂存盒")),AND(F637=4,NOT(OR(D637="单颗暂存盒",D637="数字冰冻单颗暂存盒")))),IF(OR(D637="数字盖盒",D637="数字冰冻盒",D637="数字冰冻单颗暂存盒"),AND(H637&gt;=1,H637=INT(H637)),H637=0),IF(B637="开局",AND(IF(OR(D637="数字盖盒",D637="普通冰冻盒",D637="数字冰冻盒",D637="炸弹盒",D637="底部置顶盒"),OR(G637=3,G637=4),TRUE),IF(OR(D637="单向收纳盒",D637="单颗暂存盒",D637="数字冰冻单颗暂存盒"),OR(G637=0,G637=1),TRUE),IF(OR(D637="固定颜色盒",D637="广告锁定周转盒"),G637=0,TRUE)),TRUE)),"通过","需调整")</ns0:f>
        <ns0:v>通过</ns0:v>
      </ns0:c>
      <ns0:c r="P637" s="147" t="str">
        <ns0:v>普通盒</ns0:v>
      </ns0:c>
      <ns0:c r="Q637" s="147" t="str">
        <ns0:v>层序JSON:{"reference":"2026-10-12 第91至100关组合挑战与百关收尾；固定层序、明牌拆弹材料与分段反馈","slots":[{"group_id":"W10-094-01","layers":[6,2,2,6]},{"group_id":"W10-094-03","layers":[4]},{"group_id":"W10-094-01","layers":[6,5,8,4]},{"group_id":"W10-094-01","layers":[3,6,3,8]},{"group_id":"W10-094-01","layers":[0,8,5,6]},{"group_id":"W10-094-01","layers":[0,2,0,4]},{"group_id":"W10-094-05","layers":[8,5,5,3]},{"group_id":"W10-094-01","layers":[4,2,8,2]},{"group_id":"W10-094-01","layers":[0,3,4,5]},{"group_id":"W10-094-01","layers":[0,4,2,2]},{"group_id":"W10-094-01","layers":[8,2,0,0]},{"group_id":"W10-094-01","layers":[3,0,8,6]},{"group_id":"W10-094-01","layers":[4,3,5,4]},{"group_id":"W10-094-02","layers":[5,6,0]},{"group_id":"W10-094-01","layers":[5,3,6,3]},{"group_id":"W10-094-04","layers":[]},{"group_id":"W10-094-06","layers":[]}],"stock":[{"group_id":"W10-094-08","layers":[0,8,0,0]}],"demand_sequences":[[2,6,2,8,0,0,6,3],[4,0,3,5,4,8,5]]}</ns0:v>
      </ns0:c>
      <ns0:c r="R637" s="150" t="n">
        <ns0:f>E637*H637</ns0:f>
        <ns0:v>0</ns0:v>
      </ns0:c>
    </ns0:row>
    <ns0:row r="638" ht="21" customHeight="1">
      <ns0:c r="A638" s="145" t="n">
        <ns0:v>94</ns0:v>
      </ns0:c>
      <ns0:c r="B638" s="145" t="str">
        <ns0:v>开局</ns0:v>
      </ns0:c>
      <ns0:c r="C638" s="145" t="str">
        <ns0:v>W10-094-02</ns0:v>
      </ns0:c>
      <ns0:c r="D638" s="145" t="str">
        <ns0:v>普通盒</ns0:v>
      </ns0:c>
      <ns0:c r="E638" s="152" t="n">
        <ns0:v>1</ns0:v>
      </ns0:c>
      <ns0:c r="F638" s="152" t="n">
        <ns0:v>4</ns0:v>
      </ns0:c>
      <ns0:c r="G638" s="152" t="n">
        <ns0:v>3</ns0:v>
      </ns0:c>
      <ns0:c r="H638" s="152" t="n">
        <ns0:v>0</ns0:v>
      </ns0:c>
      <ns0:c r="I638" s="149" t="n">
        <ns0:f>E638*G638</ns0:f>
        <ns0:v>3</ns0:v>
      </ns0:c>
      <ns0:c r="J638" s="149" t="n">
        <ns0:f>E638*(F638-G638)</ns0:f>
        <ns0:v>1</ns0:v>
      </ns0:c>
      <ns0:c r="K638" s="149" t="n">
        <ns0:f>IF(AND(B638="开局",G638=0,OR(D638="普通盒",D638="单颗暂存盒")),J638,0)</ns0:f>
        <ns0:v>0</ns0:v>
      </ns0:c>
      <ns0:c r="L638" s="149" t="n">
        <ns0:f>IF(AND(B638="开局",G638&gt;0,OR(D638="普通盒",D638="底部置顶盒",D638="炸弹盒")),J638,0)</ns0:f>
        <ns0:v>1</ns0:v>
      </ns0:c>
      <ns0:c r="M638" s="149" t="n">
        <ns0:f>IF(AND(B638="开局",OR(D638="固定颜色盒",D638="单向收纳盒")),J638,0)</ns0:f>
        <ns0:v>0</ns0:v>
      </ns0:c>
      <ns0:c r="N638" s="149" t="n">
        <ns0:f>IF(AND(B638="开局",OR(D638="数字盖盒",D638="普通冰冻盒",D638="数字冰冻盒",D638="数字冰冻单颗暂存盒")),J638,0)</ns0:f>
        <ns0:v>0</ns0:v>
      </ns0:c>
      <ns0:c r="O638" s="145" t="str">
        <ns0:f>IF(AND(E638&gt;0,E638=INT(E638),G638&gt;=0,G638&lt;=F638,G638=INT(G638),OR(AND(F638=1,OR(D638="单颗暂存盒",D638="数字冰冻单颗暂存盒")),AND(F638=4,NOT(OR(D638="单颗暂存盒",D638="数字冰冻单颗暂存盒")))),IF(OR(D638="数字盖盒",D638="数字冰冻盒",D638="数字冰冻单颗暂存盒"),AND(H638&gt;=1,H638=INT(H638)),H638=0),IF(B638="开局",AND(IF(OR(D638="数字盖盒",D638="普通冰冻盒",D638="数字冰冻盒",D638="炸弹盒",D638="底部置顶盒"),OR(G638=3,G638=4),TRUE),IF(OR(D638="单向收纳盒",D638="单颗暂存盒",D638="数字冰冻单颗暂存盒"),OR(G638=0,G638=1),TRUE),IF(OR(D638="固定颜色盒",D638="广告锁定周转盒"),G638=0,TRUE)),TRUE)),"通过","需调整")</ns0:f>
        <ns0:v>通过</ns0:v>
      </ns0:c>
      <ns0:c r="P638" s="145" t="str">
        <ns0:v>普通盒</ns0:v>
      </ns0:c>
      <ns0:c r="Q638" s="145" t="str">
        <ns0:v>固定层序见本关首行</ns0:v>
      </ns0:c>
      <ns0:c r="R638" s="149" t="n">
        <ns0:f>E638*H638</ns0:f>
        <ns0:v>0</ns0:v>
      </ns0:c>
    </ns0:row>
    <ns0:row r="639" ht="21" customHeight="1">
      <ns0:c r="A639" s="147" t="n">
        <ns0:v>94</ns0:v>
      </ns0:c>
      <ns0:c r="B639" s="147" t="str">
        <ns0:v>开局</ns0:v>
      </ns0:c>
      <ns0:c r="C639" s="147" t="str">
        <ns0:v>W10-094-03</ns0:v>
      </ns0:c>
      <ns0:c r="D639" s="147" t="str">
        <ns0:v>普通盒</ns0:v>
      </ns0:c>
      <ns0:c r="E639" s="152" t="n">
        <ns0:v>1</ns0:v>
      </ns0:c>
      <ns0:c r="F639" s="152" t="n">
        <ns0:v>4</ns0:v>
      </ns0:c>
      <ns0:c r="G639" s="152" t="n">
        <ns0:v>1</ns0:v>
      </ns0:c>
      <ns0:c r="H639" s="152" t="n">
        <ns0:v>0</ns0:v>
      </ns0:c>
      <ns0:c r="I639" s="150" t="n">
        <ns0:f>E639*G639</ns0:f>
        <ns0:v>1</ns0:v>
      </ns0:c>
      <ns0:c r="J639" s="150" t="n">
        <ns0:f>E639*(F639-G639)</ns0:f>
        <ns0:v>3</ns0:v>
      </ns0:c>
      <ns0:c r="K639" s="150" t="n">
        <ns0:f>IF(AND(B639="开局",G639=0,OR(D639="普通盒",D639="单颗暂存盒")),J639,0)</ns0:f>
        <ns0:v>0</ns0:v>
      </ns0:c>
      <ns0:c r="L639" s="150" t="n">
        <ns0:f>IF(AND(B639="开局",G639&gt;0,OR(D639="普通盒",D639="底部置顶盒",D639="炸弹盒")),J639,0)</ns0:f>
        <ns0:v>3</ns0:v>
      </ns0:c>
      <ns0:c r="M639" s="150" t="n">
        <ns0:f>IF(AND(B639="开局",OR(D639="固定颜色盒",D639="单向收纳盒")),J639,0)</ns0:f>
        <ns0:v>0</ns0:v>
      </ns0:c>
      <ns0:c r="N639" s="150" t="n">
        <ns0:f>IF(AND(B639="开局",OR(D639="数字盖盒",D639="普通冰冻盒",D639="数字冰冻盒",D639="数字冰冻单颗暂存盒")),J639,0)</ns0:f>
        <ns0:v>0</ns0:v>
      </ns0:c>
      <ns0:c r="O639" s="147" t="str">
        <ns0:f>IF(AND(E639&gt;0,E639=INT(E639),G639&gt;=0,G639&lt;=F639,G639=INT(G639),OR(AND(F639=1,OR(D639="单颗暂存盒",D639="数字冰冻单颗暂存盒")),AND(F639=4,NOT(OR(D639="单颗暂存盒",D639="数字冰冻单颗暂存盒")))),IF(OR(D639="数字盖盒",D639="数字冰冻盒",D639="数字冰冻单颗暂存盒"),AND(H639&gt;=1,H639=INT(H639)),H639=0),IF(B639="开局",AND(IF(OR(D639="数字盖盒",D639="普通冰冻盒",D639="数字冰冻盒",D639="炸弹盒",D639="底部置顶盒"),OR(G639=3,G639=4),TRUE),IF(OR(D639="单向收纳盒",D639="单颗暂存盒",D639="数字冰冻单颗暂存盒"),OR(G639=0,G639=1),TRUE),IF(OR(D639="固定颜色盒",D639="广告锁定周转盒"),G639=0,TRUE)),TRUE)),"通过","需调整")</ns0:f>
        <ns0:v>通过</ns0:v>
      </ns0:c>
      <ns0:c r="P639" s="147" t="str">
        <ns0:v>普通盒</ns0:v>
      </ns0:c>
      <ns0:c r="Q639" s="147" t="str">
        <ns0:v>固定层序见本关首行</ns0:v>
      </ns0:c>
      <ns0:c r="R639" s="150" t="n">
        <ns0:f>E639*H639</ns0:f>
        <ns0:v>0</ns0:v>
      </ns0:c>
    </ns0:row>
    <ns0:row r="640" ht="21" customHeight="1">
      <ns0:c r="A640" s="145" t="n">
        <ns0:v>94</ns0:v>
      </ns0:c>
      <ns0:c r="B640" s="145" t="str">
        <ns0:v>开局</ns0:v>
      </ns0:c>
      <ns0:c r="C640" s="145" t="str">
        <ns0:v>W10-094-04</ns0:v>
      </ns0:c>
      <ns0:c r="D640" s="145" t="str">
        <ns0:v>普通盒</ns0:v>
      </ns0:c>
      <ns0:c r="E640" s="152" t="n">
        <ns0:v>1</ns0:v>
      </ns0:c>
      <ns0:c r="F640" s="152" t="n">
        <ns0:v>4</ns0:v>
      </ns0:c>
      <ns0:c r="G640" s="152" t="n">
        <ns0:v>0</ns0:v>
      </ns0:c>
      <ns0:c r="H640" s="152" t="n">
        <ns0:v>0</ns0:v>
      </ns0:c>
      <ns0:c r="I640" s="149" t="n">
        <ns0:f>E640*G640</ns0:f>
        <ns0:v>0</ns0:v>
      </ns0:c>
      <ns0:c r="J640" s="149" t="n">
        <ns0:f>E640*(F640-G640)</ns0:f>
        <ns0:v>4</ns0:v>
      </ns0:c>
      <ns0:c r="K640" s="149" t="n">
        <ns0:f>IF(AND(B640="开局",G640=0,OR(D640="普通盒",D640="单颗暂存盒")),J640,0)</ns0:f>
        <ns0:v>4</ns0:v>
      </ns0:c>
      <ns0:c r="L640" s="149" t="n">
        <ns0:f>IF(AND(B640="开局",G640&gt;0,OR(D640="普通盒",D640="底部置顶盒",D640="炸弹盒")),J640,0)</ns0:f>
        <ns0:v>0</ns0:v>
      </ns0:c>
      <ns0:c r="M640" s="149" t="n">
        <ns0:f>IF(AND(B640="开局",OR(D640="固定颜色盒",D640="单向收纳盒")),J640,0)</ns0:f>
        <ns0:v>0</ns0:v>
      </ns0:c>
      <ns0:c r="N640" s="149" t="n">
        <ns0:f>IF(AND(B640="开局",OR(D640="数字盖盒",D640="普通冰冻盒",D640="数字冰冻盒",D640="数字冰冻单颗暂存盒")),J640,0)</ns0:f>
        <ns0:v>0</ns0:v>
      </ns0:c>
      <ns0:c r="O640" s="145" t="str">
        <ns0:f>IF(AND(E640&gt;0,E640=INT(E640),G640&gt;=0,G640&lt;=F640,G640=INT(G640),OR(AND(F640=1,OR(D640="单颗暂存盒",D640="数字冰冻单颗暂存盒")),AND(F640=4,NOT(OR(D640="单颗暂存盒",D640="数字冰冻单颗暂存盒")))),IF(OR(D640="数字盖盒",D640="数字冰冻盒",D640="数字冰冻单颗暂存盒"),AND(H640&gt;=1,H640=INT(H640)),H640=0),IF(B640="开局",AND(IF(OR(D640="数字盖盒",D640="普通冰冻盒",D640="数字冰冻盒",D640="炸弹盒",D640="底部置顶盒"),OR(G640=3,G640=4),TRUE),IF(OR(D640="单向收纳盒",D640="单颗暂存盒",D640="数字冰冻单颗暂存盒"),OR(G640=0,G640=1),TRUE),IF(OR(D640="固定颜色盒",D640="广告锁定周转盒"),G640=0,TRUE)),TRUE)),"通过","需调整")</ns0:f>
        <ns0:v>通过</ns0:v>
      </ns0:c>
      <ns0:c r="P640" s="145" t="str">
        <ns0:v>普通盒</ns0:v>
      </ns0:c>
      <ns0:c r="Q640" s="145" t="str">
        <ns0:v>固定层序见本关首行</ns0:v>
      </ns0:c>
      <ns0:c r="R640" s="149" t="n">
        <ns0:f>E640*H640</ns0:f>
        <ns0:v>0</ns0:v>
      </ns0:c>
    </ns0:row>
    <ns0:row r="641" ht="21" customHeight="1">
      <ns0:c r="A641" s="147" t="n">
        <ns0:v>94</ns0:v>
      </ns0:c>
      <ns0:c r="B641" s="147" t="str">
        <ns0:v>开局</ns0:v>
      </ns0:c>
      <ns0:c r="C641" s="147" t="str">
        <ns0:v>W10-094-05</ns0:v>
      </ns0:c>
      <ns0:c r="D641" s="147" t="str">
        <ns0:v>普通冰冻盒</ns0:v>
      </ns0:c>
      <ns0:c r="E641" s="152" t="n">
        <ns0:v>1</ns0:v>
      </ns0:c>
      <ns0:c r="F641" s="152" t="n">
        <ns0:v>4</ns0:v>
      </ns0:c>
      <ns0:c r="G641" s="152" t="n">
        <ns0:v>4</ns0:v>
      </ns0:c>
      <ns0:c r="H641" s="152" t="n">
        <ns0:v>0</ns0:v>
      </ns0:c>
      <ns0:c r="I641" s="150" t="n">
        <ns0:f>E641*G641</ns0:f>
        <ns0:v>4</ns0:v>
      </ns0:c>
      <ns0:c r="J641" s="150" t="n">
        <ns0:f>E641*(F641-G641)</ns0:f>
        <ns0:v>0</ns0:v>
      </ns0:c>
      <ns0:c r="K641" s="150" t="n">
        <ns0:f>IF(AND(B641="开局",G641=0,OR(D641="普通盒",D641="单颗暂存盒")),J641,0)</ns0:f>
        <ns0:v>0</ns0:v>
      </ns0:c>
      <ns0:c r="L641" s="150" t="n">
        <ns0:f>IF(AND(B641="开局",G641&gt;0,OR(D641="普通盒",D641="底部置顶盒",D641="炸弹盒")),J641,0)</ns0:f>
        <ns0:v>0</ns0:v>
      </ns0:c>
      <ns0:c r="M641" s="150" t="n">
        <ns0:f>IF(AND(B641="开局",OR(D641="固定颜色盒",D641="单向收纳盒")),J641,0)</ns0:f>
        <ns0:v>0</ns0:v>
      </ns0:c>
      <ns0:c r="N641" s="150" t="n">
        <ns0:f>IF(AND(B641="开局",OR(D641="数字盖盒",D641="普通冰冻盒",D641="数字冰冻盒",D641="数字冰冻单颗暂存盒")),J641,0)</ns0:f>
        <ns0:v>0</ns0:v>
      </ns0:c>
      <ns0:c r="O641" s="147" t="str">
        <ns0:f>IF(AND(E641&gt;0,E641=INT(E641),G641&gt;=0,G641&lt;=F641,G641=INT(G641),OR(AND(F641=1,OR(D641="单颗暂存盒",D641="数字冰冻单颗暂存盒")),AND(F641=4,NOT(OR(D641="单颗暂存盒",D641="数字冰冻单颗暂存盒")))),IF(OR(D641="数字盖盒",D641="数字冰冻盒",D641="数字冰冻单颗暂存盒"),AND(H641&gt;=1,H641=INT(H641)),H641=0),IF(B641="开局",AND(IF(OR(D641="数字盖盒",D641="普通冰冻盒",D641="数字冰冻盒",D641="炸弹盒",D641="底部置顶盒"),OR(G641=3,G641=4),TRUE),IF(OR(D641="单向收纳盒",D641="单颗暂存盒",D641="数字冰冻单颗暂存盒"),OR(G641=0,G641=1),TRUE),IF(OR(D641="固定颜色盒",D641="广告锁定周转盒"),G641=0,TRUE)),TRUE)),"通过","需调整")</ns0:f>
        <ns0:v>通过</ns0:v>
      </ns0:c>
      <ns0:c r="P641" s="147" t="str">
        <ns0:v>普通冰冻盒</ns0:v>
      </ns0:c>
      <ns0:c r="Q641" s="147" t="str">
        <ns0:v>固定层序见本关首行</ns0:v>
      </ns0:c>
      <ns0:c r="R641" s="150" t="n">
        <ns0:f>E641*H641</ns0:f>
        <ns0:v>0</ns0:v>
      </ns0:c>
    </ns0:row>
    <ns0:row r="642" ht="21" customHeight="1">
      <ns0:c r="A642" s="145" t="n">
        <ns0:v>94</ns0:v>
      </ns0:c>
      <ns0:c r="B642" s="145" t="str">
        <ns0:v>开局</ns0:v>
      </ns0:c>
      <ns0:c r="C642" s="145" t="str">
        <ns0:v>W10-094-06</ns0:v>
      </ns0:c>
      <ns0:c r="D642" s="145" t="str">
        <ns0:v>单颗暂存盒</ns0:v>
      </ns0:c>
      <ns0:c r="E642" s="152" t="n">
        <ns0:v>1</ns0:v>
      </ns0:c>
      <ns0:c r="F642" s="152" t="n">
        <ns0:v>1</ns0:v>
      </ns0:c>
      <ns0:c r="G642" s="152" t="n">
        <ns0:v>0</ns0:v>
      </ns0:c>
      <ns0:c r="H642" s="152" t="n">
        <ns0:v>0</ns0:v>
      </ns0:c>
      <ns0:c r="I642" s="149" t="n">
        <ns0:f>E642*G642</ns0:f>
        <ns0:v>0</ns0:v>
      </ns0:c>
      <ns0:c r="J642" s="149" t="n">
        <ns0:f>E642*(F642-G642)</ns0:f>
        <ns0:v>1</ns0:v>
      </ns0:c>
      <ns0:c r="K642" s="149" t="n">
        <ns0:f>IF(AND(B642="开局",G642=0,OR(D642="普通盒",D642="单颗暂存盒")),J642,0)</ns0:f>
        <ns0:v>1</ns0:v>
      </ns0:c>
      <ns0:c r="L642" s="149" t="n">
        <ns0:f>IF(AND(B642="开局",G642&gt;0,OR(D642="普通盒",D642="底部置顶盒",D642="炸弹盒")),J642,0)</ns0:f>
        <ns0:v>0</ns0:v>
      </ns0:c>
      <ns0:c r="M642" s="149" t="n">
        <ns0:f>IF(AND(B642="开局",OR(D642="固定颜色盒",D642="单向收纳盒")),J642,0)</ns0:f>
        <ns0:v>0</ns0:v>
      </ns0:c>
      <ns0:c r="N642" s="149" t="n">
        <ns0:f>IF(AND(B642="开局",OR(D642="数字盖盒",D642="普通冰冻盒",D642="数字冰冻盒",D642="数字冰冻单颗暂存盒")),J642,0)</ns0:f>
        <ns0:v>0</ns0:v>
      </ns0:c>
      <ns0:c r="O642" s="145" t="str">
        <ns0:f>IF(AND(E642&gt;0,E642=INT(E642),G642&gt;=0,G642&lt;=F642,G642=INT(G642),OR(AND(F642=1,OR(D642="单颗暂存盒",D642="数字冰冻单颗暂存盒")),AND(F642=4,NOT(OR(D642="单颗暂存盒",D642="数字冰冻单颗暂存盒")))),IF(OR(D642="数字盖盒",D642="数字冰冻盒",D642="数字冰冻单颗暂存盒"),AND(H642&gt;=1,H642=INT(H642)),H642=0),IF(B642="开局",AND(IF(OR(D642="数字盖盒",D642="普通冰冻盒",D642="数字冰冻盒",D642="炸弹盒",D642="底部置顶盒"),OR(G642=3,G642=4),TRUE),IF(OR(D642="单向收纳盒",D642="单颗暂存盒",D642="数字冰冻单颗暂存盒"),OR(G642=0,G642=1),TRUE),IF(OR(D642="固定颜色盒",D642="广告锁定周转盒"),G642=0,TRUE)),TRUE)),"通过","需调整")</ns0:f>
        <ns0:v>通过</ns0:v>
      </ns0:c>
      <ns0:c r="P642" s="145" t="str">
        <ns0:v>单颗暂存盒</ns0:v>
      </ns0:c>
      <ns0:c r="Q642" s="145" t="str">
        <ns0:v>固定层序见本关首行</ns0:v>
      </ns0:c>
      <ns0:c r="R642" s="149" t="n">
        <ns0:f>E642*H642</ns0:f>
        <ns0:v>0</ns0:v>
      </ns0:c>
    </ns0:row>
    <ns0:row r="643" ht="21" customHeight="1">
      <ns0:c r="A643" s="147" t="n">
        <ns0:v>94</ns0:v>
      </ns0:c>
      <ns0:c r="B643" s="147" t="str">
        <ns0:v>开局</ns0:v>
      </ns0:c>
      <ns0:c r="C643" s="147" t="str">
        <ns0:v>W10-094-07</ns0:v>
      </ns0:c>
      <ns0:c r="D643" s="147" t="str">
        <ns0:v>广告锁定周转盒</ns0:v>
      </ns0:c>
      <ns0:c r="E643" s="152" t="n">
        <ns0:v>2</ns0:v>
      </ns0:c>
      <ns0:c r="F643" s="152" t="n">
        <ns0:v>4</ns0:v>
      </ns0:c>
      <ns0:c r="G643" s="152" t="n">
        <ns0:v>0</ns0:v>
      </ns0:c>
      <ns0:c r="H643" s="152" t="n">
        <ns0:v>0</ns0:v>
      </ns0:c>
      <ns0:c r="I643" s="150" t="n">
        <ns0:f>E643*G643</ns0:f>
        <ns0:v>0</ns0:v>
      </ns0:c>
      <ns0:c r="J643" s="150" t="n">
        <ns0:f>E643*(F643-G643)</ns0:f>
        <ns0:v>8</ns0:v>
      </ns0:c>
      <ns0:c r="K643" s="150" t="n">
        <ns0:f>IF(AND(B643="开局",G643=0,OR(D643="普通盒",D643="单颗暂存盒")),J643,0)</ns0:f>
        <ns0:v>0</ns0:v>
      </ns0:c>
      <ns0:c r="L643" s="150" t="n">
        <ns0:f>IF(AND(B643="开局",G643&gt;0,OR(D643="普通盒",D643="底部置顶盒",D643="炸弹盒")),J643,0)</ns0:f>
        <ns0:v>0</ns0:v>
      </ns0:c>
      <ns0:c r="M643" s="150" t="n">
        <ns0:f>IF(AND(B643="开局",OR(D643="固定颜色盒",D643="单向收纳盒")),J643,0)</ns0:f>
        <ns0:v>0</ns0:v>
      </ns0:c>
      <ns0:c r="N643" s="150" t="n">
        <ns0:f>IF(AND(B643="开局",OR(D643="数字盖盒",D643="普通冰冻盒",D643="数字冰冻盒",D643="数字冰冻单颗暂存盒")),J643,0)</ns0:f>
        <ns0:v>0</ns0:v>
      </ns0:c>
      <ns0:c r="O643" s="147" t="str">
        <ns0:f>IF(AND(E643&gt;0,E643=INT(E643),G643&gt;=0,G643&lt;=F643,G643=INT(G643),OR(AND(F643=1,OR(D643="单颗暂存盒",D643="数字冰冻单颗暂存盒")),AND(F643=4,NOT(OR(D643="单颗暂存盒",D643="数字冰冻单颗暂存盒")))),IF(OR(D643="数字盖盒",D643="数字冰冻盒",D643="数字冰冻单颗暂存盒"),AND(H643&gt;=1,H643=INT(H643)),H643=0),IF(B643="开局",AND(IF(OR(D643="数字盖盒",D643="普通冰冻盒",D643="数字冰冻盒",D643="炸弹盒",D643="底部置顶盒"),OR(G643=3,G643=4),TRUE),IF(OR(D643="单向收纳盒",D643="单颗暂存盒",D643="数字冰冻单颗暂存盒"),OR(G643=0,G643=1),TRUE),IF(OR(D643="固定颜色盒",D643="广告锁定周转盒"),G643=0,TRUE)),TRUE)),"通过","需调整")</ns0:f>
        <ns0:v>通过</ns0:v>
      </ns0:c>
      <ns0:c r="P643" s="147" t="str">
        <ns0:v>双广告锁位</ns0:v>
      </ns0:c>
      <ns0:c r="Q643" s="147" t="str">
        <ns0:v>固定层序见本关首行</ns0:v>
      </ns0:c>
      <ns0:c r="R643" s="150" t="n">
        <ns0:f>E643*H643</ns0:f>
        <ns0:v>0</ns0:v>
      </ns0:c>
    </ns0:row>
    <ns0:row r="644" ht="21" customHeight="1">
      <ns0:c r="A644" s="145" t="n">
        <ns0:v>94</ns0:v>
      </ns0:c>
      <ns0:c r="B644" s="145" t="str">
        <ns0:v>备货</ns0:v>
      </ns0:c>
      <ns0:c r="C644" s="145" t="str">
        <ns0:v>W10-094-08</ns0:v>
      </ns0:c>
      <ns0:c r="D644" s="145" t="str">
        <ns0:v>普通盒</ns0:v>
      </ns0:c>
      <ns0:c r="E644" s="152" t="n">
        <ns0:v>1</ns0:v>
      </ns0:c>
      <ns0:c r="F644" s="152" t="n">
        <ns0:v>4</ns0:v>
      </ns0:c>
      <ns0:c r="G644" s="152" t="n">
        <ns0:v>4</ns0:v>
      </ns0:c>
      <ns0:c r="H644" s="152" t="n">
        <ns0:v>0</ns0:v>
      </ns0:c>
      <ns0:c r="I644" s="149" t="n">
        <ns0:f>E644*G644</ns0:f>
        <ns0:v>4</ns0:v>
      </ns0:c>
      <ns0:c r="J644" s="149" t="n">
        <ns0:f>E644*(F644-G644)</ns0:f>
        <ns0:v>0</ns0:v>
      </ns0:c>
      <ns0:c r="K644" s="149" t="n">
        <ns0:f>IF(AND(B644="开局",G644=0,OR(D644="普通盒",D644="单颗暂存盒")),J644,0)</ns0:f>
        <ns0:v>0</ns0:v>
      </ns0:c>
      <ns0:c r="L644" s="149" t="n">
        <ns0:f>IF(AND(B644="开局",G644&gt;0,OR(D644="普通盒",D644="底部置顶盒",D644="炸弹盒")),J644,0)</ns0:f>
        <ns0:v>0</ns0:v>
      </ns0:c>
      <ns0:c r="M644" s="149" t="n">
        <ns0:f>IF(AND(B644="开局",OR(D644="固定颜色盒",D644="单向收纳盒")),J644,0)</ns0:f>
        <ns0:v>0</ns0:v>
      </ns0:c>
      <ns0:c r="N644" s="149" t="n">
        <ns0:f>IF(AND(B644="开局",OR(D644="数字盖盒",D644="普通冰冻盒",D644="数字冰冻盒",D644="数字冰冻单颗暂存盒")),J644,0)</ns0:f>
        <ns0:v>0</ns0:v>
      </ns0:c>
      <ns0:c r="O644" s="145" t="str">
        <ns0:f>IF(AND(E644&gt;0,E644=INT(E644),G644&gt;=0,G644&lt;=F644,G644=INT(G644),OR(AND(F644=1,OR(D644="单颗暂存盒",D644="数字冰冻单颗暂存盒")),AND(F644=4,NOT(OR(D644="单颗暂存盒",D644="数字冰冻单颗暂存盒")))),IF(OR(D644="数字盖盒",D644="数字冰冻盒",D644="数字冰冻单颗暂存盒"),AND(H644&gt;=1,H644=INT(H644)),H644=0),IF(B644="开局",AND(IF(OR(D644="数字盖盒",D644="普通冰冻盒",D644="数字冰冻盒",D644="炸弹盒",D644="底部置顶盒"),OR(G644=3,G644=4),TRUE),IF(OR(D644="单向收纳盒",D644="单颗暂存盒",D644="数字冰冻单颗暂存盒"),OR(G644=0,G644=1),TRUE),IF(OR(D644="固定颜色盒",D644="广告锁定周转盒"),G644=0,TRUE)),TRUE)),"通过","需调整")</ns0:f>
        <ns0:v>通过</ns0:v>
      </ns0:c>
      <ns0:c r="P644" s="145" t="str">
        <ns0:v>连续侧边补货</ns0:v>
      </ns0:c>
      <ns0:c r="Q644" s="145" t="str">
        <ns0:v>固定层序见本关首行</ns0:v>
      </ns0:c>
      <ns0:c r="R644" s="149" t="n">
        <ns0:f>E644*H644</ns0:f>
        <ns0:v>0</ns0:v>
      </ns0:c>
    </ns0:row>
    <ns0:row r="645" ht="21" customHeight="1">
      <ns0:c r="A645" s="147" t="n">
        <ns0:v>95</ns0:v>
      </ns0:c>
      <ns0:c r="B645" s="147" t="str">
        <ns0:v>开局</ns0:v>
      </ns0:c>
      <ns0:c r="C645" s="147" t="str">
        <ns0:v>W10-095-01</ns0:v>
      </ns0:c>
      <ns0:c r="D645" s="147" t="str">
        <ns0:v>普通盒</ns0:v>
      </ns0:c>
      <ns0:c r="E645" s="152" t="n">
        <ns0:v>12</ns0:v>
      </ns0:c>
      <ns0:c r="F645" s="152" t="n">
        <ns0:v>4</ns0:v>
      </ns0:c>
      <ns0:c r="G645" s="152" t="n">
        <ns0:v>4</ns0:v>
      </ns0:c>
      <ns0:c r="H645" s="152" t="n">
        <ns0:v>0</ns0:v>
      </ns0:c>
      <ns0:c r="I645" s="150" t="n">
        <ns0:f>E645*G645</ns0:f>
        <ns0:v>48</ns0:v>
      </ns0:c>
      <ns0:c r="J645" s="150" t="n">
        <ns0:f>E645*(F645-G645)</ns0:f>
        <ns0:v>0</ns0:v>
      </ns0:c>
      <ns0:c r="K645" s="150" t="n">
        <ns0:f>IF(AND(B645="开局",G645=0,OR(D645="普通盒",D645="单颗暂存盒")),J645,0)</ns0:f>
        <ns0:v>0</ns0:v>
      </ns0:c>
      <ns0:c r="L645" s="150" t="n">
        <ns0:f>IF(AND(B645="开局",G645&gt;0,OR(D645="普通盒",D645="底部置顶盒",D645="炸弹盒")),J645,0)</ns0:f>
        <ns0:v>0</ns0:v>
      </ns0:c>
      <ns0:c r="M645" s="150" t="n">
        <ns0:f>IF(AND(B645="开局",OR(D645="固定颜色盒",D645="单向收纳盒")),J645,0)</ns0:f>
        <ns0:v>0</ns0:v>
      </ns0:c>
      <ns0:c r="N645" s="150" t="n">
        <ns0:f>IF(AND(B645="开局",OR(D645="数字盖盒",D645="普通冰冻盒",D645="数字冰冻盒",D645="数字冰冻单颗暂存盒")),J645,0)</ns0:f>
        <ns0:v>0</ns0:v>
      </ns0:c>
      <ns0:c r="O645" s="147" t="str">
        <ns0:f>IF(AND(E645&gt;0,E645=INT(E645),G645&gt;=0,G645&lt;=F645,G645=INT(G645),OR(AND(F645=1,OR(D645="单颗暂存盒",D645="数字冰冻单颗暂存盒")),AND(F645=4,NOT(OR(D645="单颗暂存盒",D645="数字冰冻单颗暂存盒")))),IF(OR(D645="数字盖盒",D645="数字冰冻盒",D645="数字冰冻单颗暂存盒"),AND(H645&gt;=1,H645=INT(H645)),H645=0),IF(B645="开局",AND(IF(OR(D645="数字盖盒",D645="普通冰冻盒",D645="数字冰冻盒",D645="炸弹盒",D645="底部置顶盒"),OR(G645=3,G645=4),TRUE),IF(OR(D645="单向收纳盒",D645="单颗暂存盒",D645="数字冰冻单颗暂存盒"),OR(G645=0,G645=1),TRUE),IF(OR(D645="固定颜色盒",D645="广告锁定周转盒"),G645=0,TRUE)),TRUE)),"通过","需调整")</ns0:f>
        <ns0:v>通过</ns0:v>
      </ns0:c>
      <ns0:c r="P645" s="147" t="str">
        <ns0:v>普通盒</ns0:v>
      </ns0:c>
      <ns0:c r="Q645" s="147" t="str">
        <ns0:v>层序JSON:{"reference":"2026-10-12 第91至100关组合挑战与百关收尾；固定层序、明牌拆弹材料与分段反馈","slots":[{"group_id":"W10-095-01","layers":[6,6,5,6]},{"group_id":"W10-095-03","layers":[2]},{"group_id":"W10-095-01","layers":[6,4,2,4]},{"group_id":"W10-095-01","layers":[3,2,3,0]},{"group_id":"W10-095-01","layers":[4,3,8,3]},{"group_id":"W10-095-01","layers":[5,12,2,0]},{"group_id":"W10-095-05","layers":[12,0,0,3]},{"group_id":"W10-095-01","layers":[5,2,6,4]},{"group_id":"W10-095-01","layers":[2,6,2,4]},{"group_id":"W10-095-02","layers":[0,12,0]},{"group_id":"W10-095-01","layers":[5,8,4,3]},{"group_id":"W10-095-01","layers":[5,6,2,5],"hidden":[1,2,3]},{"group_id":"W10-095-01","layers":[5,3,6,0]},{"group_id":"W10-095-01","layers":[8,12,3,4]},{"group_id":"W10-095-01","layers":[4,5,0,8]},{"group_id":"W10-095-04","layers":[]},{"group_id":"W10-095-06","layers":[]}],"stock":[],"demand_sequences":[[6,4,0,8,2,5,4],[5,3,12,3,2,6,0]]}</ns0:v>
      </ns0:c>
      <ns0:c r="R645" s="150" t="n">
        <ns0:f>E645*H645</ns0:f>
        <ns0:v>0</ns0:v>
      </ns0:c>
    </ns0:row>
    <ns0:row r="646" ht="21" customHeight="1">
      <ns0:c r="A646" s="145" t="n">
        <ns0:v>95</ns0:v>
      </ns0:c>
      <ns0:c r="B646" s="145" t="str">
        <ns0:v>开局</ns0:v>
      </ns0:c>
      <ns0:c r="C646" s="145" t="str">
        <ns0:v>W10-095-02</ns0:v>
      </ns0:c>
      <ns0:c r="D646" s="145" t="str">
        <ns0:v>普通盒</ns0:v>
      </ns0:c>
      <ns0:c r="E646" s="152" t="n">
        <ns0:v>1</ns0:v>
      </ns0:c>
      <ns0:c r="F646" s="152" t="n">
        <ns0:v>4</ns0:v>
      </ns0:c>
      <ns0:c r="G646" s="152" t="n">
        <ns0:v>3</ns0:v>
      </ns0:c>
      <ns0:c r="H646" s="152" t="n">
        <ns0:v>0</ns0:v>
      </ns0:c>
      <ns0:c r="I646" s="149" t="n">
        <ns0:f>E646*G646</ns0:f>
        <ns0:v>3</ns0:v>
      </ns0:c>
      <ns0:c r="J646" s="149" t="n">
        <ns0:f>E646*(F646-G646)</ns0:f>
        <ns0:v>1</ns0:v>
      </ns0:c>
      <ns0:c r="K646" s="149" t="n">
        <ns0:f>IF(AND(B646="开局",G646=0,OR(D646="普通盒",D646="单颗暂存盒")),J646,0)</ns0:f>
        <ns0:v>0</ns0:v>
      </ns0:c>
      <ns0:c r="L646" s="149" t="n">
        <ns0:f>IF(AND(B646="开局",G646&gt;0,OR(D646="普通盒",D646="底部置顶盒",D646="炸弹盒")),J646,0)</ns0:f>
        <ns0:v>1</ns0:v>
      </ns0:c>
      <ns0:c r="M646" s="149" t="n">
        <ns0:f>IF(AND(B646="开局",OR(D646="固定颜色盒",D646="单向收纳盒")),J646,0)</ns0:f>
        <ns0:v>0</ns0:v>
      </ns0:c>
      <ns0:c r="N646" s="149" t="n">
        <ns0:f>IF(AND(B646="开局",OR(D646="数字盖盒",D646="普通冰冻盒",D646="数字冰冻盒",D646="数字冰冻单颗暂存盒")),J646,0)</ns0:f>
        <ns0:v>0</ns0:v>
      </ns0:c>
      <ns0:c r="O646" s="145" t="str">
        <ns0:f>IF(AND(E646&gt;0,E646=INT(E646),G646&gt;=0,G646&lt;=F646,G646=INT(G646),OR(AND(F646=1,OR(D646="单颗暂存盒",D646="数字冰冻单颗暂存盒")),AND(F646=4,NOT(OR(D646="单颗暂存盒",D646="数字冰冻单颗暂存盒")))),IF(OR(D646="数字盖盒",D646="数字冰冻盒",D646="数字冰冻单颗暂存盒"),AND(H646&gt;=1,H646=INT(H646)),H646=0),IF(B646="开局",AND(IF(OR(D646="数字盖盒",D646="普通冰冻盒",D646="数字冰冻盒",D646="炸弹盒",D646="底部置顶盒"),OR(G646=3,G646=4),TRUE),IF(OR(D646="单向收纳盒",D646="单颗暂存盒",D646="数字冰冻单颗暂存盒"),OR(G646=0,G646=1),TRUE),IF(OR(D646="固定颜色盒",D646="广告锁定周转盒"),G646=0,TRUE)),TRUE)),"通过","需调整")</ns0:f>
        <ns0:v>通过</ns0:v>
      </ns0:c>
      <ns0:c r="P646" s="145" t="str">
        <ns0:v>普通盒</ns0:v>
      </ns0:c>
      <ns0:c r="Q646" s="145" t="str">
        <ns0:v>固定层序见本关首行</ns0:v>
      </ns0:c>
      <ns0:c r="R646" s="149" t="n">
        <ns0:f>E646*H646</ns0:f>
        <ns0:v>0</ns0:v>
      </ns0:c>
    </ns0:row>
    <ns0:row r="647" ht="21" customHeight="1">
      <ns0:c r="A647" s="147" t="n">
        <ns0:v>95</ns0:v>
      </ns0:c>
      <ns0:c r="B647" s="147" t="str">
        <ns0:v>开局</ns0:v>
      </ns0:c>
      <ns0:c r="C647" s="147" t="str">
        <ns0:v>W10-095-03</ns0:v>
      </ns0:c>
      <ns0:c r="D647" s="147" t="str">
        <ns0:v>普通盒</ns0:v>
      </ns0:c>
      <ns0:c r="E647" s="152" t="n">
        <ns0:v>1</ns0:v>
      </ns0:c>
      <ns0:c r="F647" s="152" t="n">
        <ns0:v>4</ns0:v>
      </ns0:c>
      <ns0:c r="G647" s="152" t="n">
        <ns0:v>1</ns0:v>
      </ns0:c>
      <ns0:c r="H647" s="152" t="n">
        <ns0:v>0</ns0:v>
      </ns0:c>
      <ns0:c r="I647" s="150" t="n">
        <ns0:f>E647*G647</ns0:f>
        <ns0:v>1</ns0:v>
      </ns0:c>
      <ns0:c r="J647" s="150" t="n">
        <ns0:f>E647*(F647-G647)</ns0:f>
        <ns0:v>3</ns0:v>
      </ns0:c>
      <ns0:c r="K647" s="150" t="n">
        <ns0:f>IF(AND(B647="开局",G647=0,OR(D647="普通盒",D647="单颗暂存盒")),J647,0)</ns0:f>
        <ns0:v>0</ns0:v>
      </ns0:c>
      <ns0:c r="L647" s="150" t="n">
        <ns0:f>IF(AND(B647="开局",G647&gt;0,OR(D647="普通盒",D647="底部置顶盒",D647="炸弹盒")),J647,0)</ns0:f>
        <ns0:v>3</ns0:v>
      </ns0:c>
      <ns0:c r="M647" s="150" t="n">
        <ns0:f>IF(AND(B647="开局",OR(D647="固定颜色盒",D647="单向收纳盒")),J647,0)</ns0:f>
        <ns0:v>0</ns0:v>
      </ns0:c>
      <ns0:c r="N647" s="150" t="n">
        <ns0:f>IF(AND(B647="开局",OR(D647="数字盖盒",D647="普通冰冻盒",D647="数字冰冻盒",D647="数字冰冻单颗暂存盒")),J647,0)</ns0:f>
        <ns0:v>0</ns0:v>
      </ns0:c>
      <ns0:c r="O647" s="147" t="str">
        <ns0:f>IF(AND(E647&gt;0,E647=INT(E647),G647&gt;=0,G647&lt;=F647,G647=INT(G647),OR(AND(F647=1,OR(D647="单颗暂存盒",D647="数字冰冻单颗暂存盒")),AND(F647=4,NOT(OR(D647="单颗暂存盒",D647="数字冰冻单颗暂存盒")))),IF(OR(D647="数字盖盒",D647="数字冰冻盒",D647="数字冰冻单颗暂存盒"),AND(H647&gt;=1,H647=INT(H647)),H647=0),IF(B647="开局",AND(IF(OR(D647="数字盖盒",D647="普通冰冻盒",D647="数字冰冻盒",D647="炸弹盒",D647="底部置顶盒"),OR(G647=3,G647=4),TRUE),IF(OR(D647="单向收纳盒",D647="单颗暂存盒",D647="数字冰冻单颗暂存盒"),OR(G647=0,G647=1),TRUE),IF(OR(D647="固定颜色盒",D647="广告锁定周转盒"),G647=0,TRUE)),TRUE)),"通过","需调整")</ns0:f>
        <ns0:v>通过</ns0:v>
      </ns0:c>
      <ns0:c r="P647" s="147" t="str">
        <ns0:v>普通盒</ns0:v>
      </ns0:c>
      <ns0:c r="Q647" s="147" t="str">
        <ns0:v>固定层序见本关首行</ns0:v>
      </ns0:c>
      <ns0:c r="R647" s="150" t="n">
        <ns0:f>E647*H647</ns0:f>
        <ns0:v>0</ns0:v>
      </ns0:c>
    </ns0:row>
    <ns0:row r="648" ht="21" customHeight="1">
      <ns0:c r="A648" s="145" t="n">
        <ns0:v>95</ns0:v>
      </ns0:c>
      <ns0:c r="B648" s="145" t="str">
        <ns0:v>开局</ns0:v>
      </ns0:c>
      <ns0:c r="C648" s="145" t="str">
        <ns0:v>W10-095-04</ns0:v>
      </ns0:c>
      <ns0:c r="D648" s="145" t="str">
        <ns0:v>普通盒</ns0:v>
      </ns0:c>
      <ns0:c r="E648" s="152" t="n">
        <ns0:v>1</ns0:v>
      </ns0:c>
      <ns0:c r="F648" s="152" t="n">
        <ns0:v>4</ns0:v>
      </ns0:c>
      <ns0:c r="G648" s="152" t="n">
        <ns0:v>0</ns0:v>
      </ns0:c>
      <ns0:c r="H648" s="152" t="n">
        <ns0:v>0</ns0:v>
      </ns0:c>
      <ns0:c r="I648" s="149" t="n">
        <ns0:f>E648*G648</ns0:f>
        <ns0:v>0</ns0:v>
      </ns0:c>
      <ns0:c r="J648" s="149" t="n">
        <ns0:f>E648*(F648-G648)</ns0:f>
        <ns0:v>4</ns0:v>
      </ns0:c>
      <ns0:c r="K648" s="149" t="n">
        <ns0:f>IF(AND(B648="开局",G648=0,OR(D648="普通盒",D648="单颗暂存盒")),J648,0)</ns0:f>
        <ns0:v>4</ns0:v>
      </ns0:c>
      <ns0:c r="L648" s="149" t="n">
        <ns0:f>IF(AND(B648="开局",G648&gt;0,OR(D648="普通盒",D648="底部置顶盒",D648="炸弹盒")),J648,0)</ns0:f>
        <ns0:v>0</ns0:v>
      </ns0:c>
      <ns0:c r="M648" s="149" t="n">
        <ns0:f>IF(AND(B648="开局",OR(D648="固定颜色盒",D648="单向收纳盒")),J648,0)</ns0:f>
        <ns0:v>0</ns0:v>
      </ns0:c>
      <ns0:c r="N648" s="149" t="n">
        <ns0:f>IF(AND(B648="开局",OR(D648="数字盖盒",D648="普通冰冻盒",D648="数字冰冻盒",D648="数字冰冻单颗暂存盒")),J648,0)</ns0:f>
        <ns0:v>0</ns0:v>
      </ns0:c>
      <ns0:c r="O648" s="145" t="str">
        <ns0:f>IF(AND(E648&gt;0,E648=INT(E648),G648&gt;=0,G648&lt;=F648,G648=INT(G648),OR(AND(F648=1,OR(D648="单颗暂存盒",D648="数字冰冻单颗暂存盒")),AND(F648=4,NOT(OR(D648="单颗暂存盒",D648="数字冰冻单颗暂存盒")))),IF(OR(D648="数字盖盒",D648="数字冰冻盒",D648="数字冰冻单颗暂存盒"),AND(H648&gt;=1,H648=INT(H648)),H648=0),IF(B648="开局",AND(IF(OR(D648="数字盖盒",D648="普通冰冻盒",D648="数字冰冻盒",D648="炸弹盒",D648="底部置顶盒"),OR(G648=3,G648=4),TRUE),IF(OR(D648="单向收纳盒",D648="单颗暂存盒",D648="数字冰冻单颗暂存盒"),OR(G648=0,G648=1),TRUE),IF(OR(D648="固定颜色盒",D648="广告锁定周转盒"),G648=0,TRUE)),TRUE)),"通过","需调整")</ns0:f>
        <ns0:v>通过</ns0:v>
      </ns0:c>
      <ns0:c r="P648" s="145" t="str">
        <ns0:v>普通盒</ns0:v>
      </ns0:c>
      <ns0:c r="Q648" s="145" t="str">
        <ns0:v>固定层序见本关首行</ns0:v>
      </ns0:c>
      <ns0:c r="R648" s="149" t="n">
        <ns0:f>E648*H648</ns0:f>
        <ns0:v>0</ns0:v>
      </ns0:c>
    </ns0:row>
    <ns0:row r="649" ht="21" customHeight="1">
      <ns0:c r="A649" s="147" t="n">
        <ns0:v>95</ns0:v>
      </ns0:c>
      <ns0:c r="B649" s="147" t="str">
        <ns0:v>开局</ns0:v>
      </ns0:c>
      <ns0:c r="C649" s="147" t="str">
        <ns0:v>W10-095-05</ns0:v>
      </ns0:c>
      <ns0:c r="D649" s="147" t="str">
        <ns0:v>数字盖盒</ns0:v>
      </ns0:c>
      <ns0:c r="E649" s="152" t="n">
        <ns0:v>1</ns0:v>
      </ns0:c>
      <ns0:c r="F649" s="152" t="n">
        <ns0:v>4</ns0:v>
      </ns0:c>
      <ns0:c r="G649" s="152" t="n">
        <ns0:v>4</ns0:v>
      </ns0:c>
      <ns0:c r="H649" s="152" t="n">
        <ns0:v>2</ns0:v>
      </ns0:c>
      <ns0:c r="I649" s="150" t="n">
        <ns0:f>E649*G649</ns0:f>
        <ns0:v>4</ns0:v>
      </ns0:c>
      <ns0:c r="J649" s="150" t="n">
        <ns0:f>E649*(F649-G649)</ns0:f>
        <ns0:v>0</ns0:v>
      </ns0:c>
      <ns0:c r="K649" s="150" t="n">
        <ns0:f>IF(AND(B649="开局",G649=0,OR(D649="普通盒",D649="单颗暂存盒")),J649,0)</ns0:f>
        <ns0:v>0</ns0:v>
      </ns0:c>
      <ns0:c r="L649" s="150" t="n">
        <ns0:f>IF(AND(B649="开局",G649&gt;0,OR(D649="普通盒",D649="底部置顶盒",D649="炸弹盒")),J649,0)</ns0:f>
        <ns0:v>0</ns0:v>
      </ns0:c>
      <ns0:c r="M649" s="150" t="n">
        <ns0:f>IF(AND(B649="开局",OR(D649="固定颜色盒",D649="单向收纳盒")),J649,0)</ns0:f>
        <ns0:v>0</ns0:v>
      </ns0:c>
      <ns0:c r="N649" s="150" t="n">
        <ns0:f>IF(AND(B649="开局",OR(D649="数字盖盒",D649="普通冰冻盒",D649="数字冰冻盒",D649="数字冰冻单颗暂存盒")),J649,0)</ns0:f>
        <ns0:v>0</ns0:v>
      </ns0:c>
      <ns0:c r="O649" s="147" t="str">
        <ns0:f>IF(AND(E649&gt;0,E649=INT(E649),G649&gt;=0,G649&lt;=F649,G649=INT(G649),OR(AND(F649=1,OR(D649="单颗暂存盒",D649="数字冰冻单颗暂存盒")),AND(F649=4,NOT(OR(D649="单颗暂存盒",D649="数字冰冻单颗暂存盒")))),IF(OR(D649="数字盖盒",D649="数字冰冻盒",D649="数字冰冻单颗暂存盒"),AND(H649&gt;=1,H649=INT(H649)),H649=0),IF(B649="开局",AND(IF(OR(D649="数字盖盒",D649="普通冰冻盒",D649="数字冰冻盒",D649="炸弹盒",D649="底部置顶盒"),OR(G649=3,G649=4),TRUE),IF(OR(D649="单向收纳盒",D649="单颗暂存盒",D649="数字冰冻单颗暂存盒"),OR(G649=0,G649=1),TRUE),IF(OR(D649="固定颜色盒",D649="广告锁定周转盒"),G649=0,TRUE)),TRUE)),"通过","需调整")</ns0:f>
        <ns0:v>通过</ns0:v>
      </ns0:c>
      <ns0:c r="P649" s="147" t="str">
        <ns0:v>数字盖盒</ns0:v>
      </ns0:c>
      <ns0:c r="Q649" s="147" t="str">
        <ns0:v>固定层序见本关首行</ns0:v>
      </ns0:c>
      <ns0:c r="R649" s="150" t="n">
        <ns0:f>E649*H649</ns0:f>
        <ns0:v>2</ns0:v>
      </ns0:c>
    </ns0:row>
    <ns0:row r="650" ht="21" customHeight="1">
      <ns0:c r="A650" s="145" t="n">
        <ns0:v>95</ns0:v>
      </ns0:c>
      <ns0:c r="B650" s="145" t="str">
        <ns0:v>开局</ns0:v>
      </ns0:c>
      <ns0:c r="C650" s="145" t="str">
        <ns0:v>W10-095-06</ns0:v>
      </ns0:c>
      <ns0:c r="D650" s="145" t="str">
        <ns0:v>单向收纳盒</ns0:v>
      </ns0:c>
      <ns0:c r="E650" s="152" t="n">
        <ns0:v>1</ns0:v>
      </ns0:c>
      <ns0:c r="F650" s="152" t="n">
        <ns0:v>4</ns0:v>
      </ns0:c>
      <ns0:c r="G650" s="152" t="n">
        <ns0:v>0</ns0:v>
      </ns0:c>
      <ns0:c r="H650" s="152" t="n">
        <ns0:v>0</ns0:v>
      </ns0:c>
      <ns0:c r="I650" s="149" t="n">
        <ns0:f>E650*G650</ns0:f>
        <ns0:v>0</ns0:v>
      </ns0:c>
      <ns0:c r="J650" s="149" t="n">
        <ns0:f>E650*(F650-G650)</ns0:f>
        <ns0:v>4</ns0:v>
      </ns0:c>
      <ns0:c r="K650" s="149" t="n">
        <ns0:f>IF(AND(B650="开局",G650=0,OR(D650="普通盒",D650="单颗暂存盒")),J650,0)</ns0:f>
        <ns0:v>0</ns0:v>
      </ns0:c>
      <ns0:c r="L650" s="149" t="n">
        <ns0:f>IF(AND(B650="开局",G650&gt;0,OR(D650="普通盒",D650="底部置顶盒",D650="炸弹盒")),J650,0)</ns0:f>
        <ns0:v>0</ns0:v>
      </ns0:c>
      <ns0:c r="M650" s="149" t="n">
        <ns0:f>IF(AND(B650="开局",OR(D650="固定颜色盒",D650="单向收纳盒")),J650,0)</ns0:f>
        <ns0:v>4</ns0:v>
      </ns0:c>
      <ns0:c r="N650" s="149" t="n">
        <ns0:f>IF(AND(B650="开局",OR(D650="数字盖盒",D650="普通冰冻盒",D650="数字冰冻盒",D650="数字冰冻单颗暂存盒")),J650,0)</ns0:f>
        <ns0:v>0</ns0:v>
      </ns0:c>
      <ns0:c r="O650" s="145" t="str">
        <ns0:f>IF(AND(E650&gt;0,E650=INT(E650),G650&gt;=0,G650&lt;=F650,G650=INT(G650),OR(AND(F650=1,OR(D650="单颗暂存盒",D650="数字冰冻单颗暂存盒")),AND(F650=4,NOT(OR(D650="单颗暂存盒",D650="数字冰冻单颗暂存盒")))),IF(OR(D650="数字盖盒",D650="数字冰冻盒",D650="数字冰冻单颗暂存盒"),AND(H650&gt;=1,H650=INT(H650)),H650=0),IF(B650="开局",AND(IF(OR(D650="数字盖盒",D650="普通冰冻盒",D650="数字冰冻盒",D650="炸弹盒",D650="底部置顶盒"),OR(G650=3,G650=4),TRUE),IF(OR(D650="单向收纳盒",D650="单颗暂存盒",D650="数字冰冻单颗暂存盒"),OR(G650=0,G650=1),TRUE),IF(OR(D650="固定颜色盒",D650="广告锁定周转盒"),G650=0,TRUE)),TRUE)),"通过","需调整")</ns0:f>
        <ns0:v>通过</ns0:v>
      </ns0:c>
      <ns0:c r="P650" s="145" t="str">
        <ns0:v>单向收纳盒</ns0:v>
      </ns0:c>
      <ns0:c r="Q650" s="145" t="str">
        <ns0:v>固定层序见本关首行</ns0:v>
      </ns0:c>
      <ns0:c r="R650" s="149" t="n">
        <ns0:f>E650*H650</ns0:f>
        <ns0:v>0</ns0:v>
      </ns0:c>
    </ns0:row>
    <ns0:row r="651" ht="21" customHeight="1">
      <ns0:c r="A651" s="147" t="n">
        <ns0:v>95</ns0:v>
      </ns0:c>
      <ns0:c r="B651" s="147" t="str">
        <ns0:v>开局</ns0:v>
      </ns0:c>
      <ns0:c r="C651" s="147" t="str">
        <ns0:v>W10-095-07</ns0:v>
      </ns0:c>
      <ns0:c r="D651" s="147" t="str">
        <ns0:v>广告锁定周转盒</ns0:v>
      </ns0:c>
      <ns0:c r="E651" s="152" t="n">
        <ns0:v>2</ns0:v>
      </ns0:c>
      <ns0:c r="F651" s="152" t="n">
        <ns0:v>4</ns0:v>
      </ns0:c>
      <ns0:c r="G651" s="152" t="n">
        <ns0:v>0</ns0:v>
      </ns0:c>
      <ns0:c r="H651" s="152" t="n">
        <ns0:v>0</ns0:v>
      </ns0:c>
      <ns0:c r="I651" s="150" t="n">
        <ns0:f>E651*G651</ns0:f>
        <ns0:v>0</ns0:v>
      </ns0:c>
      <ns0:c r="J651" s="150" t="n">
        <ns0:f>E651*(F651-G651)</ns0:f>
        <ns0:v>8</ns0:v>
      </ns0:c>
      <ns0:c r="K651" s="150" t="n">
        <ns0:f>IF(AND(B651="开局",G651=0,OR(D651="普通盒",D651="单颗暂存盒")),J651,0)</ns0:f>
        <ns0:v>0</ns0:v>
      </ns0:c>
      <ns0:c r="L651" s="150" t="n">
        <ns0:f>IF(AND(B651="开局",G651&gt;0,OR(D651="普通盒",D651="底部置顶盒",D651="炸弹盒")),J651,0)</ns0:f>
        <ns0:v>0</ns0:v>
      </ns0:c>
      <ns0:c r="M651" s="150" t="n">
        <ns0:f>IF(AND(B651="开局",OR(D651="固定颜色盒",D651="单向收纳盒")),J651,0)</ns0:f>
        <ns0:v>0</ns0:v>
      </ns0:c>
      <ns0:c r="N651" s="150" t="n">
        <ns0:f>IF(AND(B651="开局",OR(D651="数字盖盒",D651="普通冰冻盒",D651="数字冰冻盒",D651="数字冰冻单颗暂存盒")),J651,0)</ns0:f>
        <ns0:v>0</ns0:v>
      </ns0:c>
      <ns0:c r="O651" s="147" t="str">
        <ns0:f>IF(AND(E651&gt;0,E651=INT(E651),G651&gt;=0,G651&lt;=F651,G651=INT(G651),OR(AND(F651=1,OR(D651="单颗暂存盒",D651="数字冰冻单颗暂存盒")),AND(F651=4,NOT(OR(D651="单颗暂存盒",D651="数字冰冻单颗暂存盒")))),IF(OR(D651="数字盖盒",D651="数字冰冻盒",D651="数字冰冻单颗暂存盒"),AND(H651&gt;=1,H651=INT(H651)),H651=0),IF(B651="开局",AND(IF(OR(D651="数字盖盒",D651="普通冰冻盒",D651="数字冰冻盒",D651="炸弹盒",D651="底部置顶盒"),OR(G651=3,G651=4),TRUE),IF(OR(D651="单向收纳盒",D651="单颗暂存盒",D651="数字冰冻单颗暂存盒"),OR(G651=0,G651=1),TRUE),IF(OR(D651="固定颜色盒",D651="广告锁定周转盒"),G651=0,TRUE)),TRUE)),"通过","需调整")</ns0:f>
        <ns0:v>通过</ns0:v>
      </ns0:c>
      <ns0:c r="P651" s="147" t="str">
        <ns0:v>双广告锁位</ns0:v>
      </ns0:c>
      <ns0:c r="Q651" s="147" t="str">
        <ns0:v>固定层序见本关首行</ns0:v>
      </ns0:c>
      <ns0:c r="R651" s="150" t="n">
        <ns0:f>E651*H651</ns0:f>
        <ns0:v>0</ns0:v>
      </ns0:c>
    </ns0:row>
    <ns0:row r="652" ht="21" customHeight="1">
      <ns0:c r="A652" s="145" t="n">
        <ns0:v>96</ns0:v>
      </ns0:c>
      <ns0:c r="B652" s="145" t="str">
        <ns0:v>开局</ns0:v>
      </ns0:c>
      <ns0:c r="C652" s="145" t="str">
        <ns0:v>W10-096-01</ns0:v>
      </ns0:c>
      <ns0:c r="D652" s="145" t="str">
        <ns0:v>普通盒</ns0:v>
      </ns0:c>
      <ns0:c r="E652" s="152" t="n">
        <ns0:v>12</ns0:v>
      </ns0:c>
      <ns0:c r="F652" s="152" t="n">
        <ns0:v>4</ns0:v>
      </ns0:c>
      <ns0:c r="G652" s="152" t="n">
        <ns0:v>4</ns0:v>
      </ns0:c>
      <ns0:c r="H652" s="152" t="n">
        <ns0:v>0</ns0:v>
      </ns0:c>
      <ns0:c r="I652" s="149" t="n">
        <ns0:f>E652*G652</ns0:f>
        <ns0:v>48</ns0:v>
      </ns0:c>
      <ns0:c r="J652" s="149" t="n">
        <ns0:f>E652*(F652-G652)</ns0:f>
        <ns0:v>0</ns0:v>
      </ns0:c>
      <ns0:c r="K652" s="149" t="n">
        <ns0:f>IF(AND(B652="开局",G652=0,OR(D652="普通盒",D652="单颗暂存盒")),J652,0)</ns0:f>
        <ns0:v>0</ns0:v>
      </ns0:c>
      <ns0:c r="L652" s="149" t="n">
        <ns0:f>IF(AND(B652="开局",G652&gt;0,OR(D652="普通盒",D652="底部置顶盒",D652="炸弹盒")),J652,0)</ns0:f>
        <ns0:v>0</ns0:v>
      </ns0:c>
      <ns0:c r="M652" s="149" t="n">
        <ns0:f>IF(AND(B652="开局",OR(D652="固定颜色盒",D652="单向收纳盒")),J652,0)</ns0:f>
        <ns0:v>0</ns0:v>
      </ns0:c>
      <ns0:c r="N652" s="149" t="n">
        <ns0:f>IF(AND(B652="开局",OR(D652="数字盖盒",D652="普通冰冻盒",D652="数字冰冻盒",D652="数字冰冻单颗暂存盒")),J652,0)</ns0:f>
        <ns0:v>0</ns0:v>
      </ns0:c>
      <ns0:c r="O652" s="145" t="str">
        <ns0:f>IF(AND(E652&gt;0,E652=INT(E652),G652&gt;=0,G652&lt;=F652,G652=INT(G652),OR(AND(F652=1,OR(D652="单颗暂存盒",D652="数字冰冻单颗暂存盒")),AND(F652=4,NOT(OR(D652="单颗暂存盒",D652="数字冰冻单颗暂存盒")))),IF(OR(D652="数字盖盒",D652="数字冰冻盒",D652="数字冰冻单颗暂存盒"),AND(H652&gt;=1,H652=INT(H652)),H652=0),IF(B652="开局",AND(IF(OR(D652="数字盖盒",D652="普通冰冻盒",D652="数字冰冻盒",D652="炸弹盒",D652="底部置顶盒"),OR(G652=3,G652=4),TRUE),IF(OR(D652="单向收纳盒",D652="单颗暂存盒",D652="数字冰冻单颗暂存盒"),OR(G652=0,G652=1),TRUE),IF(OR(D652="固定颜色盒",D652="广告锁定周转盒"),G652=0,TRUE)),TRUE)),"通过","需调整")</ns0:f>
        <ns0:v>通过</ns0:v>
      </ns0:c>
      <ns0:c r="P652" s="145" t="str">
        <ns0:v>普通盒</ns0:v>
      </ns0:c>
      <ns0:c r="Q652" s="145" t="str">
        <ns0:v>层序JSON:{"reference":"2026-10-12 第91至100关组合挑战与百关收尾；固定层序、明牌拆弹材料与分段反馈","slots":[{"group_id":"W10-096-01","layers":[5,0,2,12]},{"group_id":"W10-096-01","layers":[8,3,6,0]},{"group_id":"W10-096-01","layers":[8,2,12,6]},{"group_id":"W10-096-01","layers":[0,3,6,0]},{"group_id":"W10-096-01","layers":[12,8,2,4]},{"group_id":"W10-096-02","layers":[12,3,0]},{"group_id":"W10-096-03","layers":[2]},{"group_id":"W10-096-06","layers":[3,5,2,4]},{"group_id":"W10-096-05","layers":[12,2,0,0],"bomb_seconds":150},{"group_id":"W10-096-01","layers":[0,6,2,0]},{"group_id":"W10-096-01","layers":[5,2,2,5]},{"group_id":"W10-096-01","layers":[5,12,5,0]},{"group_id":"W10-096-01","layers":[3,8,4,2]},{"group_id":"W10-096-07","layers":[6,8,3,4]},{"group_id":"W10-096-01","layers":[4,6,4,0]},{"group_id":"W10-096-01","layers":[12,4,12,2]},{"group_id":"W10-096-01","layers":[3,0,6,5]},{"group_id":"W10-096-04","layers":[]}],"stock":[{"group_id":"W10-096-09","layers":[3,8,4,2]},{"group_id":"W10-096-09","layers":[8,6,5,8]}],"demand_sequences":[[0,5,4,3,8,8,3,12,2],[2,12,6,0,6,2,4,5,0]]}</ns0:v>
      </ns0:c>
      <ns0:c r="R652" s="149" t="n">
        <ns0:f>E652*H652</ns0:f>
        <ns0:v>0</ns0:v>
      </ns0:c>
    </ns0:row>
    <ns0:row r="653" ht="21" customHeight="1">
      <ns0:c r="A653" s="147" t="n">
        <ns0:v>96</ns0:v>
      </ns0:c>
      <ns0:c r="B653" s="147" t="str">
        <ns0:v>开局</ns0:v>
      </ns0:c>
      <ns0:c r="C653" s="147" t="str">
        <ns0:v>W10-096-02</ns0:v>
      </ns0:c>
      <ns0:c r="D653" s="147" t="str">
        <ns0:v>普通盒</ns0:v>
      </ns0:c>
      <ns0:c r="E653" s="152" t="n">
        <ns0:v>1</ns0:v>
      </ns0:c>
      <ns0:c r="F653" s="152" t="n">
        <ns0:v>4</ns0:v>
      </ns0:c>
      <ns0:c r="G653" s="152" t="n">
        <ns0:v>3</ns0:v>
      </ns0:c>
      <ns0:c r="H653" s="152" t="n">
        <ns0:v>0</ns0:v>
      </ns0:c>
      <ns0:c r="I653" s="150" t="n">
        <ns0:f>E653*G653</ns0:f>
        <ns0:v>3</ns0:v>
      </ns0:c>
      <ns0:c r="J653" s="150" t="n">
        <ns0:f>E653*(F653-G653)</ns0:f>
        <ns0:v>1</ns0:v>
      </ns0:c>
      <ns0:c r="K653" s="150" t="n">
        <ns0:f>IF(AND(B653="开局",G653=0,OR(D653="普通盒",D653="单颗暂存盒")),J653,0)</ns0:f>
        <ns0:v>0</ns0:v>
      </ns0:c>
      <ns0:c r="L653" s="150" t="n">
        <ns0:f>IF(AND(B653="开局",G653&gt;0,OR(D653="普通盒",D653="底部置顶盒",D653="炸弹盒")),J653,0)</ns0:f>
        <ns0:v>1</ns0:v>
      </ns0:c>
      <ns0:c r="M653" s="150" t="n">
        <ns0:f>IF(AND(B653="开局",OR(D653="固定颜色盒",D653="单向收纳盒")),J653,0)</ns0:f>
        <ns0:v>0</ns0:v>
      </ns0:c>
      <ns0:c r="N653" s="150" t="n">
        <ns0:f>IF(AND(B653="开局",OR(D653="数字盖盒",D653="普通冰冻盒",D653="数字冰冻盒",D653="数字冰冻单颗暂存盒")),J653,0)</ns0:f>
        <ns0:v>0</ns0:v>
      </ns0:c>
      <ns0:c r="O653" s="147" t="str">
        <ns0:f>IF(AND(E653&gt;0,E653=INT(E653),G653&gt;=0,G653&lt;=F653,G653=INT(G653),OR(AND(F653=1,OR(D653="单颗暂存盒",D653="数字冰冻单颗暂存盒")),AND(F653=4,NOT(OR(D653="单颗暂存盒",D653="数字冰冻单颗暂存盒")))),IF(OR(D653="数字盖盒",D653="数字冰冻盒",D653="数字冰冻单颗暂存盒"),AND(H653&gt;=1,H653=INT(H653)),H653=0),IF(B653="开局",AND(IF(OR(D653="数字盖盒",D653="普通冰冻盒",D653="数字冰冻盒",D653="炸弹盒",D653="底部置顶盒"),OR(G653=3,G653=4),TRUE),IF(OR(D653="单向收纳盒",D653="单颗暂存盒",D653="数字冰冻单颗暂存盒"),OR(G653=0,G653=1),TRUE),IF(OR(D653="固定颜色盒",D653="广告锁定周转盒"),G653=0,TRUE)),TRUE)),"通过","需调整")</ns0:f>
        <ns0:v>通过</ns0:v>
      </ns0:c>
      <ns0:c r="P653" s="147" t="str">
        <ns0:v>普通盒</ns0:v>
      </ns0:c>
      <ns0:c r="Q653" s="147" t="str">
        <ns0:v>固定层序见本关首行</ns0:v>
      </ns0:c>
      <ns0:c r="R653" s="150" t="n">
        <ns0:f>E653*H653</ns0:f>
        <ns0:v>0</ns0:v>
      </ns0:c>
    </ns0:row>
    <ns0:row r="654" ht="21" customHeight="1">
      <ns0:c r="A654" s="145" t="n">
        <ns0:v>96</ns0:v>
      </ns0:c>
      <ns0:c r="B654" s="145" t="str">
        <ns0:v>开局</ns0:v>
      </ns0:c>
      <ns0:c r="C654" s="145" t="str">
        <ns0:v>W10-096-03</ns0:v>
      </ns0:c>
      <ns0:c r="D654" s="145" t="str">
        <ns0:v>普通盒</ns0:v>
      </ns0:c>
      <ns0:c r="E654" s="152" t="n">
        <ns0:v>1</ns0:v>
      </ns0:c>
      <ns0:c r="F654" s="152" t="n">
        <ns0:v>4</ns0:v>
      </ns0:c>
      <ns0:c r="G654" s="152" t="n">
        <ns0:v>1</ns0:v>
      </ns0:c>
      <ns0:c r="H654" s="152" t="n">
        <ns0:v>0</ns0:v>
      </ns0:c>
      <ns0:c r="I654" s="149" t="n">
        <ns0:f>E654*G654</ns0:f>
        <ns0:v>1</ns0:v>
      </ns0:c>
      <ns0:c r="J654" s="149" t="n">
        <ns0:f>E654*(F654-G654)</ns0:f>
        <ns0:v>3</ns0:v>
      </ns0:c>
      <ns0:c r="K654" s="149" t="n">
        <ns0:f>IF(AND(B654="开局",G654=0,OR(D654="普通盒",D654="单颗暂存盒")),J654,0)</ns0:f>
        <ns0:v>0</ns0:v>
      </ns0:c>
      <ns0:c r="L654" s="149" t="n">
        <ns0:f>IF(AND(B654="开局",G654&gt;0,OR(D654="普通盒",D654="底部置顶盒",D654="炸弹盒")),J654,0)</ns0:f>
        <ns0:v>3</ns0:v>
      </ns0:c>
      <ns0:c r="M654" s="149" t="n">
        <ns0:f>IF(AND(B654="开局",OR(D654="固定颜色盒",D654="单向收纳盒")),J654,0)</ns0:f>
        <ns0:v>0</ns0:v>
      </ns0:c>
      <ns0:c r="N654" s="149" t="n">
        <ns0:f>IF(AND(B654="开局",OR(D654="数字盖盒",D654="普通冰冻盒",D654="数字冰冻盒",D654="数字冰冻单颗暂存盒")),J654,0)</ns0:f>
        <ns0:v>0</ns0:v>
      </ns0:c>
      <ns0:c r="O654" s="145" t="str">
        <ns0:f>IF(AND(E654&gt;0,E654=INT(E654),G654&gt;=0,G654&lt;=F654,G654=INT(G654),OR(AND(F654=1,OR(D654="单颗暂存盒",D654="数字冰冻单颗暂存盒")),AND(F654=4,NOT(OR(D654="单颗暂存盒",D654="数字冰冻单颗暂存盒")))),IF(OR(D654="数字盖盒",D654="数字冰冻盒",D654="数字冰冻单颗暂存盒"),AND(H654&gt;=1,H654=INT(H654)),H654=0),IF(B654="开局",AND(IF(OR(D654="数字盖盒",D654="普通冰冻盒",D654="数字冰冻盒",D654="炸弹盒",D654="底部置顶盒"),OR(G654=3,G654=4),TRUE),IF(OR(D654="单向收纳盒",D654="单颗暂存盒",D654="数字冰冻单颗暂存盒"),OR(G654=0,G654=1),TRUE),IF(OR(D654="固定颜色盒",D654="广告锁定周转盒"),G654=0,TRUE)),TRUE)),"通过","需调整")</ns0:f>
        <ns0:v>通过</ns0:v>
      </ns0:c>
      <ns0:c r="P654" s="145" t="str">
        <ns0:v>普通盒</ns0:v>
      </ns0:c>
      <ns0:c r="Q654" s="145" t="str">
        <ns0:v>固定层序见本关首行</ns0:v>
      </ns0:c>
      <ns0:c r="R654" s="149" t="n">
        <ns0:f>E654*H654</ns0:f>
        <ns0:v>0</ns0:v>
      </ns0:c>
    </ns0:row>
    <ns0:row r="655" ht="21" customHeight="1">
      <ns0:c r="A655" s="147" t="n">
        <ns0:v>96</ns0:v>
      </ns0:c>
      <ns0:c r="B655" s="147" t="str">
        <ns0:v>开局</ns0:v>
      </ns0:c>
      <ns0:c r="C655" s="147" t="str">
        <ns0:v>W10-096-04</ns0:v>
      </ns0:c>
      <ns0:c r="D655" s="147" t="str">
        <ns0:v>普通盒</ns0:v>
      </ns0:c>
      <ns0:c r="E655" s="152" t="n">
        <ns0:v>1</ns0:v>
      </ns0:c>
      <ns0:c r="F655" s="152" t="n">
        <ns0:v>4</ns0:v>
      </ns0:c>
      <ns0:c r="G655" s="152" t="n">
        <ns0:v>0</ns0:v>
      </ns0:c>
      <ns0:c r="H655" s="152" t="n">
        <ns0:v>0</ns0:v>
      </ns0:c>
      <ns0:c r="I655" s="150" t="n">
        <ns0:f>E655*G655</ns0:f>
        <ns0:v>0</ns0:v>
      </ns0:c>
      <ns0:c r="J655" s="150" t="n">
        <ns0:f>E655*(F655-G655)</ns0:f>
        <ns0:v>4</ns0:v>
      </ns0:c>
      <ns0:c r="K655" s="150" t="n">
        <ns0:f>IF(AND(B655="开局",G655=0,OR(D655="普通盒",D655="单颗暂存盒")),J655,0)</ns0:f>
        <ns0:v>4</ns0:v>
      </ns0:c>
      <ns0:c r="L655" s="150" t="n">
        <ns0:f>IF(AND(B655="开局",G655&gt;0,OR(D655="普通盒",D655="底部置顶盒",D655="炸弹盒")),J655,0)</ns0:f>
        <ns0:v>0</ns0:v>
      </ns0:c>
      <ns0:c r="M655" s="150" t="n">
        <ns0:f>IF(AND(B655="开局",OR(D655="固定颜色盒",D655="单向收纳盒")),J655,0)</ns0:f>
        <ns0:v>0</ns0:v>
      </ns0:c>
      <ns0:c r="N655" s="150" t="n">
        <ns0:f>IF(AND(B655="开局",OR(D655="数字盖盒",D655="普通冰冻盒",D655="数字冰冻盒",D655="数字冰冻单颗暂存盒")),J655,0)</ns0:f>
        <ns0:v>0</ns0:v>
      </ns0:c>
      <ns0:c r="O655" s="147" t="str">
        <ns0:f>IF(AND(E655&gt;0,E655=INT(E655),G655&gt;=0,G655&lt;=F655,G655=INT(G655),OR(AND(F655=1,OR(D655="单颗暂存盒",D655="数字冰冻单颗暂存盒")),AND(F655=4,NOT(OR(D655="单颗暂存盒",D655="数字冰冻单颗暂存盒")))),IF(OR(D655="数字盖盒",D655="数字冰冻盒",D655="数字冰冻单颗暂存盒"),AND(H655&gt;=1,H655=INT(H655)),H655=0),IF(B655="开局",AND(IF(OR(D655="数字盖盒",D655="普通冰冻盒",D655="数字冰冻盒",D655="炸弹盒",D655="底部置顶盒"),OR(G655=3,G655=4),TRUE),IF(OR(D655="单向收纳盒",D655="单颗暂存盒",D655="数字冰冻单颗暂存盒"),OR(G655=0,G655=1),TRUE),IF(OR(D655="固定颜色盒",D655="广告锁定周转盒"),G655=0,TRUE)),TRUE)),"通过","需调整")</ns0:f>
        <ns0:v>通过</ns0:v>
      </ns0:c>
      <ns0:c r="P655" s="147" t="str">
        <ns0:v>普通盒</ns0:v>
      </ns0:c>
      <ns0:c r="Q655" s="147" t="str">
        <ns0:v>固定层序见本关首行</ns0:v>
      </ns0:c>
      <ns0:c r="R655" s="150" t="n">
        <ns0:f>E655*H655</ns0:f>
        <ns0:v>0</ns0:v>
      </ns0:c>
    </ns0:row>
    <ns0:row r="656" ht="21" customHeight="1">
      <ns0:c r="A656" s="145" t="n">
        <ns0:v>96</ns0:v>
      </ns0:c>
      <ns0:c r="B656" s="145" t="str">
        <ns0:v>开局</ns0:v>
      </ns0:c>
      <ns0:c r="C656" s="145" t="str">
        <ns0:v>W10-096-05</ns0:v>
      </ns0:c>
      <ns0:c r="D656" s="145" t="str">
        <ns0:v>炸弹盒</ns0:v>
      </ns0:c>
      <ns0:c r="E656" s="152" t="n">
        <ns0:v>1</ns0:v>
      </ns0:c>
      <ns0:c r="F656" s="152" t="n">
        <ns0:v>4</ns0:v>
      </ns0:c>
      <ns0:c r="G656" s="152" t="n">
        <ns0:v>4</ns0:v>
      </ns0:c>
      <ns0:c r="H656" s="152" t="n">
        <ns0:v>0</ns0:v>
      </ns0:c>
      <ns0:c r="I656" s="149" t="n">
        <ns0:f>E656*G656</ns0:f>
        <ns0:v>4</ns0:v>
      </ns0:c>
      <ns0:c r="J656" s="149" t="n">
        <ns0:f>E656*(F656-G656)</ns0:f>
        <ns0:v>0</ns0:v>
      </ns0:c>
      <ns0:c r="K656" s="149" t="n">
        <ns0:f>IF(AND(B656="开局",G656=0,OR(D656="普通盒",D656="单颗暂存盒")),J656,0)</ns0:f>
        <ns0:v>0</ns0:v>
      </ns0:c>
      <ns0:c r="L656" s="149" t="n">
        <ns0:f>IF(AND(B656="开局",G656&gt;0,OR(D656="普通盒",D656="底部置顶盒",D656="炸弹盒")),J656,0)</ns0:f>
        <ns0:v>0</ns0:v>
      </ns0:c>
      <ns0:c r="M656" s="149" t="n">
        <ns0:f>IF(AND(B656="开局",OR(D656="固定颜色盒",D656="单向收纳盒")),J656,0)</ns0:f>
        <ns0:v>0</ns0:v>
      </ns0:c>
      <ns0:c r="N656" s="149" t="n">
        <ns0:f>IF(AND(B656="开局",OR(D656="数字盖盒",D656="普通冰冻盒",D656="数字冰冻盒",D656="数字冰冻单颗暂存盒")),J656,0)</ns0:f>
        <ns0:v>0</ns0:v>
      </ns0:c>
      <ns0:c r="O656" s="145" t="str">
        <ns0:f>IF(AND(E656&gt;0,E656=INT(E656),G656&gt;=0,G656&lt;=F656,G656=INT(G656),OR(AND(F656=1,OR(D656="单颗暂存盒",D656="数字冰冻单颗暂存盒")),AND(F656=4,NOT(OR(D656="单颗暂存盒",D656="数字冰冻单颗暂存盒")))),IF(OR(D656="数字盖盒",D656="数字冰冻盒",D656="数字冰冻单颗暂存盒"),AND(H656&gt;=1,H656=INT(H656)),H656=0),IF(B656="开局",AND(IF(OR(D656="数字盖盒",D656="普通冰冻盒",D656="数字冰冻盒",D656="炸弹盒",D656="底部置顶盒"),OR(G656=3,G656=4),TRUE),IF(OR(D656="单向收纳盒",D656="单颗暂存盒",D656="数字冰冻单颗暂存盒"),OR(G656=0,G656=1),TRUE),IF(OR(D656="固定颜色盒",D656="广告锁定周转盒"),G656=0,TRUE)),TRUE)),"通过","需调整")</ns0:f>
        <ns0:v>通过</ns0:v>
      </ns0:c>
      <ns0:c r="P656" s="145" t="str">
        <ns0:v>炸弹盒</ns0:v>
      </ns0:c>
      <ns0:c r="Q656" s="145" t="str">
        <ns0:v>固定层序见本关首行</ns0:v>
      </ns0:c>
      <ns0:c r="R656" s="149" t="n">
        <ns0:f>E656*H656</ns0:f>
        <ns0:v>0</ns0:v>
      </ns0:c>
    </ns0:row>
    <ns0:row r="657" ht="21" customHeight="1">
      <ns0:c r="A657" s="147" t="n">
        <ns0:v>96</ns0:v>
      </ns0:c>
      <ns0:c r="B657" s="147" t="str">
        <ns0:v>开局</ns0:v>
      </ns0:c>
      <ns0:c r="C657" s="147" t="str">
        <ns0:v>W10-096-06</ns0:v>
      </ns0:c>
      <ns0:c r="D657" s="147" t="str">
        <ns0:v>底部置顶盒</ns0:v>
      </ns0:c>
      <ns0:c r="E657" s="152" t="n">
        <ns0:v>1</ns0:v>
      </ns0:c>
      <ns0:c r="F657" s="152" t="n">
        <ns0:v>4</ns0:v>
      </ns0:c>
      <ns0:c r="G657" s="152" t="n">
        <ns0:v>4</ns0:v>
      </ns0:c>
      <ns0:c r="H657" s="152" t="n">
        <ns0:v>0</ns0:v>
      </ns0:c>
      <ns0:c r="I657" s="150" t="n">
        <ns0:f>E657*G657</ns0:f>
        <ns0:v>4</ns0:v>
      </ns0:c>
      <ns0:c r="J657" s="150" t="n">
        <ns0:f>E657*(F657-G657)</ns0:f>
        <ns0:v>0</ns0:v>
      </ns0:c>
      <ns0:c r="K657" s="150" t="n">
        <ns0:f>IF(AND(B657="开局",G657=0,OR(D657="普通盒",D657="单颗暂存盒")),J657,0)</ns0:f>
        <ns0:v>0</ns0:v>
      </ns0:c>
      <ns0:c r="L657" s="150" t="n">
        <ns0:f>IF(AND(B657="开局",G657&gt;0,OR(D657="普通盒",D657="底部置顶盒",D657="炸弹盒")),J657,0)</ns0:f>
        <ns0:v>0</ns0:v>
      </ns0:c>
      <ns0:c r="M657" s="150" t="n">
        <ns0:f>IF(AND(B657="开局",OR(D657="固定颜色盒",D657="单向收纳盒")),J657,0)</ns0:f>
        <ns0:v>0</ns0:v>
      </ns0:c>
      <ns0:c r="N657" s="150" t="n">
        <ns0:f>IF(AND(B657="开局",OR(D657="数字盖盒",D657="普通冰冻盒",D657="数字冰冻盒",D657="数字冰冻单颗暂存盒")),J657,0)</ns0:f>
        <ns0:v>0</ns0:v>
      </ns0:c>
      <ns0:c r="O657" s="147" t="str">
        <ns0:f>IF(AND(E657&gt;0,E657=INT(E657),G657&gt;=0,G657&lt;=F657,G657=INT(G657),OR(AND(F657=1,OR(D657="单颗暂存盒",D657="数字冰冻单颗暂存盒")),AND(F657=4,NOT(OR(D657="单颗暂存盒",D657="数字冰冻单颗暂存盒")))),IF(OR(D657="数字盖盒",D657="数字冰冻盒",D657="数字冰冻单颗暂存盒"),AND(H657&gt;=1,H657=INT(H657)),H657=0),IF(B657="开局",AND(IF(OR(D657="数字盖盒",D657="普通冰冻盒",D657="数字冰冻盒",D657="炸弹盒",D657="底部置顶盒"),OR(G657=3,G657=4),TRUE),IF(OR(D657="单向收纳盒",D657="单颗暂存盒",D657="数字冰冻单颗暂存盒"),OR(G657=0,G657=1),TRUE),IF(OR(D657="固定颜色盒",D657="广告锁定周转盒"),G657=0,TRUE)),TRUE)),"通过","需调整")</ns0:f>
        <ns0:v>通过</ns0:v>
      </ns0:c>
      <ns0:c r="P657" s="147" t="str">
        <ns0:v>底部置顶盒</ns0:v>
      </ns0:c>
      <ns0:c r="Q657" s="147" t="str">
        <ns0:v>固定层序见本关首行</ns0:v>
      </ns0:c>
      <ns0:c r="R657" s="150" t="n">
        <ns0:f>E657*H657</ns0:f>
        <ns0:v>0</ns0:v>
      </ns0:c>
    </ns0:row>
    <ns0:row r="658" ht="21" customHeight="1">
      <ns0:c r="A658" s="145" t="n">
        <ns0:v>96</ns0:v>
      </ns0:c>
      <ns0:c r="B658" s="145" t="str">
        <ns0:v>开局</ns0:v>
      </ns0:c>
      <ns0:c r="C658" s="145" t="str">
        <ns0:v>W10-096-07</ns0:v>
      </ns0:c>
      <ns0:c r="D658" s="145" t="str">
        <ns0:v>普通冰冻盒</ns0:v>
      </ns0:c>
      <ns0:c r="E658" s="152" t="n">
        <ns0:v>1</ns0:v>
      </ns0:c>
      <ns0:c r="F658" s="152" t="n">
        <ns0:v>4</ns0:v>
      </ns0:c>
      <ns0:c r="G658" s="152" t="n">
        <ns0:v>4</ns0:v>
      </ns0:c>
      <ns0:c r="H658" s="152" t="n">
        <ns0:v>0</ns0:v>
      </ns0:c>
      <ns0:c r="I658" s="149" t="n">
        <ns0:f>E658*G658</ns0:f>
        <ns0:v>4</ns0:v>
      </ns0:c>
      <ns0:c r="J658" s="149" t="n">
        <ns0:f>E658*(F658-G658)</ns0:f>
        <ns0:v>0</ns0:v>
      </ns0:c>
      <ns0:c r="K658" s="149" t="n">
        <ns0:f>IF(AND(B658="开局",G658=0,OR(D658="普通盒",D658="单颗暂存盒")),J658,0)</ns0:f>
        <ns0:v>0</ns0:v>
      </ns0:c>
      <ns0:c r="L658" s="149" t="n">
        <ns0:f>IF(AND(B658="开局",G658&gt;0,OR(D658="普通盒",D658="底部置顶盒",D658="炸弹盒")),J658,0)</ns0:f>
        <ns0:v>0</ns0:v>
      </ns0:c>
      <ns0:c r="M658" s="149" t="n">
        <ns0:f>IF(AND(B658="开局",OR(D658="固定颜色盒",D658="单向收纳盒")),J658,0)</ns0:f>
        <ns0:v>0</ns0:v>
      </ns0:c>
      <ns0:c r="N658" s="149" t="n">
        <ns0:f>IF(AND(B658="开局",OR(D658="数字盖盒",D658="普通冰冻盒",D658="数字冰冻盒",D658="数字冰冻单颗暂存盒")),J658,0)</ns0:f>
        <ns0:v>0</ns0:v>
      </ns0:c>
      <ns0:c r="O658" s="145" t="str">
        <ns0:f>IF(AND(E658&gt;0,E658=INT(E658),G658&gt;=0,G658&lt;=F658,G658=INT(G658),OR(AND(F658=1,OR(D658="单颗暂存盒",D658="数字冰冻单颗暂存盒")),AND(F658=4,NOT(OR(D658="单颗暂存盒",D658="数字冰冻单颗暂存盒")))),IF(OR(D658="数字盖盒",D658="数字冰冻盒",D658="数字冰冻单颗暂存盒"),AND(H658&gt;=1,H658=INT(H658)),H658=0),IF(B658="开局",AND(IF(OR(D658="数字盖盒",D658="普通冰冻盒",D658="数字冰冻盒",D658="炸弹盒",D658="底部置顶盒"),OR(G658=3,G658=4),TRUE),IF(OR(D658="单向收纳盒",D658="单颗暂存盒",D658="数字冰冻单颗暂存盒"),OR(G658=0,G658=1),TRUE),IF(OR(D658="固定颜色盒",D658="广告锁定周转盒"),G658=0,TRUE)),TRUE)),"通过","需调整")</ns0:f>
        <ns0:v>通过</ns0:v>
      </ns0:c>
      <ns0:c r="P658" s="145" t="str">
        <ns0:v>普通冰冻盒</ns0:v>
      </ns0:c>
      <ns0:c r="Q658" s="145" t="str">
        <ns0:v>固定层序见本关首行</ns0:v>
      </ns0:c>
      <ns0:c r="R658" s="149" t="n">
        <ns0:f>E658*H658</ns0:f>
        <ns0:v>0</ns0:v>
      </ns0:c>
    </ns0:row>
    <ns0:row r="659" ht="21" customHeight="1">
      <ns0:c r="A659" s="147" t="n">
        <ns0:v>96</ns0:v>
      </ns0:c>
      <ns0:c r="B659" s="147" t="str">
        <ns0:v>开局</ns0:v>
      </ns0:c>
      <ns0:c r="C659" s="147" t="str">
        <ns0:v>W10-096-08</ns0:v>
      </ns0:c>
      <ns0:c r="D659" s="147" t="str">
        <ns0:v>广告锁定周转盒</ns0:v>
      </ns0:c>
      <ns0:c r="E659" s="152" t="n">
        <ns0:v>2</ns0:v>
      </ns0:c>
      <ns0:c r="F659" s="152" t="n">
        <ns0:v>4</ns0:v>
      </ns0:c>
      <ns0:c r="G659" s="152" t="n">
        <ns0:v>0</ns0:v>
      </ns0:c>
      <ns0:c r="H659" s="152" t="n">
        <ns0:v>0</ns0:v>
      </ns0:c>
      <ns0:c r="I659" s="150" t="n">
        <ns0:f>E659*G659</ns0:f>
        <ns0:v>0</ns0:v>
      </ns0:c>
      <ns0:c r="J659" s="150" t="n">
        <ns0:f>E659*(F659-G659)</ns0:f>
        <ns0:v>8</ns0:v>
      </ns0:c>
      <ns0:c r="K659" s="150" t="n">
        <ns0:f>IF(AND(B659="开局",G659=0,OR(D659="普通盒",D659="单颗暂存盒")),J659,0)</ns0:f>
        <ns0:v>0</ns0:v>
      </ns0:c>
      <ns0:c r="L659" s="150" t="n">
        <ns0:f>IF(AND(B659="开局",G659&gt;0,OR(D659="普通盒",D659="底部置顶盒",D659="炸弹盒")),J659,0)</ns0:f>
        <ns0:v>0</ns0:v>
      </ns0:c>
      <ns0:c r="M659" s="150" t="n">
        <ns0:f>IF(AND(B659="开局",OR(D659="固定颜色盒",D659="单向收纳盒")),J659,0)</ns0:f>
        <ns0:v>0</ns0:v>
      </ns0:c>
      <ns0:c r="N659" s="150" t="n">
        <ns0:f>IF(AND(B659="开局",OR(D659="数字盖盒",D659="普通冰冻盒",D659="数字冰冻盒",D659="数字冰冻单颗暂存盒")),J659,0)</ns0:f>
        <ns0:v>0</ns0:v>
      </ns0:c>
      <ns0:c r="O659" s="147" t="str">
        <ns0:f>IF(AND(E659&gt;0,E659=INT(E659),G659&gt;=0,G659&lt;=F659,G659=INT(G659),OR(AND(F659=1,OR(D659="单颗暂存盒",D659="数字冰冻单颗暂存盒")),AND(F659=4,NOT(OR(D659="单颗暂存盒",D659="数字冰冻单颗暂存盒")))),IF(OR(D659="数字盖盒",D659="数字冰冻盒",D659="数字冰冻单颗暂存盒"),AND(H659&gt;=1,H659=INT(H659)),H659=0),IF(B659="开局",AND(IF(OR(D659="数字盖盒",D659="普通冰冻盒",D659="数字冰冻盒",D659="炸弹盒",D659="底部置顶盒"),OR(G659=3,G659=4),TRUE),IF(OR(D659="单向收纳盒",D659="单颗暂存盒",D659="数字冰冻单颗暂存盒"),OR(G659=0,G659=1),TRUE),IF(OR(D659="固定颜色盒",D659="广告锁定周转盒"),G659=0,TRUE)),TRUE)),"通过","需调整")</ns0:f>
        <ns0:v>通过</ns0:v>
      </ns0:c>
      <ns0:c r="P659" s="147" t="str">
        <ns0:v>双广告锁位</ns0:v>
      </ns0:c>
      <ns0:c r="Q659" s="147" t="str">
        <ns0:v>固定层序见本关首行</ns0:v>
      </ns0:c>
      <ns0:c r="R659" s="150" t="n">
        <ns0:f>E659*H659</ns0:f>
        <ns0:v>0</ns0:v>
      </ns0:c>
    </ns0:row>
    <ns0:row r="660" ht="21" customHeight="1">
      <ns0:c r="A660" s="145" t="n">
        <ns0:v>96</ns0:v>
      </ns0:c>
      <ns0:c r="B660" s="145" t="str">
        <ns0:v>备货</ns0:v>
      </ns0:c>
      <ns0:c r="C660" s="145" t="str">
        <ns0:v>W10-096-09</ns0:v>
      </ns0:c>
      <ns0:c r="D660" s="145" t="str">
        <ns0:v>普通盒</ns0:v>
      </ns0:c>
      <ns0:c r="E660" s="152" t="n">
        <ns0:v>2</ns0:v>
      </ns0:c>
      <ns0:c r="F660" s="152" t="n">
        <ns0:v>4</ns0:v>
      </ns0:c>
      <ns0:c r="G660" s="152" t="n">
        <ns0:v>4</ns0:v>
      </ns0:c>
      <ns0:c r="H660" s="152" t="n">
        <ns0:v>0</ns0:v>
      </ns0:c>
      <ns0:c r="I660" s="149" t="n">
        <ns0:f>E660*G660</ns0:f>
        <ns0:v>8</ns0:v>
      </ns0:c>
      <ns0:c r="J660" s="149" t="n">
        <ns0:f>E660*(F660-G660)</ns0:f>
        <ns0:v>0</ns0:v>
      </ns0:c>
      <ns0:c r="K660" s="149" t="n">
        <ns0:f>IF(AND(B660="开局",G660=0,OR(D660="普通盒",D660="单颗暂存盒")),J660,0)</ns0:f>
        <ns0:v>0</ns0:v>
      </ns0:c>
      <ns0:c r="L660" s="149" t="n">
        <ns0:f>IF(AND(B660="开局",G660&gt;0,OR(D660="普通盒",D660="底部置顶盒",D660="炸弹盒")),J660,0)</ns0:f>
        <ns0:v>0</ns0:v>
      </ns0:c>
      <ns0:c r="M660" s="149" t="n">
        <ns0:f>IF(AND(B660="开局",OR(D660="固定颜色盒",D660="单向收纳盒")),J660,0)</ns0:f>
        <ns0:v>0</ns0:v>
      </ns0:c>
      <ns0:c r="N660" s="149" t="n">
        <ns0:f>IF(AND(B660="开局",OR(D660="数字盖盒",D660="普通冰冻盒",D660="数字冰冻盒",D660="数字冰冻单颗暂存盒")),J660,0)</ns0:f>
        <ns0:v>0</ns0:v>
      </ns0:c>
      <ns0:c r="O660" s="145" t="str">
        <ns0:f>IF(AND(E660&gt;0,E660=INT(E660),G660&gt;=0,G660&lt;=F660,G660=INT(G660),OR(AND(F660=1,OR(D660="单颗暂存盒",D660="数字冰冻单颗暂存盒")),AND(F660=4,NOT(OR(D660="单颗暂存盒",D660="数字冰冻单颗暂存盒")))),IF(OR(D660="数字盖盒",D660="数字冰冻盒",D660="数字冰冻单颗暂存盒"),AND(H660&gt;=1,H660=INT(H660)),H660=0),IF(B660="开局",AND(IF(OR(D660="数字盖盒",D660="普通冰冻盒",D660="数字冰冻盒",D660="炸弹盒",D660="底部置顶盒"),OR(G660=3,G660=4),TRUE),IF(OR(D660="单向收纳盒",D660="单颗暂存盒",D660="数字冰冻单颗暂存盒"),OR(G660=0,G660=1),TRUE),IF(OR(D660="固定颜色盒",D660="广告锁定周转盒"),G660=0,TRUE)),TRUE)),"通过","需调整")</ns0:f>
        <ns0:v>通过</ns0:v>
      </ns0:c>
      <ns0:c r="P660" s="145" t="str">
        <ns0:v>连续侧边补货</ns0:v>
      </ns0:c>
      <ns0:c r="Q660" s="145" t="str">
        <ns0:v>固定层序见本关首行</ns0:v>
      </ns0:c>
      <ns0:c r="R660" s="149" t="n">
        <ns0:f>E660*H660</ns0:f>
        <ns0:v>0</ns0:v>
      </ns0:c>
    </ns0:row>
    <ns0:row r="661" ht="21" customHeight="1">
      <ns0:c r="A661" s="147" t="n">
        <ns0:v>97</ns0:v>
      </ns0:c>
      <ns0:c r="B661" s="147" t="str">
        <ns0:v>开局</ns0:v>
      </ns0:c>
      <ns0:c r="C661" s="147" t="str">
        <ns0:v>W10-097-01</ns0:v>
      </ns0:c>
      <ns0:c r="D661" s="147" t="str">
        <ns0:v>普通盒</ns0:v>
      </ns0:c>
      <ns0:c r="E661" s="152" t="n">
        <ns0:v>12</ns0:v>
      </ns0:c>
      <ns0:c r="F661" s="152" t="n">
        <ns0:v>4</ns0:v>
      </ns0:c>
      <ns0:c r="G661" s="152" t="n">
        <ns0:v>4</ns0:v>
      </ns0:c>
      <ns0:c r="H661" s="152" t="n">
        <ns0:v>0</ns0:v>
      </ns0:c>
      <ns0:c r="I661" s="150" t="n">
        <ns0:f>E661*G661</ns0:f>
        <ns0:v>48</ns0:v>
      </ns0:c>
      <ns0:c r="J661" s="150" t="n">
        <ns0:f>E661*(F661-G661)</ns0:f>
        <ns0:v>0</ns0:v>
      </ns0:c>
      <ns0:c r="K661" s="150" t="n">
        <ns0:f>IF(AND(B661="开局",G661=0,OR(D661="普通盒",D661="单颗暂存盒")),J661,0)</ns0:f>
        <ns0:v>0</ns0:v>
      </ns0:c>
      <ns0:c r="L661" s="150" t="n">
        <ns0:f>IF(AND(B661="开局",G661&gt;0,OR(D661="普通盒",D661="底部置顶盒",D661="炸弹盒")),J661,0)</ns0:f>
        <ns0:v>0</ns0:v>
      </ns0:c>
      <ns0:c r="M661" s="150" t="n">
        <ns0:f>IF(AND(B661="开局",OR(D661="固定颜色盒",D661="单向收纳盒")),J661,0)</ns0:f>
        <ns0:v>0</ns0:v>
      </ns0:c>
      <ns0:c r="N661" s="150" t="n">
        <ns0:f>IF(AND(B661="开局",OR(D661="数字盖盒",D661="普通冰冻盒",D661="数字冰冻盒",D661="数字冰冻单颗暂存盒")),J661,0)</ns0:f>
        <ns0:v>0</ns0:v>
      </ns0:c>
      <ns0:c r="O661" s="147" t="str">
        <ns0:f>IF(AND(E661&gt;0,E661=INT(E661),G661&gt;=0,G661&lt;=F661,G661=INT(G661),OR(AND(F661=1,OR(D661="单颗暂存盒",D661="数字冰冻单颗暂存盒")),AND(F661=4,NOT(OR(D661="单颗暂存盒",D661="数字冰冻单颗暂存盒")))),IF(OR(D661="数字盖盒",D661="数字冰冻盒",D661="数字冰冻单颗暂存盒"),AND(H661&gt;=1,H661=INT(H661)),H661=0),IF(B661="开局",AND(IF(OR(D661="数字盖盒",D661="普通冰冻盒",D661="数字冰冻盒",D661="炸弹盒",D661="底部置顶盒"),OR(G661=3,G661=4),TRUE),IF(OR(D661="单向收纳盒",D661="单颗暂存盒",D661="数字冰冻单颗暂存盒"),OR(G661=0,G661=1),TRUE),IF(OR(D661="固定颜色盒",D661="广告锁定周转盒"),G661=0,TRUE)),TRUE)),"通过","需调整")</ns0:f>
        <ns0:v>通过</ns0:v>
      </ns0:c>
      <ns0:c r="P661" s="147" t="str">
        <ns0:v>普通盒</ns0:v>
      </ns0:c>
      <ns0:c r="Q661" s="147" t="str">
        <ns0:v>层序JSON:{"reference":"2026-10-12 第91至100关组合挑战与百关收尾；固定层序、明牌拆弹材料与分段反馈","slots":[{"group_id":"W10-097-01","layers":[8,3,0,6]},{"group_id":"W10-097-01","layers":[0,2,4,2]},{"group_id":"W10-097-01","layers":[4,2,5,4]},{"group_id":"W10-097-01","layers":[5,3,8,2]},{"group_id":"W10-097-01","layers":[5,6,2,3]},{"group_id":"W10-097-02","layers":[3,5,6]},{"group_id":"W10-097-03","layers":[4]},{"group_id":"W10-097-01","layers":[6,6,5,0]},{"group_id":"W10-097-01","layers":[6,0,0,3]},{"group_id":"W10-097-01","layers":[0,2,4,6]},{"group_id":"W10-097-01","layers":[0,8,3,4]},{"group_id":"W10-097-01","layers":[5,3,2,5]},{"group_id":"W10-097-01","layers":[2,3,5,8]},{"group_id":"W10-097-01","layers":[4,0,6,4]},{"group_id":"W10-097-05","layers":[],"fixed_flavor":0},{"group_id":"W10-097-06","layers":[]},{"group_id":"W10-097-04","layers":[]}],"stock":[],"demand_sequences":[[0,6,5,2,2,0,4],[3,4,6,8,5,3]]}</ns0:v>
      </ns0:c>
      <ns0:c r="R661" s="150" t="n">
        <ns0:f>E661*H661</ns0:f>
        <ns0:v>0</ns0:v>
      </ns0:c>
    </ns0:row>
    <ns0:row r="662" ht="21" customHeight="1">
      <ns0:c r="A662" s="145" t="n">
        <ns0:v>97</ns0:v>
      </ns0:c>
      <ns0:c r="B662" s="145" t="str">
        <ns0:v>开局</ns0:v>
      </ns0:c>
      <ns0:c r="C662" s="145" t="str">
        <ns0:v>W10-097-02</ns0:v>
      </ns0:c>
      <ns0:c r="D662" s="145" t="str">
        <ns0:v>普通盒</ns0:v>
      </ns0:c>
      <ns0:c r="E662" s="152" t="n">
        <ns0:v>1</ns0:v>
      </ns0:c>
      <ns0:c r="F662" s="152" t="n">
        <ns0:v>4</ns0:v>
      </ns0:c>
      <ns0:c r="G662" s="152" t="n">
        <ns0:v>3</ns0:v>
      </ns0:c>
      <ns0:c r="H662" s="152" t="n">
        <ns0:v>0</ns0:v>
      </ns0:c>
      <ns0:c r="I662" s="149" t="n">
        <ns0:f>E662*G662</ns0:f>
        <ns0:v>3</ns0:v>
      </ns0:c>
      <ns0:c r="J662" s="149" t="n">
        <ns0:f>E662*(F662-G662)</ns0:f>
        <ns0:v>1</ns0:v>
      </ns0:c>
      <ns0:c r="K662" s="149" t="n">
        <ns0:f>IF(AND(B662="开局",G662=0,OR(D662="普通盒",D662="单颗暂存盒")),J662,0)</ns0:f>
        <ns0:v>0</ns0:v>
      </ns0:c>
      <ns0:c r="L662" s="149" t="n">
        <ns0:f>IF(AND(B662="开局",G662&gt;0,OR(D662="普通盒",D662="底部置顶盒",D662="炸弹盒")),J662,0)</ns0:f>
        <ns0:v>1</ns0:v>
      </ns0:c>
      <ns0:c r="M662" s="149" t="n">
        <ns0:f>IF(AND(B662="开局",OR(D662="固定颜色盒",D662="单向收纳盒")),J662,0)</ns0:f>
        <ns0:v>0</ns0:v>
      </ns0:c>
      <ns0:c r="N662" s="149" t="n">
        <ns0:f>IF(AND(B662="开局",OR(D662="数字盖盒",D662="普通冰冻盒",D662="数字冰冻盒",D662="数字冰冻单颗暂存盒")),J662,0)</ns0:f>
        <ns0:v>0</ns0:v>
      </ns0:c>
      <ns0:c r="O662" s="145" t="str">
        <ns0:f>IF(AND(E662&gt;0,E662=INT(E662),G662&gt;=0,G662&lt;=F662,G662=INT(G662),OR(AND(F662=1,OR(D662="单颗暂存盒",D662="数字冰冻单颗暂存盒")),AND(F662=4,NOT(OR(D662="单颗暂存盒",D662="数字冰冻单颗暂存盒")))),IF(OR(D662="数字盖盒",D662="数字冰冻盒",D662="数字冰冻单颗暂存盒"),AND(H662&gt;=1,H662=INT(H662)),H662=0),IF(B662="开局",AND(IF(OR(D662="数字盖盒",D662="普通冰冻盒",D662="数字冰冻盒",D662="炸弹盒",D662="底部置顶盒"),OR(G662=3,G662=4),TRUE),IF(OR(D662="单向收纳盒",D662="单颗暂存盒",D662="数字冰冻单颗暂存盒"),OR(G662=0,G662=1),TRUE),IF(OR(D662="固定颜色盒",D662="广告锁定周转盒"),G662=0,TRUE)),TRUE)),"通过","需调整")</ns0:f>
        <ns0:v>通过</ns0:v>
      </ns0:c>
      <ns0:c r="P662" s="145" t="str">
        <ns0:v>普通盒</ns0:v>
      </ns0:c>
      <ns0:c r="Q662" s="145" t="str">
        <ns0:v>固定层序见本关首行</ns0:v>
      </ns0:c>
      <ns0:c r="R662" s="149" t="n">
        <ns0:f>E662*H662</ns0:f>
        <ns0:v>0</ns0:v>
      </ns0:c>
    </ns0:row>
    <ns0:row r="663" ht="21" customHeight="1">
      <ns0:c r="A663" s="147" t="n">
        <ns0:v>97</ns0:v>
      </ns0:c>
      <ns0:c r="B663" s="147" t="str">
        <ns0:v>开局</ns0:v>
      </ns0:c>
      <ns0:c r="C663" s="147" t="str">
        <ns0:v>W10-097-03</ns0:v>
      </ns0:c>
      <ns0:c r="D663" s="147" t="str">
        <ns0:v>普通盒</ns0:v>
      </ns0:c>
      <ns0:c r="E663" s="152" t="n">
        <ns0:v>1</ns0:v>
      </ns0:c>
      <ns0:c r="F663" s="152" t="n">
        <ns0:v>4</ns0:v>
      </ns0:c>
      <ns0:c r="G663" s="152" t="n">
        <ns0:v>1</ns0:v>
      </ns0:c>
      <ns0:c r="H663" s="152" t="n">
        <ns0:v>0</ns0:v>
      </ns0:c>
      <ns0:c r="I663" s="150" t="n">
        <ns0:f>E663*G663</ns0:f>
        <ns0:v>1</ns0:v>
      </ns0:c>
      <ns0:c r="J663" s="150" t="n">
        <ns0:f>E663*(F663-G663)</ns0:f>
        <ns0:v>3</ns0:v>
      </ns0:c>
      <ns0:c r="K663" s="150" t="n">
        <ns0:f>IF(AND(B663="开局",G663=0,OR(D663="普通盒",D663="单颗暂存盒")),J663,0)</ns0:f>
        <ns0:v>0</ns0:v>
      </ns0:c>
      <ns0:c r="L663" s="150" t="n">
        <ns0:f>IF(AND(B663="开局",G663&gt;0,OR(D663="普通盒",D663="底部置顶盒",D663="炸弹盒")),J663,0)</ns0:f>
        <ns0:v>3</ns0:v>
      </ns0:c>
      <ns0:c r="M663" s="150" t="n">
        <ns0:f>IF(AND(B663="开局",OR(D663="固定颜色盒",D663="单向收纳盒")),J663,0)</ns0:f>
        <ns0:v>0</ns0:v>
      </ns0:c>
      <ns0:c r="N663" s="150" t="n">
        <ns0:f>IF(AND(B663="开局",OR(D663="数字盖盒",D663="普通冰冻盒",D663="数字冰冻盒",D663="数字冰冻单颗暂存盒")),J663,0)</ns0:f>
        <ns0:v>0</ns0:v>
      </ns0:c>
      <ns0:c r="O663" s="147" t="str">
        <ns0:f>IF(AND(E663&gt;0,E663=INT(E663),G663&gt;=0,G663&lt;=F663,G663=INT(G663),OR(AND(F663=1,OR(D663="单颗暂存盒",D663="数字冰冻单颗暂存盒")),AND(F663=4,NOT(OR(D663="单颗暂存盒",D663="数字冰冻单颗暂存盒")))),IF(OR(D663="数字盖盒",D663="数字冰冻盒",D663="数字冰冻单颗暂存盒"),AND(H663&gt;=1,H663=INT(H663)),H663=0),IF(B663="开局",AND(IF(OR(D663="数字盖盒",D663="普通冰冻盒",D663="数字冰冻盒",D663="炸弹盒",D663="底部置顶盒"),OR(G663=3,G663=4),TRUE),IF(OR(D663="单向收纳盒",D663="单颗暂存盒",D663="数字冰冻单颗暂存盒"),OR(G663=0,G663=1),TRUE),IF(OR(D663="固定颜色盒",D663="广告锁定周转盒"),G663=0,TRUE)),TRUE)),"通过","需调整")</ns0:f>
        <ns0:v>通过</ns0:v>
      </ns0:c>
      <ns0:c r="P663" s="147" t="str">
        <ns0:v>普通盒</ns0:v>
      </ns0:c>
      <ns0:c r="Q663" s="147" t="str">
        <ns0:v>固定层序见本关首行</ns0:v>
      </ns0:c>
      <ns0:c r="R663" s="150" t="n">
        <ns0:f>E663*H663</ns0:f>
        <ns0:v>0</ns0:v>
      </ns0:c>
    </ns0:row>
    <ns0:row r="664" ht="21" customHeight="1">
      <ns0:c r="A664" s="145" t="n">
        <ns0:v>97</ns0:v>
      </ns0:c>
      <ns0:c r="B664" s="145" t="str">
        <ns0:v>开局</ns0:v>
      </ns0:c>
      <ns0:c r="C664" s="145" t="str">
        <ns0:v>W10-097-04</ns0:v>
      </ns0:c>
      <ns0:c r="D664" s="145" t="str">
        <ns0:v>普通盒</ns0:v>
      </ns0:c>
      <ns0:c r="E664" s="152" t="n">
        <ns0:v>1</ns0:v>
      </ns0:c>
      <ns0:c r="F664" s="152" t="n">
        <ns0:v>4</ns0:v>
      </ns0:c>
      <ns0:c r="G664" s="152" t="n">
        <ns0:v>0</ns0:v>
      </ns0:c>
      <ns0:c r="H664" s="152" t="n">
        <ns0:v>0</ns0:v>
      </ns0:c>
      <ns0:c r="I664" s="149" t="n">
        <ns0:f>E664*G664</ns0:f>
        <ns0:v>0</ns0:v>
      </ns0:c>
      <ns0:c r="J664" s="149" t="n">
        <ns0:f>E664*(F664-G664)</ns0:f>
        <ns0:v>4</ns0:v>
      </ns0:c>
      <ns0:c r="K664" s="149" t="n">
        <ns0:f>IF(AND(B664="开局",G664=0,OR(D664="普通盒",D664="单颗暂存盒")),J664,0)</ns0:f>
        <ns0:v>4</ns0:v>
      </ns0:c>
      <ns0:c r="L664" s="149" t="n">
        <ns0:f>IF(AND(B664="开局",G664&gt;0,OR(D664="普通盒",D664="底部置顶盒",D664="炸弹盒")),J664,0)</ns0:f>
        <ns0:v>0</ns0:v>
      </ns0:c>
      <ns0:c r="M664" s="149" t="n">
        <ns0:f>IF(AND(B664="开局",OR(D664="固定颜色盒",D664="单向收纳盒")),J664,0)</ns0:f>
        <ns0:v>0</ns0:v>
      </ns0:c>
      <ns0:c r="N664" s="149" t="n">
        <ns0:f>IF(AND(B664="开局",OR(D664="数字盖盒",D664="普通冰冻盒",D664="数字冰冻盒",D664="数字冰冻单颗暂存盒")),J664,0)</ns0:f>
        <ns0:v>0</ns0:v>
      </ns0:c>
      <ns0:c r="O664" s="145" t="str">
        <ns0:f>IF(AND(E664&gt;0,E664=INT(E664),G664&gt;=0,G664&lt;=F664,G664=INT(G664),OR(AND(F664=1,OR(D664="单颗暂存盒",D664="数字冰冻单颗暂存盒")),AND(F664=4,NOT(OR(D664="单颗暂存盒",D664="数字冰冻单颗暂存盒")))),IF(OR(D664="数字盖盒",D664="数字冰冻盒",D664="数字冰冻单颗暂存盒"),AND(H664&gt;=1,H664=INT(H664)),H664=0),IF(B664="开局",AND(IF(OR(D664="数字盖盒",D664="普通冰冻盒",D664="数字冰冻盒",D664="炸弹盒",D664="底部置顶盒"),OR(G664=3,G664=4),TRUE),IF(OR(D664="单向收纳盒",D664="单颗暂存盒",D664="数字冰冻单颗暂存盒"),OR(G664=0,G664=1),TRUE),IF(OR(D664="固定颜色盒",D664="广告锁定周转盒"),G664=0,TRUE)),TRUE)),"通过","需调整")</ns0:f>
        <ns0:v>通过</ns0:v>
      </ns0:c>
      <ns0:c r="P664" s="145" t="str">
        <ns0:v>普通盒</ns0:v>
      </ns0:c>
      <ns0:c r="Q664" s="145" t="str">
        <ns0:v>固定层序见本关首行</ns0:v>
      </ns0:c>
      <ns0:c r="R664" s="149" t="n">
        <ns0:f>E664*H664</ns0:f>
        <ns0:v>0</ns0:v>
      </ns0:c>
    </ns0:row>
    <ns0:row r="665" ht="21" customHeight="1">
      <ns0:c r="A665" s="147" t="n">
        <ns0:v>97</ns0:v>
      </ns0:c>
      <ns0:c r="B665" s="147" t="str">
        <ns0:v>开局</ns0:v>
      </ns0:c>
      <ns0:c r="C665" s="147" t="str">
        <ns0:v>W10-097-05</ns0:v>
      </ns0:c>
      <ns0:c r="D665" s="147" t="str">
        <ns0:v>固定颜色盒</ns0:v>
      </ns0:c>
      <ns0:c r="E665" s="152" t="n">
        <ns0:v>1</ns0:v>
      </ns0:c>
      <ns0:c r="F665" s="152" t="n">
        <ns0:v>4</ns0:v>
      </ns0:c>
      <ns0:c r="G665" s="152" t="n">
        <ns0:v>0</ns0:v>
      </ns0:c>
      <ns0:c r="H665" s="152" t="n">
        <ns0:v>0</ns0:v>
      </ns0:c>
      <ns0:c r="I665" s="150" t="n">
        <ns0:f>E665*G665</ns0:f>
        <ns0:v>0</ns0:v>
      </ns0:c>
      <ns0:c r="J665" s="150" t="n">
        <ns0:f>E665*(F665-G665)</ns0:f>
        <ns0:v>4</ns0:v>
      </ns0:c>
      <ns0:c r="K665" s="150" t="n">
        <ns0:f>IF(AND(B665="开局",G665=0,OR(D665="普通盒",D665="单颗暂存盒")),J665,0)</ns0:f>
        <ns0:v>0</ns0:v>
      </ns0:c>
      <ns0:c r="L665" s="150" t="n">
        <ns0:f>IF(AND(B665="开局",G665&gt;0,OR(D665="普通盒",D665="底部置顶盒",D665="炸弹盒")),J665,0)</ns0:f>
        <ns0:v>0</ns0:v>
      </ns0:c>
      <ns0:c r="M665" s="150" t="n">
        <ns0:f>IF(AND(B665="开局",OR(D665="固定颜色盒",D665="单向收纳盒")),J665,0)</ns0:f>
        <ns0:v>4</ns0:v>
      </ns0:c>
      <ns0:c r="N665" s="150" t="n">
        <ns0:f>IF(AND(B665="开局",OR(D665="数字盖盒",D665="普通冰冻盒",D665="数字冰冻盒",D665="数字冰冻单颗暂存盒")),J665,0)</ns0:f>
        <ns0:v>0</ns0:v>
      </ns0:c>
      <ns0:c r="O665" s="147" t="str">
        <ns0:f>IF(AND(E665&gt;0,E665=INT(E665),G665&gt;=0,G665&lt;=F665,G665=INT(G665),OR(AND(F665=1,OR(D665="单颗暂存盒",D665="数字冰冻单颗暂存盒")),AND(F665=4,NOT(OR(D665="单颗暂存盒",D665="数字冰冻单颗暂存盒")))),IF(OR(D665="数字盖盒",D665="数字冰冻盒",D665="数字冰冻单颗暂存盒"),AND(H665&gt;=1,H665=INT(H665)),H665=0),IF(B665="开局",AND(IF(OR(D665="数字盖盒",D665="普通冰冻盒",D665="数字冰冻盒",D665="炸弹盒",D665="底部置顶盒"),OR(G665=3,G665=4),TRUE),IF(OR(D665="单向收纳盒",D665="单颗暂存盒",D665="数字冰冻单颗暂存盒"),OR(G665=0,G665=1),TRUE),IF(OR(D665="固定颜色盒",D665="广告锁定周转盒"),G665=0,TRUE)),TRUE)),"通过","需调整")</ns0:f>
        <ns0:v>通过</ns0:v>
      </ns0:c>
      <ns0:c r="P665" s="147" t="str">
        <ns0:v>固定颜色盒</ns0:v>
      </ns0:c>
      <ns0:c r="Q665" s="147" t="str">
        <ns0:v>固定层序见本关首行</ns0:v>
      </ns0:c>
      <ns0:c r="R665" s="150" t="n">
        <ns0:f>E665*H665</ns0:f>
        <ns0:v>0</ns0:v>
      </ns0:c>
    </ns0:row>
    <ns0:row r="666" ht="21" customHeight="1">
      <ns0:c r="A666" s="145" t="n">
        <ns0:v>97</ns0:v>
      </ns0:c>
      <ns0:c r="B666" s="145" t="str">
        <ns0:v>开局</ns0:v>
      </ns0:c>
      <ns0:c r="C666" s="145" t="str">
        <ns0:v>W10-097-06</ns0:v>
      </ns0:c>
      <ns0:c r="D666" s="145" t="str">
        <ns0:v>单颗暂存盒</ns0:v>
      </ns0:c>
      <ns0:c r="E666" s="152" t="n">
        <ns0:v>1</ns0:v>
      </ns0:c>
      <ns0:c r="F666" s="152" t="n">
        <ns0:v>1</ns0:v>
      </ns0:c>
      <ns0:c r="G666" s="152" t="n">
        <ns0:v>0</ns0:v>
      </ns0:c>
      <ns0:c r="H666" s="152" t="n">
        <ns0:v>0</ns0:v>
      </ns0:c>
      <ns0:c r="I666" s="149" t="n">
        <ns0:f>E666*G666</ns0:f>
        <ns0:v>0</ns0:v>
      </ns0:c>
      <ns0:c r="J666" s="149" t="n">
        <ns0:f>E666*(F666-G666)</ns0:f>
        <ns0:v>1</ns0:v>
      </ns0:c>
      <ns0:c r="K666" s="149" t="n">
        <ns0:f>IF(AND(B666="开局",G666=0,OR(D666="普通盒",D666="单颗暂存盒")),J666,0)</ns0:f>
        <ns0:v>1</ns0:v>
      </ns0:c>
      <ns0:c r="L666" s="149" t="n">
        <ns0:f>IF(AND(B666="开局",G666&gt;0,OR(D666="普通盒",D666="底部置顶盒",D666="炸弹盒")),J666,0)</ns0:f>
        <ns0:v>0</ns0:v>
      </ns0:c>
      <ns0:c r="M666" s="149" t="n">
        <ns0:f>IF(AND(B666="开局",OR(D666="固定颜色盒",D666="单向收纳盒")),J666,0)</ns0:f>
        <ns0:v>0</ns0:v>
      </ns0:c>
      <ns0:c r="N666" s="149" t="n">
        <ns0:f>IF(AND(B666="开局",OR(D666="数字盖盒",D666="普通冰冻盒",D666="数字冰冻盒",D666="数字冰冻单颗暂存盒")),J666,0)</ns0:f>
        <ns0:v>0</ns0:v>
      </ns0:c>
      <ns0:c r="O666" s="145" t="str">
        <ns0:f>IF(AND(E666&gt;0,E666=INT(E666),G666&gt;=0,G666&lt;=F666,G666=INT(G666),OR(AND(F666=1,OR(D666="单颗暂存盒",D666="数字冰冻单颗暂存盒")),AND(F666=4,NOT(OR(D666="单颗暂存盒",D666="数字冰冻单颗暂存盒")))),IF(OR(D666="数字盖盒",D666="数字冰冻盒",D666="数字冰冻单颗暂存盒"),AND(H666&gt;=1,H666=INT(H666)),H666=0),IF(B666="开局",AND(IF(OR(D666="数字盖盒",D666="普通冰冻盒",D666="数字冰冻盒",D666="炸弹盒",D666="底部置顶盒"),OR(G666=3,G666=4),TRUE),IF(OR(D666="单向收纳盒",D666="单颗暂存盒",D666="数字冰冻单颗暂存盒"),OR(G666=0,G666=1),TRUE),IF(OR(D666="固定颜色盒",D666="广告锁定周转盒"),G666=0,TRUE)),TRUE)),"通过","需调整")</ns0:f>
        <ns0:v>通过</ns0:v>
      </ns0:c>
      <ns0:c r="P666" s="145" t="str">
        <ns0:v>单颗暂存盒</ns0:v>
      </ns0:c>
      <ns0:c r="Q666" s="145" t="str">
        <ns0:v>固定层序见本关首行</ns0:v>
      </ns0:c>
      <ns0:c r="R666" s="149" t="n">
        <ns0:f>E666*H666</ns0:f>
        <ns0:v>0</ns0:v>
      </ns0:c>
    </ns0:row>
    <ns0:row r="667" ht="21" customHeight="1">
      <ns0:c r="A667" s="147" t="n">
        <ns0:v>97</ns0:v>
      </ns0:c>
      <ns0:c r="B667" s="147" t="str">
        <ns0:v>开局</ns0:v>
      </ns0:c>
      <ns0:c r="C667" s="147" t="str">
        <ns0:v>W10-097-07</ns0:v>
      </ns0:c>
      <ns0:c r="D667" s="147" t="str">
        <ns0:v>广告锁定周转盒</ns0:v>
      </ns0:c>
      <ns0:c r="E667" s="152" t="n">
        <ns0:v>2</ns0:v>
      </ns0:c>
      <ns0:c r="F667" s="152" t="n">
        <ns0:v>4</ns0:v>
      </ns0:c>
      <ns0:c r="G667" s="152" t="n">
        <ns0:v>0</ns0:v>
      </ns0:c>
      <ns0:c r="H667" s="152" t="n">
        <ns0:v>0</ns0:v>
      </ns0:c>
      <ns0:c r="I667" s="150" t="n">
        <ns0:f>E667*G667</ns0:f>
        <ns0:v>0</ns0:v>
      </ns0:c>
      <ns0:c r="J667" s="150" t="n">
        <ns0:f>E667*(F667-G667)</ns0:f>
        <ns0:v>8</ns0:v>
      </ns0:c>
      <ns0:c r="K667" s="150" t="n">
        <ns0:f>IF(AND(B667="开局",G667=0,OR(D667="普通盒",D667="单颗暂存盒")),J667,0)</ns0:f>
        <ns0:v>0</ns0:v>
      </ns0:c>
      <ns0:c r="L667" s="150" t="n">
        <ns0:f>IF(AND(B667="开局",G667&gt;0,OR(D667="普通盒",D667="底部置顶盒",D667="炸弹盒")),J667,0)</ns0:f>
        <ns0:v>0</ns0:v>
      </ns0:c>
      <ns0:c r="M667" s="150" t="n">
        <ns0:f>IF(AND(B667="开局",OR(D667="固定颜色盒",D667="单向收纳盒")),J667,0)</ns0:f>
        <ns0:v>0</ns0:v>
      </ns0:c>
      <ns0:c r="N667" s="150" t="n">
        <ns0:f>IF(AND(B667="开局",OR(D667="数字盖盒",D667="普通冰冻盒",D667="数字冰冻盒",D667="数字冰冻单颗暂存盒")),J667,0)</ns0:f>
        <ns0:v>0</ns0:v>
      </ns0:c>
      <ns0:c r="O667" s="147" t="str">
        <ns0:f>IF(AND(E667&gt;0,E667=INT(E667),G667&gt;=0,G667&lt;=F667,G667=INT(G667),OR(AND(F667=1,OR(D667="单颗暂存盒",D667="数字冰冻单颗暂存盒")),AND(F667=4,NOT(OR(D667="单颗暂存盒",D667="数字冰冻单颗暂存盒")))),IF(OR(D667="数字盖盒",D667="数字冰冻盒",D667="数字冰冻单颗暂存盒"),AND(H667&gt;=1,H667=INT(H667)),H667=0),IF(B667="开局",AND(IF(OR(D667="数字盖盒",D667="普通冰冻盒",D667="数字冰冻盒",D667="炸弹盒",D667="底部置顶盒"),OR(G667=3,G667=4),TRUE),IF(OR(D667="单向收纳盒",D667="单颗暂存盒",D667="数字冰冻单颗暂存盒"),OR(G667=0,G667=1),TRUE),IF(OR(D667="固定颜色盒",D667="广告锁定周转盒"),G667=0,TRUE)),TRUE)),"通过","需调整")</ns0:f>
        <ns0:v>通过</ns0:v>
      </ns0:c>
      <ns0:c r="P667" s="147" t="str">
        <ns0:v>双广告锁位</ns0:v>
      </ns0:c>
      <ns0:c r="Q667" s="147" t="str">
        <ns0:v>固定层序见本关首行</ns0:v>
      </ns0:c>
      <ns0:c r="R667" s="150" t="n">
        <ns0:f>E667*H667</ns0:f>
        <ns0:v>0</ns0:v>
      </ns0:c>
    </ns0:row>
    <ns0:row r="668" ht="21" customHeight="1">
      <ns0:c r="A668" s="145" t="n">
        <ns0:v>98</ns0:v>
      </ns0:c>
      <ns0:c r="B668" s="145" t="str">
        <ns0:v>开局</ns0:v>
      </ns0:c>
      <ns0:c r="C668" s="145" t="str">
        <ns0:v>W10-098-01</ns0:v>
      </ns0:c>
      <ns0:c r="D668" s="145" t="str">
        <ns0:v>普通盒</ns0:v>
      </ns0:c>
      <ns0:c r="E668" s="152" t="n">
        <ns0:v>12</ns0:v>
      </ns0:c>
      <ns0:c r="F668" s="152" t="n">
        <ns0:v>4</ns0:v>
      </ns0:c>
      <ns0:c r="G668" s="152" t="n">
        <ns0:v>4</ns0:v>
      </ns0:c>
      <ns0:c r="H668" s="152" t="n">
        <ns0:v>0</ns0:v>
      </ns0:c>
      <ns0:c r="I668" s="149" t="n">
        <ns0:f>E668*G668</ns0:f>
        <ns0:v>48</ns0:v>
      </ns0:c>
      <ns0:c r="J668" s="149" t="n">
        <ns0:f>E668*(F668-G668)</ns0:f>
        <ns0:v>0</ns0:v>
      </ns0:c>
      <ns0:c r="K668" s="149" t="n">
        <ns0:f>IF(AND(B668="开局",G668=0,OR(D668="普通盒",D668="单颗暂存盒")),J668,0)</ns0:f>
        <ns0:v>0</ns0:v>
      </ns0:c>
      <ns0:c r="L668" s="149" t="n">
        <ns0:f>IF(AND(B668="开局",G668&gt;0,OR(D668="普通盒",D668="底部置顶盒",D668="炸弹盒")),J668,0)</ns0:f>
        <ns0:v>0</ns0:v>
      </ns0:c>
      <ns0:c r="M668" s="149" t="n">
        <ns0:f>IF(AND(B668="开局",OR(D668="固定颜色盒",D668="单向收纳盒")),J668,0)</ns0:f>
        <ns0:v>0</ns0:v>
      </ns0:c>
      <ns0:c r="N668" s="149" t="n">
        <ns0:f>IF(AND(B668="开局",OR(D668="数字盖盒",D668="普通冰冻盒",D668="数字冰冻盒",D668="数字冰冻单颗暂存盒")),J668,0)</ns0:f>
        <ns0:v>0</ns0:v>
      </ns0:c>
      <ns0:c r="O668" s="145" t="str">
        <ns0:f>IF(AND(E668&gt;0,E668=INT(E668),G668&gt;=0,G668&lt;=F668,G668=INT(G668),OR(AND(F668=1,OR(D668="单颗暂存盒",D668="数字冰冻单颗暂存盒")),AND(F668=4,NOT(OR(D668="单颗暂存盒",D668="数字冰冻单颗暂存盒")))),IF(OR(D668="数字盖盒",D668="数字冰冻盒",D668="数字冰冻单颗暂存盒"),AND(H668&gt;=1,H668=INT(H668)),H668=0),IF(B668="开局",AND(IF(OR(D668="数字盖盒",D668="普通冰冻盒",D668="数字冰冻盒",D668="炸弹盒",D668="底部置顶盒"),OR(G668=3,G668=4),TRUE),IF(OR(D668="单向收纳盒",D668="单颗暂存盒",D668="数字冰冻单颗暂存盒"),OR(G668=0,G668=1),TRUE),IF(OR(D668="固定颜色盒",D668="广告锁定周转盒"),G668=0,TRUE)),TRUE)),"通过","需调整")</ns0:f>
        <ns0:v>通过</ns0:v>
      </ns0:c>
      <ns0:c r="P668" s="145" t="str">
        <ns0:v>普通盒</ns0:v>
      </ns0:c>
      <ns0:c r="Q668" s="145" t="str">
        <ns0:v>层序JSON:{"reference":"2026-10-12 第91至100关组合挑战与百关收尾；固定层序、明牌拆弹材料与分段反馈","slots":[{"group_id":"W10-098-03","layers":[3]},{"group_id":"W10-098-01","layers":[2,6,5,0]},{"group_id":"W10-098-02","layers":[2,4,4]},{"group_id":"W10-098-01","layers":[2,0,5,3]},{"group_id":"W10-098-01","layers":[6,3,12,4],"hidden":[1,2,3]},{"group_id":"W10-098-01","layers":[5,0,8,0]},{"group_id":"W10-098-02","layers":[6,4,5]},{"group_id":"W10-098-01","layers":[2,4,0,8]},{"group_id":"W10-098-01","layers":[3,2,2,3]},{"group_id":"W10-098-04","layers":[4,8,12,2]},{"group_id":"W10-098-01","layers":[3,5,8,2]},{"group_id":"W10-098-01","layers":[12,3,8,3]},{"group_id":"W10-098-03","layers":[0]},{"group_id":"W10-098-01","layers":[5,8,6,6]},{"group_id":"W10-098-01","layers":[6,5,4,12]},{"group_id":"W10-098-01","layers":[4,8,6,8]},{"group_id":"W10-098-01","layers":[5,0,6,0]},{"group_id":"W10-098-05","layers":[],"fixed_flavor":3}],"stock":[],"demand_sequences":[[4,2,0,2,12,3,6,8],[3,5,5,4,8,6,0]]}</ns0:v>
      </ns0:c>
      <ns0:c r="R668" s="149" t="n">
        <ns0:f>E668*H668</ns0:f>
        <ns0:v>0</ns0:v>
      </ns0:c>
    </ns0:row>
    <ns0:row r="669" ht="21" customHeight="1">
      <ns0:c r="A669" s="147" t="n">
        <ns0:v>98</ns0:v>
      </ns0:c>
      <ns0:c r="B669" s="147" t="str">
        <ns0:v>开局</ns0:v>
      </ns0:c>
      <ns0:c r="C669" s="147" t="str">
        <ns0:v>W10-098-02</ns0:v>
      </ns0:c>
      <ns0:c r="D669" s="147" t="str">
        <ns0:v>普通盒</ns0:v>
      </ns0:c>
      <ns0:c r="E669" s="152" t="n">
        <ns0:v>2</ns0:v>
      </ns0:c>
      <ns0:c r="F669" s="152" t="n">
        <ns0:v>4</ns0:v>
      </ns0:c>
      <ns0:c r="G669" s="152" t="n">
        <ns0:v>3</ns0:v>
      </ns0:c>
      <ns0:c r="H669" s="152" t="n">
        <ns0:v>0</ns0:v>
      </ns0:c>
      <ns0:c r="I669" s="150" t="n">
        <ns0:f>E669*G669</ns0:f>
        <ns0:v>6</ns0:v>
      </ns0:c>
      <ns0:c r="J669" s="150" t="n">
        <ns0:f>E669*(F669-G669)</ns0:f>
        <ns0:v>2</ns0:v>
      </ns0:c>
      <ns0:c r="K669" s="150" t="n">
        <ns0:f>IF(AND(B669="开局",G669=0,OR(D669="普通盒",D669="单颗暂存盒")),J669,0)</ns0:f>
        <ns0:v>0</ns0:v>
      </ns0:c>
      <ns0:c r="L669" s="150" t="n">
        <ns0:f>IF(AND(B669="开局",G669&gt;0,OR(D669="普通盒",D669="底部置顶盒",D669="炸弹盒")),J669,0)</ns0:f>
        <ns0:v>2</ns0:v>
      </ns0:c>
      <ns0:c r="M669" s="150" t="n">
        <ns0:f>IF(AND(B669="开局",OR(D669="固定颜色盒",D669="单向收纳盒")),J669,0)</ns0:f>
        <ns0:v>0</ns0:v>
      </ns0:c>
      <ns0:c r="N669" s="150" t="n">
        <ns0:f>IF(AND(B669="开局",OR(D669="数字盖盒",D669="普通冰冻盒",D669="数字冰冻盒",D669="数字冰冻单颗暂存盒")),J669,0)</ns0:f>
        <ns0:v>0</ns0:v>
      </ns0:c>
      <ns0:c r="O669" s="147" t="str">
        <ns0:f>IF(AND(E669&gt;0,E669=INT(E669),G669&gt;=0,G669&lt;=F669,G669=INT(G669),OR(AND(F669=1,OR(D669="单颗暂存盒",D669="数字冰冻单颗暂存盒")),AND(F669=4,NOT(OR(D669="单颗暂存盒",D669="数字冰冻单颗暂存盒")))),IF(OR(D669="数字盖盒",D669="数字冰冻盒",D669="数字冰冻单颗暂存盒"),AND(H669&gt;=1,H669=INT(H669)),H669=0),IF(B669="开局",AND(IF(OR(D669="数字盖盒",D669="普通冰冻盒",D669="数字冰冻盒",D669="炸弹盒",D669="底部置顶盒"),OR(G669=3,G669=4),TRUE),IF(OR(D669="单向收纳盒",D669="单颗暂存盒",D669="数字冰冻单颗暂存盒"),OR(G669=0,G669=1),TRUE),IF(OR(D669="固定颜色盒",D669="广告锁定周转盒"),G669=0,TRUE)),TRUE)),"通过","需调整")</ns0:f>
        <ns0:v>通过</ns0:v>
      </ns0:c>
      <ns0:c r="P669" s="147" t="str">
        <ns0:v>普通盒</ns0:v>
      </ns0:c>
      <ns0:c r="Q669" s="147" t="str">
        <ns0:v>固定层序见本关首行</ns0:v>
      </ns0:c>
      <ns0:c r="R669" s="150" t="n">
        <ns0:f>E669*H669</ns0:f>
        <ns0:v>0</ns0:v>
      </ns0:c>
    </ns0:row>
    <ns0:row r="670" ht="21" customHeight="1">
      <ns0:c r="A670" s="145" t="n">
        <ns0:v>98</ns0:v>
      </ns0:c>
      <ns0:c r="B670" s="145" t="str">
        <ns0:v>开局</ns0:v>
      </ns0:c>
      <ns0:c r="C670" s="145" t="str">
        <ns0:v>W10-098-03</ns0:v>
      </ns0:c>
      <ns0:c r="D670" s="145" t="str">
        <ns0:v>普通盒</ns0:v>
      </ns0:c>
      <ns0:c r="E670" s="152" t="n">
        <ns0:v>2</ns0:v>
      </ns0:c>
      <ns0:c r="F670" s="152" t="n">
        <ns0:v>4</ns0:v>
      </ns0:c>
      <ns0:c r="G670" s="152" t="n">
        <ns0:v>1</ns0:v>
      </ns0:c>
      <ns0:c r="H670" s="152" t="n">
        <ns0:v>0</ns0:v>
      </ns0:c>
      <ns0:c r="I670" s="149" t="n">
        <ns0:f>E670*G670</ns0:f>
        <ns0:v>2</ns0:v>
      </ns0:c>
      <ns0:c r="J670" s="149" t="n">
        <ns0:f>E670*(F670-G670)</ns0:f>
        <ns0:v>6</ns0:v>
      </ns0:c>
      <ns0:c r="K670" s="149" t="n">
        <ns0:f>IF(AND(B670="开局",G670=0,OR(D670="普通盒",D670="单颗暂存盒")),J670,0)</ns0:f>
        <ns0:v>0</ns0:v>
      </ns0:c>
      <ns0:c r="L670" s="149" t="n">
        <ns0:f>IF(AND(B670="开局",G670&gt;0,OR(D670="普通盒",D670="底部置顶盒",D670="炸弹盒")),J670,0)</ns0:f>
        <ns0:v>6</ns0:v>
      </ns0:c>
      <ns0:c r="M670" s="149" t="n">
        <ns0:f>IF(AND(B670="开局",OR(D670="固定颜色盒",D670="单向收纳盒")),J670,0)</ns0:f>
        <ns0:v>0</ns0:v>
      </ns0:c>
      <ns0:c r="N670" s="149" t="n">
        <ns0:f>IF(AND(B670="开局",OR(D670="数字盖盒",D670="普通冰冻盒",D670="数字冰冻盒",D670="数字冰冻单颗暂存盒")),J670,0)</ns0:f>
        <ns0:v>0</ns0:v>
      </ns0:c>
      <ns0:c r="O670" s="145" t="str">
        <ns0:f>IF(AND(E670&gt;0,E670=INT(E670),G670&gt;=0,G670&lt;=F670,G670=INT(G670),OR(AND(F670=1,OR(D670="单颗暂存盒",D670="数字冰冻单颗暂存盒")),AND(F670=4,NOT(OR(D670="单颗暂存盒",D670="数字冰冻单颗暂存盒")))),IF(OR(D670="数字盖盒",D670="数字冰冻盒",D670="数字冰冻单颗暂存盒"),AND(H670&gt;=1,H670=INT(H670)),H670=0),IF(B670="开局",AND(IF(OR(D670="数字盖盒",D670="普通冰冻盒",D670="数字冰冻盒",D670="炸弹盒",D670="底部置顶盒"),OR(G670=3,G670=4),TRUE),IF(OR(D670="单向收纳盒",D670="单颗暂存盒",D670="数字冰冻单颗暂存盒"),OR(G670=0,G670=1),TRUE),IF(OR(D670="固定颜色盒",D670="广告锁定周转盒"),G670=0,TRUE)),TRUE)),"通过","需调整")</ns0:f>
        <ns0:v>通过</ns0:v>
      </ns0:c>
      <ns0:c r="P670" s="145" t="str">
        <ns0:v>普通盒</ns0:v>
      </ns0:c>
      <ns0:c r="Q670" s="145" t="str">
        <ns0:v>固定层序见本关首行</ns0:v>
      </ns0:c>
      <ns0:c r="R670" s="149" t="n">
        <ns0:f>E670*H670</ns0:f>
        <ns0:v>0</ns0:v>
      </ns0:c>
    </ns0:row>
    <ns0:row r="671" ht="21" customHeight="1">
      <ns0:c r="A671" s="147" t="n">
        <ns0:v>98</ns0:v>
      </ns0:c>
      <ns0:c r="B671" s="147" t="str">
        <ns0:v>开局</ns0:v>
      </ns0:c>
      <ns0:c r="C671" s="147" t="str">
        <ns0:v>W10-098-04</ns0:v>
      </ns0:c>
      <ns0:c r="D671" s="147" t="str">
        <ns0:v>底部置顶盒</ns0:v>
      </ns0:c>
      <ns0:c r="E671" s="152" t="n">
        <ns0:v>1</ns0:v>
      </ns0:c>
      <ns0:c r="F671" s="152" t="n">
        <ns0:v>4</ns0:v>
      </ns0:c>
      <ns0:c r="G671" s="152" t="n">
        <ns0:v>4</ns0:v>
      </ns0:c>
      <ns0:c r="H671" s="152" t="n">
        <ns0:v>0</ns0:v>
      </ns0:c>
      <ns0:c r="I671" s="150" t="n">
        <ns0:f>E671*G671</ns0:f>
        <ns0:v>4</ns0:v>
      </ns0:c>
      <ns0:c r="J671" s="150" t="n">
        <ns0:f>E671*(F671-G671)</ns0:f>
        <ns0:v>0</ns0:v>
      </ns0:c>
      <ns0:c r="K671" s="150" t="n">
        <ns0:f>IF(AND(B671="开局",G671=0,OR(D671="普通盒",D671="单颗暂存盒")),J671,0)</ns0:f>
        <ns0:v>0</ns0:v>
      </ns0:c>
      <ns0:c r="L671" s="150" t="n">
        <ns0:f>IF(AND(B671="开局",G671&gt;0,OR(D671="普通盒",D671="底部置顶盒",D671="炸弹盒")),J671,0)</ns0:f>
        <ns0:v>0</ns0:v>
      </ns0:c>
      <ns0:c r="M671" s="150" t="n">
        <ns0:f>IF(AND(B671="开局",OR(D671="固定颜色盒",D671="单向收纳盒")),J671,0)</ns0:f>
        <ns0:v>0</ns0:v>
      </ns0:c>
      <ns0:c r="N671" s="150" t="n">
        <ns0:f>IF(AND(B671="开局",OR(D671="数字盖盒",D671="普通冰冻盒",D671="数字冰冻盒",D671="数字冰冻单颗暂存盒")),J671,0)</ns0:f>
        <ns0:v>0</ns0:v>
      </ns0:c>
      <ns0:c r="O671" s="147" t="str">
        <ns0:f>IF(AND(E671&gt;0,E671=INT(E671),G671&gt;=0,G671&lt;=F671,G671=INT(G671),OR(AND(F671=1,OR(D671="单颗暂存盒",D671="数字冰冻单颗暂存盒")),AND(F671=4,NOT(OR(D671="单颗暂存盒",D671="数字冰冻单颗暂存盒")))),IF(OR(D671="数字盖盒",D671="数字冰冻盒",D671="数字冰冻单颗暂存盒"),AND(H671&gt;=1,H671=INT(H671)),H671=0),IF(B671="开局",AND(IF(OR(D671="数字盖盒",D671="普通冰冻盒",D671="数字冰冻盒",D671="炸弹盒",D671="底部置顶盒"),OR(G671=3,G671=4),TRUE),IF(OR(D671="单向收纳盒",D671="单颗暂存盒",D671="数字冰冻单颗暂存盒"),OR(G671=0,G671=1),TRUE),IF(OR(D671="固定颜色盒",D671="广告锁定周转盒"),G671=0,TRUE)),TRUE)),"通过","需调整")</ns0:f>
        <ns0:v>通过</ns0:v>
      </ns0:c>
      <ns0:c r="P671" s="147" t="str">
        <ns0:v>底部置顶盒</ns0:v>
      </ns0:c>
      <ns0:c r="Q671" s="147" t="str">
        <ns0:v>固定层序见本关首行</ns0:v>
      </ns0:c>
      <ns0:c r="R671" s="150" t="n">
        <ns0:f>E671*H671</ns0:f>
        <ns0:v>0</ns0:v>
      </ns0:c>
    </ns0:row>
    <ns0:row r="672" ht="21" customHeight="1">
      <ns0:c r="A672" s="145" t="n">
        <ns0:v>98</ns0:v>
      </ns0:c>
      <ns0:c r="B672" s="145" t="str">
        <ns0:v>开局</ns0:v>
      </ns0:c>
      <ns0:c r="C672" s="145" t="str">
        <ns0:v>W10-098-05</ns0:v>
      </ns0:c>
      <ns0:c r="D672" s="145" t="str">
        <ns0:v>固定颜色盒</ns0:v>
      </ns0:c>
      <ns0:c r="E672" s="152" t="n">
        <ns0:v>1</ns0:v>
      </ns0:c>
      <ns0:c r="F672" s="152" t="n">
        <ns0:v>4</ns0:v>
      </ns0:c>
      <ns0:c r="G672" s="152" t="n">
        <ns0:v>0</ns0:v>
      </ns0:c>
      <ns0:c r="H672" s="152" t="n">
        <ns0:v>0</ns0:v>
      </ns0:c>
      <ns0:c r="I672" s="149" t="n">
        <ns0:f>E672*G672</ns0:f>
        <ns0:v>0</ns0:v>
      </ns0:c>
      <ns0:c r="J672" s="149" t="n">
        <ns0:f>E672*(F672-G672)</ns0:f>
        <ns0:v>4</ns0:v>
      </ns0:c>
      <ns0:c r="K672" s="149" t="n">
        <ns0:f>IF(AND(B672="开局",G672=0,OR(D672="普通盒",D672="单颗暂存盒")),J672,0)</ns0:f>
        <ns0:v>0</ns0:v>
      </ns0:c>
      <ns0:c r="L672" s="149" t="n">
        <ns0:f>IF(AND(B672="开局",G672&gt;0,OR(D672="普通盒",D672="底部置顶盒",D672="炸弹盒")),J672,0)</ns0:f>
        <ns0:v>0</ns0:v>
      </ns0:c>
      <ns0:c r="M672" s="149" t="n">
        <ns0:f>IF(AND(B672="开局",OR(D672="固定颜色盒",D672="单向收纳盒")),J672,0)</ns0:f>
        <ns0:v>4</ns0:v>
      </ns0:c>
      <ns0:c r="N672" s="149" t="n">
        <ns0:f>IF(AND(B672="开局",OR(D672="数字盖盒",D672="普通冰冻盒",D672="数字冰冻盒",D672="数字冰冻单颗暂存盒")),J672,0)</ns0:f>
        <ns0:v>0</ns0:v>
      </ns0:c>
      <ns0:c r="O672" s="145" t="str">
        <ns0:f>IF(AND(E672&gt;0,E672=INT(E672),G672&gt;=0,G672&lt;=F672,G672=INT(G672),OR(AND(F672=1,OR(D672="单颗暂存盒",D672="数字冰冻单颗暂存盒")),AND(F672=4,NOT(OR(D672="单颗暂存盒",D672="数字冰冻单颗暂存盒")))),IF(OR(D672="数字盖盒",D672="数字冰冻盒",D672="数字冰冻单颗暂存盒"),AND(H672&gt;=1,H672=INT(H672)),H672=0),IF(B672="开局",AND(IF(OR(D672="数字盖盒",D672="普通冰冻盒",D672="数字冰冻盒",D672="炸弹盒",D672="底部置顶盒"),OR(G672=3,G672=4),TRUE),IF(OR(D672="单向收纳盒",D672="单颗暂存盒",D672="数字冰冻单颗暂存盒"),OR(G672=0,G672=1),TRUE),IF(OR(D672="固定颜色盒",D672="广告锁定周转盒"),G672=0,TRUE)),TRUE)),"通过","需调整")</ns0:f>
        <ns0:v>通过</ns0:v>
      </ns0:c>
      <ns0:c r="P672" s="145" t="str">
        <ns0:v>固定颜色盒</ns0:v>
      </ns0:c>
      <ns0:c r="Q672" s="145" t="str">
        <ns0:v>固定层序见本关首行</ns0:v>
      </ns0:c>
      <ns0:c r="R672" s="149" t="n">
        <ns0:f>E672*H672</ns0:f>
        <ns0:v>0</ns0:v>
      </ns0:c>
    </ns0:row>
    <ns0:row r="673" ht="21" customHeight="1">
      <ns0:c r="A673" s="147" t="n">
        <ns0:v>98</ns0:v>
      </ns0:c>
      <ns0:c r="B673" s="147" t="str">
        <ns0:v>开局</ns0:v>
      </ns0:c>
      <ns0:c r="C673" s="147" t="str">
        <ns0:v>W10-098-06</ns0:v>
      </ns0:c>
      <ns0:c r="D673" s="147" t="str">
        <ns0:v>广告锁定周转盒</ns0:v>
      </ns0:c>
      <ns0:c r="E673" s="152" t="n">
        <ns0:v>2</ns0:v>
      </ns0:c>
      <ns0:c r="F673" s="152" t="n">
        <ns0:v>4</ns0:v>
      </ns0:c>
      <ns0:c r="G673" s="152" t="n">
        <ns0:v>0</ns0:v>
      </ns0:c>
      <ns0:c r="H673" s="152" t="n">
        <ns0:v>0</ns0:v>
      </ns0:c>
      <ns0:c r="I673" s="150" t="n">
        <ns0:f>E673*G673</ns0:f>
        <ns0:v>0</ns0:v>
      </ns0:c>
      <ns0:c r="J673" s="150" t="n">
        <ns0:f>E673*(F673-G673)</ns0:f>
        <ns0:v>8</ns0:v>
      </ns0:c>
      <ns0:c r="K673" s="150" t="n">
        <ns0:f>IF(AND(B673="开局",G673=0,OR(D673="普通盒",D673="单颗暂存盒")),J673,0)</ns0:f>
        <ns0:v>0</ns0:v>
      </ns0:c>
      <ns0:c r="L673" s="150" t="n">
        <ns0:f>IF(AND(B673="开局",G673&gt;0,OR(D673="普通盒",D673="底部置顶盒",D673="炸弹盒")),J673,0)</ns0:f>
        <ns0:v>0</ns0:v>
      </ns0:c>
      <ns0:c r="M673" s="150" t="n">
        <ns0:f>IF(AND(B673="开局",OR(D673="固定颜色盒",D673="单向收纳盒")),J673,0)</ns0:f>
        <ns0:v>0</ns0:v>
      </ns0:c>
      <ns0:c r="N673" s="150" t="n">
        <ns0:f>IF(AND(B673="开局",OR(D673="数字盖盒",D673="普通冰冻盒",D673="数字冰冻盒",D673="数字冰冻单颗暂存盒")),J673,0)</ns0:f>
        <ns0:v>0</ns0:v>
      </ns0:c>
      <ns0:c r="O673" s="147" t="str">
        <ns0:f>IF(AND(E673&gt;0,E673=INT(E673),G673&gt;=0,G673&lt;=F673,G673=INT(G673),OR(AND(F673=1,OR(D673="单颗暂存盒",D673="数字冰冻单颗暂存盒")),AND(F673=4,NOT(OR(D673="单颗暂存盒",D673="数字冰冻单颗暂存盒")))),IF(OR(D673="数字盖盒",D673="数字冰冻盒",D673="数字冰冻单颗暂存盒"),AND(H673&gt;=1,H673=INT(H673)),H673=0),IF(B673="开局",AND(IF(OR(D673="数字盖盒",D673="普通冰冻盒",D673="数字冰冻盒",D673="炸弹盒",D673="底部置顶盒"),OR(G673=3,G673=4),TRUE),IF(OR(D673="单向收纳盒",D673="单颗暂存盒",D673="数字冰冻单颗暂存盒"),OR(G673=0,G673=1),TRUE),IF(OR(D673="固定颜色盒",D673="广告锁定周转盒"),G673=0,TRUE)),TRUE)),"通过","需调整")</ns0:f>
        <ns0:v>通过</ns0:v>
      </ns0:c>
      <ns0:c r="P673" s="147" t="str">
        <ns0:v>双广告锁位</ns0:v>
      </ns0:c>
      <ns0:c r="Q673" s="147" t="str">
        <ns0:v>固定层序见本关首行</ns0:v>
      </ns0:c>
      <ns0:c r="R673" s="150" t="n">
        <ns0:f>E673*H673</ns0:f>
        <ns0:v>0</ns0:v>
      </ns0:c>
    </ns0:row>
    <ns0:row r="674" ht="21" customHeight="1">
      <ns0:c r="A674" s="145" t="n">
        <ns0:v>99</ns0:v>
      </ns0:c>
      <ns0:c r="B674" s="145" t="str">
        <ns0:v>开局</ns0:v>
      </ns0:c>
      <ns0:c r="C674" s="145" t="str">
        <ns0:v>W10-099-01</ns0:v>
      </ns0:c>
      <ns0:c r="D674" s="145" t="str">
        <ns0:v>普通盒</ns0:v>
      </ns0:c>
      <ns0:c r="E674" s="152" t="n">
        <ns0:v>11</ns0:v>
      </ns0:c>
      <ns0:c r="F674" s="152" t="n">
        <ns0:v>4</ns0:v>
      </ns0:c>
      <ns0:c r="G674" s="152" t="n">
        <ns0:v>4</ns0:v>
      </ns0:c>
      <ns0:c r="H674" s="152" t="n">
        <ns0:v>0</ns0:v>
      </ns0:c>
      <ns0:c r="I674" s="149" t="n">
        <ns0:f>E674*G674</ns0:f>
        <ns0:v>44</ns0:v>
      </ns0:c>
      <ns0:c r="J674" s="149" t="n">
        <ns0:f>E674*(F674-G674)</ns0:f>
        <ns0:v>0</ns0:v>
      </ns0:c>
      <ns0:c r="K674" s="149" t="n">
        <ns0:f>IF(AND(B674="开局",G674=0,OR(D674="普通盒",D674="单颗暂存盒")),J674,0)</ns0:f>
        <ns0:v>0</ns0:v>
      </ns0:c>
      <ns0:c r="L674" s="149" t="n">
        <ns0:f>IF(AND(B674="开局",G674&gt;0,OR(D674="普通盒",D674="底部置顶盒",D674="炸弹盒")),J674,0)</ns0:f>
        <ns0:v>0</ns0:v>
      </ns0:c>
      <ns0:c r="M674" s="149" t="n">
        <ns0:f>IF(AND(B674="开局",OR(D674="固定颜色盒",D674="单向收纳盒")),J674,0)</ns0:f>
        <ns0:v>0</ns0:v>
      </ns0:c>
      <ns0:c r="N674" s="149" t="n">
        <ns0:f>IF(AND(B674="开局",OR(D674="数字盖盒",D674="普通冰冻盒",D674="数字冰冻盒",D674="数字冰冻单颗暂存盒")),J674,0)</ns0:f>
        <ns0:v>0</ns0:v>
      </ns0:c>
      <ns0:c r="O674" s="145" t="str">
        <ns0:f>IF(AND(E674&gt;0,E674=INT(E674),G674&gt;=0,G674&lt;=F674,G674=INT(G674),OR(AND(F674=1,OR(D674="单颗暂存盒",D674="数字冰冻单颗暂存盒")),AND(F674=4,NOT(OR(D674="单颗暂存盒",D674="数字冰冻单颗暂存盒")))),IF(OR(D674="数字盖盒",D674="数字冰冻盒",D674="数字冰冻单颗暂存盒"),AND(H674&gt;=1,H674=INT(H674)),H674=0),IF(B674="开局",AND(IF(OR(D674="数字盖盒",D674="普通冰冻盒",D674="数字冰冻盒",D674="炸弹盒",D674="底部置顶盒"),OR(G674=3,G674=4),TRUE),IF(OR(D674="单向收纳盒",D674="单颗暂存盒",D674="数字冰冻单颗暂存盒"),OR(G674=0,G674=1),TRUE),IF(OR(D674="固定颜色盒",D674="广告锁定周转盒"),G674=0,TRUE)),TRUE)),"通过","需调整")</ns0:f>
        <ns0:v>通过</ns0:v>
      </ns0:c>
      <ns0:c r="P674" s="145" t="str">
        <ns0:v>普通盒</ns0:v>
      </ns0:c>
      <ns0:c r="Q674" s="145" t="str">
        <ns0:v>层序JSON:{"reference":"2026-10-12 第91至100关组合挑战与百关收尾；固定层序、明牌拆弹材料与分段反馈","slots":[{"group_id":"W10-099-01","layers":[6,3,3,5]},{"group_id":"W10-099-02","layers":[5,2,4]},{"group_id":"W10-099-05","layers":[12,6,3,2]},{"group_id":"W10-099-03","layers":[8]},{"group_id":"W10-099-01","layers":[5,0,3,8]},{"group_id":"W10-099-01","layers":[8,2,6,5]},{"group_id":"W10-099-01","layers":[5,0,6,0]},{"group_id":"W10-099-01","layers":[12,5,12,4]},{"group_id":"W10-099-01","layers":[2,12,3,0]},{"group_id":"W10-099-01","layers":[6,0,8,4]},{"group_id":"W10-099-01","layers":[0,12,0,6],"hidden":[1,2,3]},{"group_id":"W10-099-01","layers":[6,3,8,2]},{"group_id":"W10-099-01","layers":[12,8,3,5]},{"group_id":"W10-099-04","layers":[3,4,4,4],"bomb_seconds":165},{"group_id":"W10-099-01","layers":[6,5,12,2]},{"group_id":"W10-099-06","layers":[]}],"stock":[{"group_id":"W10-099-08","layers":[2,8,8,4]},{"group_id":"W10-099-08","layers":[4,2,0,12]}],"demand_sequences":[[6,4,8,5,12,3,8,0],[2,5,3,0,2,12,4,6]]}</ns0:v>
      </ns0:c>
      <ns0:c r="R674" s="149" t="n">
        <ns0:f>E674*H674</ns0:f>
        <ns0:v>0</ns0:v>
      </ns0:c>
    </ns0:row>
    <ns0:row r="675" ht="21" customHeight="1">
      <ns0:c r="A675" s="147" t="n">
        <ns0:v>99</ns0:v>
      </ns0:c>
      <ns0:c r="B675" s="147" t="str">
        <ns0:v>开局</ns0:v>
      </ns0:c>
      <ns0:c r="C675" s="147" t="str">
        <ns0:v>W10-099-02</ns0:v>
      </ns0:c>
      <ns0:c r="D675" s="147" t="str">
        <ns0:v>普通盒</ns0:v>
      </ns0:c>
      <ns0:c r="E675" s="152" t="n">
        <ns0:v>1</ns0:v>
      </ns0:c>
      <ns0:c r="F675" s="152" t="n">
        <ns0:v>4</ns0:v>
      </ns0:c>
      <ns0:c r="G675" s="152" t="n">
        <ns0:v>3</ns0:v>
      </ns0:c>
      <ns0:c r="H675" s="152" t="n">
        <ns0:v>0</ns0:v>
      </ns0:c>
      <ns0:c r="I675" s="150" t="n">
        <ns0:f>E675*G675</ns0:f>
        <ns0:v>3</ns0:v>
      </ns0:c>
      <ns0:c r="J675" s="150" t="n">
        <ns0:f>E675*(F675-G675)</ns0:f>
        <ns0:v>1</ns0:v>
      </ns0:c>
      <ns0:c r="K675" s="150" t="n">
        <ns0:f>IF(AND(B675="开局",G675=0,OR(D675="普通盒",D675="单颗暂存盒")),J675,0)</ns0:f>
        <ns0:v>0</ns0:v>
      </ns0:c>
      <ns0:c r="L675" s="150" t="n">
        <ns0:f>IF(AND(B675="开局",G675&gt;0,OR(D675="普通盒",D675="底部置顶盒",D675="炸弹盒")),J675,0)</ns0:f>
        <ns0:v>1</ns0:v>
      </ns0:c>
      <ns0:c r="M675" s="150" t="n">
        <ns0:f>IF(AND(B675="开局",OR(D675="固定颜色盒",D675="单向收纳盒")),J675,0)</ns0:f>
        <ns0:v>0</ns0:v>
      </ns0:c>
      <ns0:c r="N675" s="150" t="n">
        <ns0:f>IF(AND(B675="开局",OR(D675="数字盖盒",D675="普通冰冻盒",D675="数字冰冻盒",D675="数字冰冻单颗暂存盒")),J675,0)</ns0:f>
        <ns0:v>0</ns0:v>
      </ns0:c>
      <ns0:c r="O675" s="147" t="str">
        <ns0:f>IF(AND(E675&gt;0,E675=INT(E675),G675&gt;=0,G675&lt;=F675,G675=INT(G675),OR(AND(F675=1,OR(D675="单颗暂存盒",D675="数字冰冻单颗暂存盒")),AND(F675=4,NOT(OR(D675="单颗暂存盒",D675="数字冰冻单颗暂存盒")))),IF(OR(D675="数字盖盒",D675="数字冰冻盒",D675="数字冰冻单颗暂存盒"),AND(H675&gt;=1,H675=INT(H675)),H675=0),IF(B675="开局",AND(IF(OR(D675="数字盖盒",D675="普通冰冻盒",D675="数字冰冻盒",D675="炸弹盒",D675="底部置顶盒"),OR(G675=3,G675=4),TRUE),IF(OR(D675="单向收纳盒",D675="单颗暂存盒",D675="数字冰冻单颗暂存盒"),OR(G675=0,G675=1),TRUE),IF(OR(D675="固定颜色盒",D675="广告锁定周转盒"),G675=0,TRUE)),TRUE)),"通过","需调整")</ns0:f>
        <ns0:v>通过</ns0:v>
      </ns0:c>
      <ns0:c r="P675" s="147" t="str">
        <ns0:v>普通盒</ns0:v>
      </ns0:c>
      <ns0:c r="Q675" s="147" t="str">
        <ns0:v>固定层序见本关首行</ns0:v>
      </ns0:c>
      <ns0:c r="R675" s="150" t="n">
        <ns0:f>E675*H675</ns0:f>
        <ns0:v>0</ns0:v>
      </ns0:c>
    </ns0:row>
    <ns0:row r="676" ht="21" customHeight="1">
      <ns0:c r="A676" s="145" t="n">
        <ns0:v>99</ns0:v>
      </ns0:c>
      <ns0:c r="B676" s="145" t="str">
        <ns0:v>开局</ns0:v>
      </ns0:c>
      <ns0:c r="C676" s="145" t="str">
        <ns0:v>W10-099-03</ns0:v>
      </ns0:c>
      <ns0:c r="D676" s="145" t="str">
        <ns0:v>普通盒</ns0:v>
      </ns0:c>
      <ns0:c r="E676" s="152" t="n">
        <ns0:v>1</ns0:v>
      </ns0:c>
      <ns0:c r="F676" s="152" t="n">
        <ns0:v>4</ns0:v>
      </ns0:c>
      <ns0:c r="G676" s="152" t="n">
        <ns0:v>1</ns0:v>
      </ns0:c>
      <ns0:c r="H676" s="152" t="n">
        <ns0:v>0</ns0:v>
      </ns0:c>
      <ns0:c r="I676" s="149" t="n">
        <ns0:f>E676*G676</ns0:f>
        <ns0:v>1</ns0:v>
      </ns0:c>
      <ns0:c r="J676" s="149" t="n">
        <ns0:f>E676*(F676-G676)</ns0:f>
        <ns0:v>3</ns0:v>
      </ns0:c>
      <ns0:c r="K676" s="149" t="n">
        <ns0:f>IF(AND(B676="开局",G676=0,OR(D676="普通盒",D676="单颗暂存盒")),J676,0)</ns0:f>
        <ns0:v>0</ns0:v>
      </ns0:c>
      <ns0:c r="L676" s="149" t="n">
        <ns0:f>IF(AND(B676="开局",G676&gt;0,OR(D676="普通盒",D676="底部置顶盒",D676="炸弹盒")),J676,0)</ns0:f>
        <ns0:v>3</ns0:v>
      </ns0:c>
      <ns0:c r="M676" s="149" t="n">
        <ns0:f>IF(AND(B676="开局",OR(D676="固定颜色盒",D676="单向收纳盒")),J676,0)</ns0:f>
        <ns0:v>0</ns0:v>
      </ns0:c>
      <ns0:c r="N676" s="149" t="n">
        <ns0:f>IF(AND(B676="开局",OR(D676="数字盖盒",D676="普通冰冻盒",D676="数字冰冻盒",D676="数字冰冻单颗暂存盒")),J676,0)</ns0:f>
        <ns0:v>0</ns0:v>
      </ns0:c>
      <ns0:c r="O676" s="145" t="str">
        <ns0:f>IF(AND(E676&gt;0,E676=INT(E676),G676&gt;=0,G676&lt;=F676,G676=INT(G676),OR(AND(F676=1,OR(D676="单颗暂存盒",D676="数字冰冻单颗暂存盒")),AND(F676=4,NOT(OR(D676="单颗暂存盒",D676="数字冰冻单颗暂存盒")))),IF(OR(D676="数字盖盒",D676="数字冰冻盒",D676="数字冰冻单颗暂存盒"),AND(H676&gt;=1,H676=INT(H676)),H676=0),IF(B676="开局",AND(IF(OR(D676="数字盖盒",D676="普通冰冻盒",D676="数字冰冻盒",D676="炸弹盒",D676="底部置顶盒"),OR(G676=3,G676=4),TRUE),IF(OR(D676="单向收纳盒",D676="单颗暂存盒",D676="数字冰冻单颗暂存盒"),OR(G676=0,G676=1),TRUE),IF(OR(D676="固定颜色盒",D676="广告锁定周转盒"),G676=0,TRUE)),TRUE)),"通过","需调整")</ns0:f>
        <ns0:v>通过</ns0:v>
      </ns0:c>
      <ns0:c r="P676" s="145" t="str">
        <ns0:v>普通盒</ns0:v>
      </ns0:c>
      <ns0:c r="Q676" s="145" t="str">
        <ns0:v>固定层序见本关首行</ns0:v>
      </ns0:c>
      <ns0:c r="R676" s="149" t="n">
        <ns0:f>E676*H676</ns0:f>
        <ns0:v>0</ns0:v>
      </ns0:c>
    </ns0:row>
    <ns0:row r="677" ht="21" customHeight="1">
      <ns0:c r="A677" s="147" t="n">
        <ns0:v>99</ns0:v>
      </ns0:c>
      <ns0:c r="B677" s="147" t="str">
        <ns0:v>开局</ns0:v>
      </ns0:c>
      <ns0:c r="C677" s="147" t="str">
        <ns0:v>W10-099-04</ns0:v>
      </ns0:c>
      <ns0:c r="D677" s="147" t="str">
        <ns0:v>炸弹盒</ns0:v>
      </ns0:c>
      <ns0:c r="E677" s="152" t="n">
        <ns0:v>1</ns0:v>
      </ns0:c>
      <ns0:c r="F677" s="152" t="n">
        <ns0:v>4</ns0:v>
      </ns0:c>
      <ns0:c r="G677" s="152" t="n">
        <ns0:v>4</ns0:v>
      </ns0:c>
      <ns0:c r="H677" s="152" t="n">
        <ns0:v>0</ns0:v>
      </ns0:c>
      <ns0:c r="I677" s="150" t="n">
        <ns0:f>E677*G677</ns0:f>
        <ns0:v>4</ns0:v>
      </ns0:c>
      <ns0:c r="J677" s="150" t="n">
        <ns0:f>E677*(F677-G677)</ns0:f>
        <ns0:v>0</ns0:v>
      </ns0:c>
      <ns0:c r="K677" s="150" t="n">
        <ns0:f>IF(AND(B677="开局",G677=0,OR(D677="普通盒",D677="单颗暂存盒")),J677,0)</ns0:f>
        <ns0:v>0</ns0:v>
      </ns0:c>
      <ns0:c r="L677" s="150" t="n">
        <ns0:f>IF(AND(B677="开局",G677&gt;0,OR(D677="普通盒",D677="底部置顶盒",D677="炸弹盒")),J677,0)</ns0:f>
        <ns0:v>0</ns0:v>
      </ns0:c>
      <ns0:c r="M677" s="150" t="n">
        <ns0:f>IF(AND(B677="开局",OR(D677="固定颜色盒",D677="单向收纳盒")),J677,0)</ns0:f>
        <ns0:v>0</ns0:v>
      </ns0:c>
      <ns0:c r="N677" s="150" t="n">
        <ns0:f>IF(AND(B677="开局",OR(D677="数字盖盒",D677="普通冰冻盒",D677="数字冰冻盒",D677="数字冰冻单颗暂存盒")),J677,0)</ns0:f>
        <ns0:v>0</ns0:v>
      </ns0:c>
      <ns0:c r="O677" s="147" t="str">
        <ns0:f>IF(AND(E677&gt;0,E677=INT(E677),G677&gt;=0,G677&lt;=F677,G677=INT(G677),OR(AND(F677=1,OR(D677="单颗暂存盒",D677="数字冰冻单颗暂存盒")),AND(F677=4,NOT(OR(D677="单颗暂存盒",D677="数字冰冻单颗暂存盒")))),IF(OR(D677="数字盖盒",D677="数字冰冻盒",D677="数字冰冻单颗暂存盒"),AND(H677&gt;=1,H677=INT(H677)),H677=0),IF(B677="开局",AND(IF(OR(D677="数字盖盒",D677="普通冰冻盒",D677="数字冰冻盒",D677="炸弹盒",D677="底部置顶盒"),OR(G677=3,G677=4),TRUE),IF(OR(D677="单向收纳盒",D677="单颗暂存盒",D677="数字冰冻单颗暂存盒"),OR(G677=0,G677=1),TRUE),IF(OR(D677="固定颜色盒",D677="广告锁定周转盒"),G677=0,TRUE)),TRUE)),"通过","需调整")</ns0:f>
        <ns0:v>通过</ns0:v>
      </ns0:c>
      <ns0:c r="P677" s="147" t="str">
        <ns0:v>炸弹盒</ns0:v>
      </ns0:c>
      <ns0:c r="Q677" s="147" t="str">
        <ns0:v>固定层序见本关首行</ns0:v>
      </ns0:c>
      <ns0:c r="R677" s="150" t="n">
        <ns0:f>E677*H677</ns0:f>
        <ns0:v>0</ns0:v>
      </ns0:c>
    </ns0:row>
    <ns0:row r="678" ht="21" customHeight="1">
      <ns0:c r="A678" s="145" t="n">
        <ns0:v>99</ns0:v>
      </ns0:c>
      <ns0:c r="B678" s="145" t="str">
        <ns0:v>开局</ns0:v>
      </ns0:c>
      <ns0:c r="C678" s="145" t="str">
        <ns0:v>W10-099-05</ns0:v>
      </ns0:c>
      <ns0:c r="D678" s="145" t="str">
        <ns0:v>数字冰冻盒</ns0:v>
      </ns0:c>
      <ns0:c r="E678" s="152" t="n">
        <ns0:v>1</ns0:v>
      </ns0:c>
      <ns0:c r="F678" s="152" t="n">
        <ns0:v>4</ns0:v>
      </ns0:c>
      <ns0:c r="G678" s="152" t="n">
        <ns0:v>4</ns0:v>
      </ns0:c>
      <ns0:c r="H678" s="152" t="n">
        <ns0:v>2</ns0:v>
      </ns0:c>
      <ns0:c r="I678" s="149" t="n">
        <ns0:f>E678*G678</ns0:f>
        <ns0:v>4</ns0:v>
      </ns0:c>
      <ns0:c r="J678" s="149" t="n">
        <ns0:f>E678*(F678-G678)</ns0:f>
        <ns0:v>0</ns0:v>
      </ns0:c>
      <ns0:c r="K678" s="149" t="n">
        <ns0:f>IF(AND(B678="开局",G678=0,OR(D678="普通盒",D678="单颗暂存盒")),J678,0)</ns0:f>
        <ns0:v>0</ns0:v>
      </ns0:c>
      <ns0:c r="L678" s="149" t="n">
        <ns0:f>IF(AND(B678="开局",G678&gt;0,OR(D678="普通盒",D678="底部置顶盒",D678="炸弹盒")),J678,0)</ns0:f>
        <ns0:v>0</ns0:v>
      </ns0:c>
      <ns0:c r="M678" s="149" t="n">
        <ns0:f>IF(AND(B678="开局",OR(D678="固定颜色盒",D678="单向收纳盒")),J678,0)</ns0:f>
        <ns0:v>0</ns0:v>
      </ns0:c>
      <ns0:c r="N678" s="149" t="n">
        <ns0:f>IF(AND(B678="开局",OR(D678="数字盖盒",D678="普通冰冻盒",D678="数字冰冻盒",D678="数字冰冻单颗暂存盒")),J678,0)</ns0:f>
        <ns0:v>0</ns0:v>
      </ns0:c>
      <ns0:c r="O678" s="145" t="str">
        <ns0:f>IF(AND(E678&gt;0,E678=INT(E678),G678&gt;=0,G678&lt;=F678,G678=INT(G678),OR(AND(F678=1,OR(D678="单颗暂存盒",D678="数字冰冻单颗暂存盒")),AND(F678=4,NOT(OR(D678="单颗暂存盒",D678="数字冰冻单颗暂存盒")))),IF(OR(D678="数字盖盒",D678="数字冰冻盒",D678="数字冰冻单颗暂存盒"),AND(H678&gt;=1,H678=INT(H678)),H678=0),IF(B678="开局",AND(IF(OR(D678="数字盖盒",D678="普通冰冻盒",D678="数字冰冻盒",D678="炸弹盒",D678="底部置顶盒"),OR(G678=3,G678=4),TRUE),IF(OR(D678="单向收纳盒",D678="单颗暂存盒",D678="数字冰冻单颗暂存盒"),OR(G678=0,G678=1),TRUE),IF(OR(D678="固定颜色盒",D678="广告锁定周转盒"),G678=0,TRUE)),TRUE)),"通过","需调整")</ns0:f>
        <ns0:v>通过</ns0:v>
      </ns0:c>
      <ns0:c r="P678" s="145" t="str">
        <ns0:v>数字冰冻盒</ns0:v>
      </ns0:c>
      <ns0:c r="Q678" s="145" t="str">
        <ns0:v>固定层序见本关首行</ns0:v>
      </ns0:c>
      <ns0:c r="R678" s="149" t="n">
        <ns0:f>E678*H678</ns0:f>
        <ns0:v>2</ns0:v>
      </ns0:c>
    </ns0:row>
    <ns0:row r="679" ht="21" customHeight="1">
      <ns0:c r="A679" s="147" t="n">
        <ns0:v>99</ns0:v>
      </ns0:c>
      <ns0:c r="B679" s="147" t="str">
        <ns0:v>开局</ns0:v>
      </ns0:c>
      <ns0:c r="C679" s="147" t="str">
        <ns0:v>W10-099-06</ns0:v>
      </ns0:c>
      <ns0:c r="D679" s="147" t="str">
        <ns0:v>单向收纳盒</ns0:v>
      </ns0:c>
      <ns0:c r="E679" s="152" t="n">
        <ns0:v>1</ns0:v>
      </ns0:c>
      <ns0:c r="F679" s="152" t="n">
        <ns0:v>4</ns0:v>
      </ns0:c>
      <ns0:c r="G679" s="152" t="n">
        <ns0:v>0</ns0:v>
      </ns0:c>
      <ns0:c r="H679" s="152" t="n">
        <ns0:v>0</ns0:v>
      </ns0:c>
      <ns0:c r="I679" s="150" t="n">
        <ns0:f>E679*G679</ns0:f>
        <ns0:v>0</ns0:v>
      </ns0:c>
      <ns0:c r="J679" s="150" t="n">
        <ns0:f>E679*(F679-G679)</ns0:f>
        <ns0:v>4</ns0:v>
      </ns0:c>
      <ns0:c r="K679" s="150" t="n">
        <ns0:f>IF(AND(B679="开局",G679=0,OR(D679="普通盒",D679="单颗暂存盒")),J679,0)</ns0:f>
        <ns0:v>0</ns0:v>
      </ns0:c>
      <ns0:c r="L679" s="150" t="n">
        <ns0:f>IF(AND(B679="开局",G679&gt;0,OR(D679="普通盒",D679="底部置顶盒",D679="炸弹盒")),J679,0)</ns0:f>
        <ns0:v>0</ns0:v>
      </ns0:c>
      <ns0:c r="M679" s="150" t="n">
        <ns0:f>IF(AND(B679="开局",OR(D679="固定颜色盒",D679="单向收纳盒")),J679,0)</ns0:f>
        <ns0:v>4</ns0:v>
      </ns0:c>
      <ns0:c r="N679" s="150" t="n">
        <ns0:f>IF(AND(B679="开局",OR(D679="数字盖盒",D679="普通冰冻盒",D679="数字冰冻盒",D679="数字冰冻单颗暂存盒")),J679,0)</ns0:f>
        <ns0:v>0</ns0:v>
      </ns0:c>
      <ns0:c r="O679" s="147" t="str">
        <ns0:f>IF(AND(E679&gt;0,E679=INT(E679),G679&gt;=0,G679&lt;=F679,G679=INT(G679),OR(AND(F679=1,OR(D679="单颗暂存盒",D679="数字冰冻单颗暂存盒")),AND(F679=4,NOT(OR(D679="单颗暂存盒",D679="数字冰冻单颗暂存盒")))),IF(OR(D679="数字盖盒",D679="数字冰冻盒",D679="数字冰冻单颗暂存盒"),AND(H679&gt;=1,H679=INT(H679)),H679=0),IF(B679="开局",AND(IF(OR(D679="数字盖盒",D679="普通冰冻盒",D679="数字冰冻盒",D679="炸弹盒",D679="底部置顶盒"),OR(G679=3,G679=4),TRUE),IF(OR(D679="单向收纳盒",D679="单颗暂存盒",D679="数字冰冻单颗暂存盒"),OR(G679=0,G679=1),TRUE),IF(OR(D679="固定颜色盒",D679="广告锁定周转盒"),G679=0,TRUE)),TRUE)),"通过","需调整")</ns0:f>
        <ns0:v>通过</ns0:v>
      </ns0:c>
      <ns0:c r="P679" s="147" t="str">
        <ns0:v>单向收纳盒</ns0:v>
      </ns0:c>
      <ns0:c r="Q679" s="147" t="str">
        <ns0:v>固定层序见本关首行</ns0:v>
      </ns0:c>
      <ns0:c r="R679" s="150" t="n">
        <ns0:f>E679*H679</ns0:f>
        <ns0:v>0</ns0:v>
      </ns0:c>
    </ns0:row>
    <ns0:row r="680" ht="21" customHeight="1">
      <ns0:c r="A680" s="145" t="n">
        <ns0:v>99</ns0:v>
      </ns0:c>
      <ns0:c r="B680" s="145" t="str">
        <ns0:v>开局</ns0:v>
      </ns0:c>
      <ns0:c r="C680" s="145" t="str">
        <ns0:v>W10-099-07</ns0:v>
      </ns0:c>
      <ns0:c r="D680" s="145" t="str">
        <ns0:v>广告锁定周转盒</ns0:v>
      </ns0:c>
      <ns0:c r="E680" s="152" t="n">
        <ns0:v>2</ns0:v>
      </ns0:c>
      <ns0:c r="F680" s="152" t="n">
        <ns0:v>4</ns0:v>
      </ns0:c>
      <ns0:c r="G680" s="152" t="n">
        <ns0:v>0</ns0:v>
      </ns0:c>
      <ns0:c r="H680" s="152" t="n">
        <ns0:v>0</ns0:v>
      </ns0:c>
      <ns0:c r="I680" s="149" t="n">
        <ns0:f>E680*G680</ns0:f>
        <ns0:v>0</ns0:v>
      </ns0:c>
      <ns0:c r="J680" s="149" t="n">
        <ns0:f>E680*(F680-G680)</ns0:f>
        <ns0:v>8</ns0:v>
      </ns0:c>
      <ns0:c r="K680" s="149" t="n">
        <ns0:f>IF(AND(B680="开局",G680=0,OR(D680="普通盒",D680="单颗暂存盒")),J680,0)</ns0:f>
        <ns0:v>0</ns0:v>
      </ns0:c>
      <ns0:c r="L680" s="149" t="n">
        <ns0:f>IF(AND(B680="开局",G680&gt;0,OR(D680="普通盒",D680="底部置顶盒",D680="炸弹盒")),J680,0)</ns0:f>
        <ns0:v>0</ns0:v>
      </ns0:c>
      <ns0:c r="M680" s="149" t="n">
        <ns0:f>IF(AND(B680="开局",OR(D680="固定颜色盒",D680="单向收纳盒")),J680,0)</ns0:f>
        <ns0:v>0</ns0:v>
      </ns0:c>
      <ns0:c r="N680" s="149" t="n">
        <ns0:f>IF(AND(B680="开局",OR(D680="数字盖盒",D680="普通冰冻盒",D680="数字冰冻盒",D680="数字冰冻单颗暂存盒")),J680,0)</ns0:f>
        <ns0:v>0</ns0:v>
      </ns0:c>
      <ns0:c r="O680" s="145" t="str">
        <ns0:f>IF(AND(E680&gt;0,E680=INT(E680),G680&gt;=0,G680&lt;=F680,G680=INT(G680),OR(AND(F680=1,OR(D680="单颗暂存盒",D680="数字冰冻单颗暂存盒")),AND(F680=4,NOT(OR(D680="单颗暂存盒",D680="数字冰冻单颗暂存盒")))),IF(OR(D680="数字盖盒",D680="数字冰冻盒",D680="数字冰冻单颗暂存盒"),AND(H680&gt;=1,H680=INT(H680)),H680=0),IF(B680="开局",AND(IF(OR(D680="数字盖盒",D680="普通冰冻盒",D680="数字冰冻盒",D680="炸弹盒",D680="底部置顶盒"),OR(G680=3,G680=4),TRUE),IF(OR(D680="单向收纳盒",D680="单颗暂存盒",D680="数字冰冻单颗暂存盒"),OR(G680=0,G680=1),TRUE),IF(OR(D680="固定颜色盒",D680="广告锁定周转盒"),G680=0,TRUE)),TRUE)),"通过","需调整")</ns0:f>
        <ns0:v>通过</ns0:v>
      </ns0:c>
      <ns0:c r="P680" s="145" t="str">
        <ns0:v>双广告锁位</ns0:v>
      </ns0:c>
      <ns0:c r="Q680" s="145" t="str">
        <ns0:v>固定层序见本关首行</ns0:v>
      </ns0:c>
      <ns0:c r="R680" s="149" t="n">
        <ns0:f>E680*H680</ns0:f>
        <ns0:v>0</ns0:v>
      </ns0:c>
    </ns0:row>
    <ns0:row r="681" ht="21" customHeight="1">
      <ns0:c r="A681" s="147" t="n">
        <ns0:v>99</ns0:v>
      </ns0:c>
      <ns0:c r="B681" s="147" t="str">
        <ns0:v>备货</ns0:v>
      </ns0:c>
      <ns0:c r="C681" s="147" t="str">
        <ns0:v>W10-099-08</ns0:v>
      </ns0:c>
      <ns0:c r="D681" s="147" t="str">
        <ns0:v>普通盒</ns0:v>
      </ns0:c>
      <ns0:c r="E681" s="152" t="n">
        <ns0:v>2</ns0:v>
      </ns0:c>
      <ns0:c r="F681" s="152" t="n">
        <ns0:v>4</ns0:v>
      </ns0:c>
      <ns0:c r="G681" s="152" t="n">
        <ns0:v>4</ns0:v>
      </ns0:c>
      <ns0:c r="H681" s="152" t="n">
        <ns0:v>0</ns0:v>
      </ns0:c>
      <ns0:c r="I681" s="150" t="n">
        <ns0:f>E681*G681</ns0:f>
        <ns0:v>8</ns0:v>
      </ns0:c>
      <ns0:c r="J681" s="150" t="n">
        <ns0:f>E681*(F681-G681)</ns0:f>
        <ns0:v>0</ns0:v>
      </ns0:c>
      <ns0:c r="K681" s="150" t="n">
        <ns0:f>IF(AND(B681="开局",G681=0,OR(D681="普通盒",D681="单颗暂存盒")),J681,0)</ns0:f>
        <ns0:v>0</ns0:v>
      </ns0:c>
      <ns0:c r="L681" s="150" t="n">
        <ns0:f>IF(AND(B681="开局",G681&gt;0,OR(D681="普通盒",D681="底部置顶盒",D681="炸弹盒")),J681,0)</ns0:f>
        <ns0:v>0</ns0:v>
      </ns0:c>
      <ns0:c r="M681" s="150" t="n">
        <ns0:f>IF(AND(B681="开局",OR(D681="固定颜色盒",D681="单向收纳盒")),J681,0)</ns0:f>
        <ns0:v>0</ns0:v>
      </ns0:c>
      <ns0:c r="N681" s="150" t="n">
        <ns0:f>IF(AND(B681="开局",OR(D681="数字盖盒",D681="普通冰冻盒",D681="数字冰冻盒",D681="数字冰冻单颗暂存盒")),J681,0)</ns0:f>
        <ns0:v>0</ns0:v>
      </ns0:c>
      <ns0:c r="O681" s="147" t="str">
        <ns0:f>IF(AND(E681&gt;0,E681=INT(E681),G681&gt;=0,G681&lt;=F681,G681=INT(G681),OR(AND(F681=1,OR(D681="单颗暂存盒",D681="数字冰冻单颗暂存盒")),AND(F681=4,NOT(OR(D681="单颗暂存盒",D681="数字冰冻单颗暂存盒")))),IF(OR(D681="数字盖盒",D681="数字冰冻盒",D681="数字冰冻单颗暂存盒"),AND(H681&gt;=1,H681=INT(H681)),H681=0),IF(B681="开局",AND(IF(OR(D681="数字盖盒",D681="普通冰冻盒",D681="数字冰冻盒",D681="炸弹盒",D681="底部置顶盒"),OR(G681=3,G681=4),TRUE),IF(OR(D681="单向收纳盒",D681="单颗暂存盒",D681="数字冰冻单颗暂存盒"),OR(G681=0,G681=1),TRUE),IF(OR(D681="固定颜色盒",D681="广告锁定周转盒"),G681=0,TRUE)),TRUE)),"通过","需调整")</ns0:f>
        <ns0:v>通过</ns0:v>
      </ns0:c>
      <ns0:c r="P681" s="147" t="str">
        <ns0:v>连续侧边补货</ns0:v>
      </ns0:c>
      <ns0:c r="Q681" s="147" t="str">
        <ns0:v>固定层序见本关首行</ns0:v>
      </ns0:c>
      <ns0:c r="R681" s="150" t="n">
        <ns0:f>E681*H681</ns0:f>
        <ns0:v>0</ns0:v>
      </ns0:c>
    </ns0:row>
    <ns0:row r="682" ht="21" customHeight="1">
      <ns0:c r="A682" s="145" t="n">
        <ns0:v>100</ns0:v>
      </ns0:c>
      <ns0:c r="B682" s="145" t="str">
        <ns0:v>开局</ns0:v>
      </ns0:c>
      <ns0:c r="C682" s="145" t="str">
        <ns0:v>W10-100-01</ns0:v>
      </ns0:c>
      <ns0:c r="D682" s="145" t="str">
        <ns0:v>普通盒</ns0:v>
      </ns0:c>
      <ns0:c r="E682" s="152" t="n">
        <ns0:v>12</ns0:v>
      </ns0:c>
      <ns0:c r="F682" s="152" t="n">
        <ns0:v>4</ns0:v>
      </ns0:c>
      <ns0:c r="G682" s="152" t="n">
        <ns0:v>4</ns0:v>
      </ns0:c>
      <ns0:c r="H682" s="152" t="n">
        <ns0:v>0</ns0:v>
      </ns0:c>
      <ns0:c r="I682" s="149" t="n">
        <ns0:f>E682*G682</ns0:f>
        <ns0:v>48</ns0:v>
      </ns0:c>
      <ns0:c r="J682" s="149" t="n">
        <ns0:f>E682*(F682-G682)</ns0:f>
        <ns0:v>0</ns0:v>
      </ns0:c>
      <ns0:c r="K682" s="149" t="n">
        <ns0:f>IF(AND(B682="开局",G682=0,OR(D682="普通盒",D682="单颗暂存盒")),J682,0)</ns0:f>
        <ns0:v>0</ns0:v>
      </ns0:c>
      <ns0:c r="L682" s="149" t="n">
        <ns0:f>IF(AND(B682="开局",G682&gt;0,OR(D682="普通盒",D682="底部置顶盒",D682="炸弹盒")),J682,0)</ns0:f>
        <ns0:v>0</ns0:v>
      </ns0:c>
      <ns0:c r="M682" s="149" t="n">
        <ns0:f>IF(AND(B682="开局",OR(D682="固定颜色盒",D682="单向收纳盒")),J682,0)</ns0:f>
        <ns0:v>0</ns0:v>
      </ns0:c>
      <ns0:c r="N682" s="149" t="n">
        <ns0:f>IF(AND(B682="开局",OR(D682="数字盖盒",D682="普通冰冻盒",D682="数字冰冻盒",D682="数字冰冻单颗暂存盒")),J682,0)</ns0:f>
        <ns0:v>0</ns0:v>
      </ns0:c>
      <ns0:c r="O682" s="145" t="str">
        <ns0:f>IF(AND(E682&gt;0,E682=INT(E682),G682&gt;=0,G682&lt;=F682,G682=INT(G682),OR(AND(F682=1,OR(D682="单颗暂存盒",D682="数字冰冻单颗暂存盒")),AND(F682=4,NOT(OR(D682="单颗暂存盒",D682="数字冰冻单颗暂存盒")))),IF(OR(D682="数字盖盒",D682="数字冰冻盒",D682="数字冰冻单颗暂存盒"),AND(H682&gt;=1,H682=INT(H682)),H682=0),IF(B682="开局",AND(IF(OR(D682="数字盖盒",D682="普通冰冻盒",D682="数字冰冻盒",D682="炸弹盒",D682="底部置顶盒"),OR(G682=3,G682=4),TRUE),IF(OR(D682="单向收纳盒",D682="单颗暂存盒",D682="数字冰冻单颗暂存盒"),OR(G682=0,G682=1),TRUE),IF(OR(D682="固定颜色盒",D682="广告锁定周转盒"),G682=0,TRUE)),TRUE)),"通过","需调整")</ns0:f>
        <ns0:v>通过</ns0:v>
      </ns0:c>
      <ns0:c r="P682" s="145" t="str">
        <ns0:v>普通盒</ns0:v>
      </ns0:c>
      <ns0:c r="Q682" s="145" t="str">
        <ns0:v>层序JSON:{"reference":"2026-10-12 第91至100关组合挑战与百关收尾；固定层序、明牌拆弹材料与分段反馈","slots":[{"group_id":"W10-100-01","layers":[5,3,5,3]},{"group_id":"W10-100-01","layers":[8,8,2,8]},{"group_id":"W10-100-05","layers":[2,5,3,4]},{"group_id":"W10-100-01","layers":[6,5,8,6]},{"group_id":"W10-100-01","layers":[5,3,0,4]},{"group_id":"W10-100-01","layers":[4,0,2,8]},{"group_id":"W10-100-01","layers":[8,6,5,2]},{"group_id":"W10-100-02","layers":[4,0,3]},{"group_id":"W10-100-01","layers":[4,2,3,2]},{"group_id":"W10-100-01","layers":[6,0,8,0]},{"group_id":"W10-100-01","layers":[2,4,6,8]},{"group_id":"W10-100-01","layers":[4,0,6,5]},{"group_id":"W10-100-03","layers":[3]},{"group_id":"W10-100-01","layers":[5,3,6,4]},{"group_id":"W10-100-01","layers":[0,0,6,2]},{"group_id":"W10-100-06","layers":[],"fixed_flavor":2},{"group_id":"W10-100-04","layers":[]}],"stock":[],"demand_sequences":[[8,6,3,0,0,4,6],[2,4,5,5,3,8,2]]}</ns0:v>
      </ns0:c>
      <ns0:c r="R682" s="149" t="n">
        <ns0:f>E682*H682</ns0:f>
        <ns0:v>0</ns0:v>
      </ns0:c>
    </ns0:row>
    <ns0:row r="683" ht="21" customHeight="1">
      <ns0:c r="A683" s="147" t="n">
        <ns0:v>100</ns0:v>
      </ns0:c>
      <ns0:c r="B683" s="147" t="str">
        <ns0:v>开局</ns0:v>
      </ns0:c>
      <ns0:c r="C683" s="147" t="str">
        <ns0:v>W10-100-02</ns0:v>
      </ns0:c>
      <ns0:c r="D683" s="147" t="str">
        <ns0:v>普通盒</ns0:v>
      </ns0:c>
      <ns0:c r="E683" s="152" t="n">
        <ns0:v>1</ns0:v>
      </ns0:c>
      <ns0:c r="F683" s="152" t="n">
        <ns0:v>4</ns0:v>
      </ns0:c>
      <ns0:c r="G683" s="152" t="n">
        <ns0:v>3</ns0:v>
      </ns0:c>
      <ns0:c r="H683" s="152" t="n">
        <ns0:v>0</ns0:v>
      </ns0:c>
      <ns0:c r="I683" s="150" t="n">
        <ns0:f>E683*G683</ns0:f>
        <ns0:v>3</ns0:v>
      </ns0:c>
      <ns0:c r="J683" s="150" t="n">
        <ns0:f>E683*(F683-G683)</ns0:f>
        <ns0:v>1</ns0:v>
      </ns0:c>
      <ns0:c r="K683" s="150" t="n">
        <ns0:f>IF(AND(B683="开局",G683=0,OR(D683="普通盒",D683="单颗暂存盒")),J683,0)</ns0:f>
        <ns0:v>0</ns0:v>
      </ns0:c>
      <ns0:c r="L683" s="150" t="n">
        <ns0:f>IF(AND(B683="开局",G683&gt;0,OR(D683="普通盒",D683="底部置顶盒",D683="炸弹盒")),J683,0)</ns0:f>
        <ns0:v>1</ns0:v>
      </ns0:c>
      <ns0:c r="M683" s="150" t="n">
        <ns0:f>IF(AND(B683="开局",OR(D683="固定颜色盒",D683="单向收纳盒")),J683,0)</ns0:f>
        <ns0:v>0</ns0:v>
      </ns0:c>
      <ns0:c r="N683" s="150" t="n">
        <ns0:f>IF(AND(B683="开局",OR(D683="数字盖盒",D683="普通冰冻盒",D683="数字冰冻盒",D683="数字冰冻单颗暂存盒")),J683,0)</ns0:f>
        <ns0:v>0</ns0:v>
      </ns0:c>
      <ns0:c r="O683" s="147" t="str">
        <ns0:f>IF(AND(E683&gt;0,E683=INT(E683),G683&gt;=0,G683&lt;=F683,G683=INT(G683),OR(AND(F683=1,OR(D683="单颗暂存盒",D683="数字冰冻单颗暂存盒")),AND(F683=4,NOT(OR(D683="单颗暂存盒",D683="数字冰冻单颗暂存盒")))),IF(OR(D683="数字盖盒",D683="数字冰冻盒",D683="数字冰冻单颗暂存盒"),AND(H683&gt;=1,H683=INT(H683)),H683=0),IF(B683="开局",AND(IF(OR(D683="数字盖盒",D683="普通冰冻盒",D683="数字冰冻盒",D683="炸弹盒",D683="底部置顶盒"),OR(G683=3,G683=4),TRUE),IF(OR(D683="单向收纳盒",D683="单颗暂存盒",D683="数字冰冻单颗暂存盒"),OR(G683=0,G683=1),TRUE),IF(OR(D683="固定颜色盒",D683="广告锁定周转盒"),G683=0,TRUE)),TRUE)),"通过","需调整")</ns0:f>
        <ns0:v>通过</ns0:v>
      </ns0:c>
      <ns0:c r="P683" s="147" t="str">
        <ns0:v>普通盒</ns0:v>
      </ns0:c>
      <ns0:c r="Q683" s="147" t="str">
        <ns0:v>固定层序见本关首行</ns0:v>
      </ns0:c>
      <ns0:c r="R683" s="150" t="n">
        <ns0:f>E683*H683</ns0:f>
        <ns0:v>0</ns0:v>
      </ns0:c>
    </ns0:row>
    <ns0:row r="684" ht="21" customHeight="1">
      <ns0:c r="A684" s="145" t="n">
        <ns0:v>100</ns0:v>
      </ns0:c>
      <ns0:c r="B684" s="145" t="str">
        <ns0:v>开局</ns0:v>
      </ns0:c>
      <ns0:c r="C684" s="145" t="str">
        <ns0:v>W10-100-03</ns0:v>
      </ns0:c>
      <ns0:c r="D684" s="145" t="str">
        <ns0:v>普通盒</ns0:v>
      </ns0:c>
      <ns0:c r="E684" s="152" t="n">
        <ns0:v>1</ns0:v>
      </ns0:c>
      <ns0:c r="F684" s="152" t="n">
        <ns0:v>4</ns0:v>
      </ns0:c>
      <ns0:c r="G684" s="152" t="n">
        <ns0:v>1</ns0:v>
      </ns0:c>
      <ns0:c r="H684" s="152" t="n">
        <ns0:v>0</ns0:v>
      </ns0:c>
      <ns0:c r="I684" s="149" t="n">
        <ns0:f>E684*G684</ns0:f>
        <ns0:v>1</ns0:v>
      </ns0:c>
      <ns0:c r="J684" s="149" t="n">
        <ns0:f>E684*(F684-G684)</ns0:f>
        <ns0:v>3</ns0:v>
      </ns0:c>
      <ns0:c r="K684" s="149" t="n">
        <ns0:f>IF(AND(B684="开局",G684=0,OR(D684="普通盒",D684="单颗暂存盒")),J684,0)</ns0:f>
        <ns0:v>0</ns0:v>
      </ns0:c>
      <ns0:c r="L684" s="149" t="n">
        <ns0:f>IF(AND(B684="开局",G684&gt;0,OR(D684="普通盒",D684="底部置顶盒",D684="炸弹盒")),J684,0)</ns0:f>
        <ns0:v>3</ns0:v>
      </ns0:c>
      <ns0:c r="M684" s="149" t="n">
        <ns0:f>IF(AND(B684="开局",OR(D684="固定颜色盒",D684="单向收纳盒")),J684,0)</ns0:f>
        <ns0:v>0</ns0:v>
      </ns0:c>
      <ns0:c r="N684" s="149" t="n">
        <ns0:f>IF(AND(B684="开局",OR(D684="数字盖盒",D684="普通冰冻盒",D684="数字冰冻盒",D684="数字冰冻单颗暂存盒")),J684,0)</ns0:f>
        <ns0:v>0</ns0:v>
      </ns0:c>
      <ns0:c r="O684" s="145" t="str">
        <ns0:f>IF(AND(E684&gt;0,E684=INT(E684),G684&gt;=0,G684&lt;=F684,G684=INT(G684),OR(AND(F684=1,OR(D684="单颗暂存盒",D684="数字冰冻单颗暂存盒")),AND(F684=4,NOT(OR(D684="单颗暂存盒",D684="数字冰冻单颗暂存盒")))),IF(OR(D684="数字盖盒",D684="数字冰冻盒",D684="数字冰冻单颗暂存盒"),AND(H684&gt;=1,H684=INT(H684)),H684=0),IF(B684="开局",AND(IF(OR(D684="数字盖盒",D684="普通冰冻盒",D684="数字冰冻盒",D684="炸弹盒",D684="底部置顶盒"),OR(G684=3,G684=4),TRUE),IF(OR(D684="单向收纳盒",D684="单颗暂存盒",D684="数字冰冻单颗暂存盒"),OR(G684=0,G684=1),TRUE),IF(OR(D684="固定颜色盒",D684="广告锁定周转盒"),G684=0,TRUE)),TRUE)),"通过","需调整")</ns0:f>
        <ns0:v>通过</ns0:v>
      </ns0:c>
      <ns0:c r="P684" s="145" t="str">
        <ns0:v>普通盒</ns0:v>
      </ns0:c>
      <ns0:c r="Q684" s="145" t="str">
        <ns0:v>固定层序见本关首行</ns0:v>
      </ns0:c>
      <ns0:c r="R684" s="149" t="n">
        <ns0:f>E684*H684</ns0:f>
        <ns0:v>0</ns0:v>
      </ns0:c>
    </ns0:row>
    <ns0:row r="685" ht="21" customHeight="1">
      <ns0:c r="A685" s="147" t="n">
        <ns0:v>100</ns0:v>
      </ns0:c>
      <ns0:c r="B685" s="147" t="str">
        <ns0:v>开局</ns0:v>
      </ns0:c>
      <ns0:c r="C685" s="147" t="str">
        <ns0:v>W10-100-04</ns0:v>
      </ns0:c>
      <ns0:c r="D685" s="147" t="str">
        <ns0:v>普通盒</ns0:v>
      </ns0:c>
      <ns0:c r="E685" s="152" t="n">
        <ns0:v>1</ns0:v>
      </ns0:c>
      <ns0:c r="F685" s="152" t="n">
        <ns0:v>4</ns0:v>
      </ns0:c>
      <ns0:c r="G685" s="152" t="n">
        <ns0:v>0</ns0:v>
      </ns0:c>
      <ns0:c r="H685" s="152" t="n">
        <ns0:v>0</ns0:v>
      </ns0:c>
      <ns0:c r="I685" s="150" t="n">
        <ns0:f>E685*G685</ns0:f>
        <ns0:v>0</ns0:v>
      </ns0:c>
      <ns0:c r="J685" s="150" t="n">
        <ns0:f>E685*(F685-G685)</ns0:f>
        <ns0:v>4</ns0:v>
      </ns0:c>
      <ns0:c r="K685" s="150" t="n">
        <ns0:f>IF(AND(B685="开局",G685=0,OR(D685="普通盒",D685="单颗暂存盒")),J685,0)</ns0:f>
        <ns0:v>4</ns0:v>
      </ns0:c>
      <ns0:c r="L685" s="150" t="n">
        <ns0:f>IF(AND(B685="开局",G685&gt;0,OR(D685="普通盒",D685="底部置顶盒",D685="炸弹盒")),J685,0)</ns0:f>
        <ns0:v>0</ns0:v>
      </ns0:c>
      <ns0:c r="M685" s="150" t="n">
        <ns0:f>IF(AND(B685="开局",OR(D685="固定颜色盒",D685="单向收纳盒")),J685,0)</ns0:f>
        <ns0:v>0</ns0:v>
      </ns0:c>
      <ns0:c r="N685" s="150" t="n">
        <ns0:f>IF(AND(B685="开局",OR(D685="数字盖盒",D685="普通冰冻盒",D685="数字冰冻盒",D685="数字冰冻单颗暂存盒")),J685,0)</ns0:f>
        <ns0:v>0</ns0:v>
      </ns0:c>
      <ns0:c r="O685" s="147" t="str">
        <ns0:f>IF(AND(E685&gt;0,E685=INT(E685),G685&gt;=0,G685&lt;=F685,G685=INT(G685),OR(AND(F685=1,OR(D685="单颗暂存盒",D685="数字冰冻单颗暂存盒")),AND(F685=4,NOT(OR(D685="单颗暂存盒",D685="数字冰冻单颗暂存盒")))),IF(OR(D685="数字盖盒",D685="数字冰冻盒",D685="数字冰冻单颗暂存盒"),AND(H685&gt;=1,H685=INT(H685)),H685=0),IF(B685="开局",AND(IF(OR(D685="数字盖盒",D685="普通冰冻盒",D685="数字冰冻盒",D685="炸弹盒",D685="底部置顶盒"),OR(G685=3,G685=4),TRUE),IF(OR(D685="单向收纳盒",D685="单颗暂存盒",D685="数字冰冻单颗暂存盒"),OR(G685=0,G685=1),TRUE),IF(OR(D685="固定颜色盒",D685="广告锁定周转盒"),G685=0,TRUE)),TRUE)),"通过","需调整")</ns0:f>
        <ns0:v>通过</ns0:v>
      </ns0:c>
      <ns0:c r="P685" s="147" t="str">
        <ns0:v>普通盒</ns0:v>
      </ns0:c>
      <ns0:c r="Q685" s="147" t="str">
        <ns0:v>固定层序见本关首行</ns0:v>
      </ns0:c>
      <ns0:c r="R685" s="150" t="n">
        <ns0:f>E685*H685</ns0:f>
        <ns0:v>0</ns0:v>
      </ns0:c>
    </ns0:row>
    <ns0:row r="686" ht="21" customHeight="1">
      <ns0:c r="A686" s="145" t="n">
        <ns0:v>100</ns0:v>
      </ns0:c>
      <ns0:c r="B686" s="145" t="str">
        <ns0:v>开局</ns0:v>
      </ns0:c>
      <ns0:c r="C686" s="145" t="str">
        <ns0:v>W10-100-05</ns0:v>
      </ns0:c>
      <ns0:c r="D686" s="145" t="str">
        <ns0:v>底部置顶盒</ns0:v>
      </ns0:c>
      <ns0:c r="E686" s="152" t="n">
        <ns0:v>1</ns0:v>
      </ns0:c>
      <ns0:c r="F686" s="152" t="n">
        <ns0:v>4</ns0:v>
      </ns0:c>
      <ns0:c r="G686" s="152" t="n">
        <ns0:v>4</ns0:v>
      </ns0:c>
      <ns0:c r="H686" s="152" t="n">
        <ns0:v>0</ns0:v>
      </ns0:c>
      <ns0:c r="I686" s="149" t="n">
        <ns0:f>E686*G686</ns0:f>
        <ns0:v>4</ns0:v>
      </ns0:c>
      <ns0:c r="J686" s="149" t="n">
        <ns0:f>E686*(F686-G686)</ns0:f>
        <ns0:v>0</ns0:v>
      </ns0:c>
      <ns0:c r="K686" s="149" t="n">
        <ns0:f>IF(AND(B686="开局",G686=0,OR(D686="普通盒",D686="单颗暂存盒")),J686,0)</ns0:f>
        <ns0:v>0</ns0:v>
      </ns0:c>
      <ns0:c r="L686" s="149" t="n">
        <ns0:f>IF(AND(B686="开局",G686&gt;0,OR(D686="普通盒",D686="底部置顶盒",D686="炸弹盒")),J686,0)</ns0:f>
        <ns0:v>0</ns0:v>
      </ns0:c>
      <ns0:c r="M686" s="149" t="n">
        <ns0:f>IF(AND(B686="开局",OR(D686="固定颜色盒",D686="单向收纳盒")),J686,0)</ns0:f>
        <ns0:v>0</ns0:v>
      </ns0:c>
      <ns0:c r="N686" s="149" t="n">
        <ns0:f>IF(AND(B686="开局",OR(D686="数字盖盒",D686="普通冰冻盒",D686="数字冰冻盒",D686="数字冰冻单颗暂存盒")),J686,0)</ns0:f>
        <ns0:v>0</ns0:v>
      </ns0:c>
      <ns0:c r="O686" s="145" t="str">
        <ns0:f>IF(AND(E686&gt;0,E686=INT(E686),G686&gt;=0,G686&lt;=F686,G686=INT(G686),OR(AND(F686=1,OR(D686="单颗暂存盒",D686="数字冰冻单颗暂存盒")),AND(F686=4,NOT(OR(D686="单颗暂存盒",D686="数字冰冻单颗暂存盒")))),IF(OR(D686="数字盖盒",D686="数字冰冻盒",D686="数字冰冻单颗暂存盒"),AND(H686&gt;=1,H686=INT(H686)),H686=0),IF(B686="开局",AND(IF(OR(D686="数字盖盒",D686="普通冰冻盒",D686="数字冰冻盒",D686="炸弹盒",D686="底部置顶盒"),OR(G686=3,G686=4),TRUE),IF(OR(D686="单向收纳盒",D686="单颗暂存盒",D686="数字冰冻单颗暂存盒"),OR(G686=0,G686=1),TRUE),IF(OR(D686="固定颜色盒",D686="广告锁定周转盒"),G686=0,TRUE)),TRUE)),"通过","需调整")</ns0:f>
        <ns0:v>通过</ns0:v>
      </ns0:c>
      <ns0:c r="P686" s="145" t="str">
        <ns0:v>底部置顶盒</ns0:v>
      </ns0:c>
      <ns0:c r="Q686" s="145" t="str">
        <ns0:v>固定层序见本关首行</ns0:v>
      </ns0:c>
      <ns0:c r="R686" s="149" t="n">
        <ns0:f>E686*H686</ns0:f>
        <ns0:v>0</ns0:v>
      </ns0:c>
    </ns0:row>
    <ns0:row r="687" ht="21" customHeight="1">
      <ns0:c r="A687" s="147" t="n">
        <ns0:v>100</ns0:v>
      </ns0:c>
      <ns0:c r="B687" s="147" t="str">
        <ns0:v>开局</ns0:v>
      </ns0:c>
      <ns0:c r="C687" s="147" t="str">
        <ns0:v>W10-100-06</ns0:v>
      </ns0:c>
      <ns0:c r="D687" s="147" t="str">
        <ns0:v>固定颜色盒</ns0:v>
      </ns0:c>
      <ns0:c r="E687" s="152" t="n">
        <ns0:v>1</ns0:v>
      </ns0:c>
      <ns0:c r="F687" s="152" t="n">
        <ns0:v>4</ns0:v>
      </ns0:c>
      <ns0:c r="G687" s="152" t="n">
        <ns0:v>0</ns0:v>
      </ns0:c>
      <ns0:c r="H687" s="152" t="n">
        <ns0:v>0</ns0:v>
      </ns0:c>
      <ns0:c r="I687" s="150" t="n">
        <ns0:f>E687*G687</ns0:f>
        <ns0:v>0</ns0:v>
      </ns0:c>
      <ns0:c r="J687" s="150" t="n">
        <ns0:f>E687*(F687-G687)</ns0:f>
        <ns0:v>4</ns0:v>
      </ns0:c>
      <ns0:c r="K687" s="150" t="n">
        <ns0:f>IF(AND(B687="开局",G687=0,OR(D687="普通盒",D687="单颗暂存盒")),J687,0)</ns0:f>
        <ns0:v>0</ns0:v>
      </ns0:c>
      <ns0:c r="L687" s="150" t="n">
        <ns0:f>IF(AND(B687="开局",G687&gt;0,OR(D687="普通盒",D687="底部置顶盒",D687="炸弹盒")),J687,0)</ns0:f>
        <ns0:v>0</ns0:v>
      </ns0:c>
      <ns0:c r="M687" s="150" t="n">
        <ns0:f>IF(AND(B687="开局",OR(D687="固定颜色盒",D687="单向收纳盒")),J687,0)</ns0:f>
        <ns0:v>4</ns0:v>
      </ns0:c>
      <ns0:c r="N687" s="150" t="n">
        <ns0:f>IF(AND(B687="开局",OR(D687="数字盖盒",D687="普通冰冻盒",D687="数字冰冻盒",D687="数字冰冻单颗暂存盒")),J687,0)</ns0:f>
        <ns0:v>0</ns0:v>
      </ns0:c>
      <ns0:c r="O687" s="147" t="str">
        <ns0:f>IF(AND(E687&gt;0,E687=INT(E687),G687&gt;=0,G687&lt;=F687,G687=INT(G687),OR(AND(F687=1,OR(D687="单颗暂存盒",D687="数字冰冻单颗暂存盒")),AND(F687=4,NOT(OR(D687="单颗暂存盒",D687="数字冰冻单颗暂存盒")))),IF(OR(D687="数字盖盒",D687="数字冰冻盒",D687="数字冰冻单颗暂存盒"),AND(H687&gt;=1,H687=INT(H687)),H687=0),IF(B687="开局",AND(IF(OR(D687="数字盖盒",D687="普通冰冻盒",D687="数字冰冻盒",D687="炸弹盒",D687="底部置顶盒"),OR(G687=3,G687=4),TRUE),IF(OR(D687="单向收纳盒",D687="单颗暂存盒",D687="数字冰冻单颗暂存盒"),OR(G687=0,G687=1),TRUE),IF(OR(D687="固定颜色盒",D687="广告锁定周转盒"),G687=0,TRUE)),TRUE)),"通过","需调整")</ns0:f>
        <ns0:v>通过</ns0:v>
      </ns0:c>
      <ns0:c r="P687" s="147" t="str">
        <ns0:v>固定颜色盒</ns0:v>
      </ns0:c>
      <ns0:c r="Q687" s="147" t="str">
        <ns0:v>固定层序见本关首行</ns0:v>
      </ns0:c>
      <ns0:c r="R687" s="150" t="n">
        <ns0:f>E687*H687</ns0:f>
        <ns0:v>0</ns0:v>
      </ns0:c>
    </ns0:row>
    <ns0:row r="688" ht="21" customHeight="1">
      <ns0:c r="A688" s="145" t="n">
        <ns0:v>100</ns0:v>
      </ns0:c>
      <ns0:c r="B688" s="145" t="str">
        <ns0:v>开局</ns0:v>
      </ns0:c>
      <ns0:c r="C688" s="145" t="str">
        <ns0:v>W10-100-07</ns0:v>
      </ns0:c>
      <ns0:c r="D688" s="145" t="str">
        <ns0:v>广告锁定周转盒</ns0:v>
      </ns0:c>
      <ns0:c r="E688" s="152" t="n">
        <ns0:v>2</ns0:v>
      </ns0:c>
      <ns0:c r="F688" s="152" t="n">
        <ns0:v>4</ns0:v>
      </ns0:c>
      <ns0:c r="G688" s="152" t="n">
        <ns0:v>0</ns0:v>
      </ns0:c>
      <ns0:c r="H688" s="152" t="n">
        <ns0:v>0</ns0:v>
      </ns0:c>
      <ns0:c r="I688" s="149" t="n">
        <ns0:f>E688*G688</ns0:f>
        <ns0:v>0</ns0:v>
      </ns0:c>
      <ns0:c r="J688" s="149" t="n">
        <ns0:f>E688*(F688-G688)</ns0:f>
        <ns0:v>8</ns0:v>
      </ns0:c>
      <ns0:c r="K688" s="149" t="n">
        <ns0:f>IF(AND(B688="开局",G688=0,OR(D688="普通盒",D688="单颗暂存盒")),J688,0)</ns0:f>
        <ns0:v>0</ns0:v>
      </ns0:c>
      <ns0:c r="L688" s="149" t="n">
        <ns0:f>IF(AND(B688="开局",G688&gt;0,OR(D688="普通盒",D688="底部置顶盒",D688="炸弹盒")),J688,0)</ns0:f>
        <ns0:v>0</ns0:v>
      </ns0:c>
      <ns0:c r="M688" s="149" t="n">
        <ns0:f>IF(AND(B688="开局",OR(D688="固定颜色盒",D688="单向收纳盒")),J688,0)</ns0:f>
        <ns0:v>0</ns0:v>
      </ns0:c>
      <ns0:c r="N688" s="149" t="n">
        <ns0:f>IF(AND(B688="开局",OR(D688="数字盖盒",D688="普通冰冻盒",D688="数字冰冻盒",D688="数字冰冻单颗暂存盒")),J688,0)</ns0:f>
        <ns0:v>0</ns0:v>
      </ns0:c>
      <ns0:c r="O688" s="145" t="str">
        <ns0:f>IF(AND(E688&gt;0,E688=INT(E688),G688&gt;=0,G688&lt;=F688,G688=INT(G688),OR(AND(F688=1,OR(D688="单颗暂存盒",D688="数字冰冻单颗暂存盒")),AND(F688=4,NOT(OR(D688="单颗暂存盒",D688="数字冰冻单颗暂存盒")))),IF(OR(D688="数字盖盒",D688="数字冰冻盒",D688="数字冰冻单颗暂存盒"),AND(H688&gt;=1,H688=INT(H688)),H688=0),IF(B688="开局",AND(IF(OR(D688="数字盖盒",D688="普通冰冻盒",D688="数字冰冻盒",D688="炸弹盒",D688="底部置顶盒"),OR(G688=3,G688=4),TRUE),IF(OR(D688="单向收纳盒",D688="单颗暂存盒",D688="数字冰冻单颗暂存盒"),OR(G688=0,G688=1),TRUE),IF(OR(D688="固定颜色盒",D688="广告锁定周转盒"),G688=0,TRUE)),TRUE)),"通过","需调整")</ns0:f>
        <ns0:v>通过</ns0:v>
      </ns0:c>
      <ns0:c r="P688" s="145" t="str">
        <ns0:v>双广告锁位</ns0:v>
      </ns0:c>
      <ns0:c r="Q688" s="145" t="str">
        <ns0:v>固定层序见本关首行</ns0:v>
      </ns0:c>
      <ns0:c r="R688" s="149" t="n">
        <ns0:f>E688*H688</ns0:f>
        <ns0:v>0</ns0:v>
      </ns0:c>
    </ns0:row>
    <ns0:row r="689" ht="21" customHeight="1">
      <ns0:c r="A689" s="147"/>
      <ns0:c r="B689" s="147"/>
      <ns0:c r="C689" s="147"/>
      <ns0:c r="D689" s="147"/>
      <ns0:c r="E689" s="152"/>
      <ns0:c r="F689" s="152"/>
      <ns0:c r="G689" s="152"/>
      <ns0:c r="H689" s="152"/>
      <ns0:c r="I689" s="150"/>
      <ns0:c r="J689" s="150"/>
      <ns0:c r="K689" s="150"/>
      <ns0:c r="L689" s="150"/>
      <ns0:c r="M689" s="150"/>
      <ns0:c r="N689" s="150"/>
      <ns0:c r="O689" s="147"/>
      <ns0:c r="P689" s="147"/>
      <ns0:c r="Q689" s="147"/>
      <ns0:c r="R689" s="150"/>
    </ns0:row>
    <ns0:row r="690" ht="21" customHeight="1">
      <ns0:c r="A690" s="145"/>
      <ns0:c r="B690" s="145"/>
      <ns0:c r="C690" s="145"/>
      <ns0:c r="D690" s="145"/>
      <ns0:c r="E690" s="152"/>
      <ns0:c r="F690" s="152"/>
      <ns0:c r="G690" s="152"/>
      <ns0:c r="H690" s="152"/>
      <ns0:c r="I690" s="149"/>
      <ns0:c r="J690" s="149"/>
      <ns0:c r="K690" s="149"/>
      <ns0:c r="L690" s="149"/>
      <ns0:c r="M690" s="149"/>
      <ns0:c r="N690" s="149"/>
      <ns0:c r="O690" s="145"/>
      <ns0:c r="P690" s="145"/>
      <ns0:c r="Q690" s="145"/>
      <ns0:c r="R690" s="149"/>
    </ns0:row>
    <ns0:row r="691" ht="21" customHeight="1">
      <ns0:c r="A691" s="147"/>
      <ns0:c r="B691" s="147"/>
      <ns0:c r="C691" s="147"/>
      <ns0:c r="D691" s="147"/>
      <ns0:c r="E691" s="152"/>
      <ns0:c r="F691" s="152"/>
      <ns0:c r="G691" s="152"/>
      <ns0:c r="H691" s="152"/>
      <ns0:c r="I691" s="150"/>
      <ns0:c r="J691" s="150"/>
      <ns0:c r="K691" s="150"/>
      <ns0:c r="L691" s="150"/>
      <ns0:c r="M691" s="150"/>
      <ns0:c r="N691" s="150"/>
      <ns0:c r="O691" s="147"/>
      <ns0:c r="P691" s="147"/>
      <ns0:c r="Q691" s="147"/>
      <ns0:c r="R691" s="150"/>
    </ns0:row>
    <ns0:row r="692" ht="21" customHeight="1">
      <ns0:c r="A692" s="145"/>
      <ns0:c r="B692" s="145"/>
      <ns0:c r="C692" s="145"/>
      <ns0:c r="D692" s="145"/>
      <ns0:c r="E692" s="152"/>
      <ns0:c r="F692" s="152"/>
      <ns0:c r="G692" s="152"/>
      <ns0:c r="H692" s="152"/>
      <ns0:c r="I692" s="149"/>
      <ns0:c r="J692" s="149"/>
      <ns0:c r="K692" s="149"/>
      <ns0:c r="L692" s="149"/>
      <ns0:c r="M692" s="149"/>
      <ns0:c r="N692" s="149"/>
      <ns0:c r="O692" s="145"/>
      <ns0:c r="P692" s="145"/>
      <ns0:c r="Q692" s="145"/>
      <ns0:c r="R692" s="149"/>
    </ns0:row>
    <ns0:row r="693" ht="21" customHeight="1">
      <ns0:c r="A693" t="n" s="150">
        <ns0:v>2</ns0:v>
      </ns0:c>
      <ns0:c r="B693" t="str" s="147">
        <ns0:v>开局</ns0:v>
      </ns0:c>
      <ns0:c r="C693" t="str" s="147">
        <ns0:v>R2-002-04</ns0:v>
      </ns0:c>
      <ns0:c r="D693" t="str" s="147">
        <ns0:v>普通盒</ns0:v>
      </ns0:c>
      <ns0:c r="E693" t="n" s="152">
        <ns0:v>2</ns0:v>
      </ns0:c>
      <ns0:c r="F693" t="n" s="152">
        <ns0:v>4</ns0:v>
      </ns0:c>
      <ns0:c r="G693" t="n" s="152">
        <ns0:v>2</ns0:v>
      </ns0:c>
      <ns0:c r="H693" t="n" s="152">
        <ns0:v>0</ns0:v>
      </ns0:c>
      <ns0:c r="I693" t="n" s="150">
        <ns0:f>E693*G693</ns0:f>
        <ns0:v>4</ns0:v>
      </ns0:c>
      <ns0:c r="J693" t="n" s="150">
        <ns0:f>E693*(F693-G693)</ns0:f>
        <ns0:v>4</ns0:v>
      </ns0:c>
      <ns0:c r="K693" t="n" s="150">
        <ns0:f>IF(AND(B693="开局",G693=0,OR(D693="普通盒",D693="单颗暂存盒")),J693,0)</ns0:f>
        <ns0:v>0</ns0:v>
      </ns0:c>
      <ns0:c r="L693" t="n" s="150">
        <ns0:f>IF(AND(B693="开局",G693&gt;0,OR(D693="普通盒",D693="底部置顶盒",D693="炸弹盒")),J693,0)</ns0:f>
        <ns0:v>4</ns0:v>
      </ns0:c>
      <ns0:c r="M693" t="n" s="150">
        <ns0:f>IF(AND(B693="开局",OR(D693="固定颜色盒",D693="单向收纳盒")),J693,0)</ns0:f>
        <ns0:v>0</ns0:v>
      </ns0:c>
      <ns0:c r="N693" t="n" s="150">
        <ns0:f>IF(AND(B693="开局",OR(D693="数字盖盒",D693="普通冰冻盒",D693="数字冰冻盒",D693="数字冰冻单颗暂存盒")),J693,0)</ns0:f>
        <ns0:v>0</ns0:v>
      </ns0:c>
      <ns0:c r="O693" t="str" s="147">
        <ns0:f>IF(AND(E693&gt;0,E693=INT(E693),G693&gt;=0,G693&lt;=F693,G693=INT(G693),OR(AND(F693=1,OR(D693="单颗暂存盒",D693="数字冰冻单颗暂存盒")),AND(F693=4,NOT(OR(D693="单颗暂存盒",D693="数字冰冻单颗暂存盒")))),IF(OR(D693="数字盖盒",D693="数字冰冻盒",D693="数字冰冻单颗暂存盒"),AND(H693&gt;=1,H693=INT(H693)),H693=0),IF(B693="开局",AND(IF(OR(D693="数字盖盒",D693="普通冰冻盒",D693="数字冰冻盒",D693="炸弹盒",D693="底部置顶盒"),OR(G693=3,G693=4),TRUE),IF(OR(D693="单向收纳盒",D693="单颗暂存盒",D693="数字冰冻单颗暂存盒"),OR(G693=0,G693=1),TRUE),IF(OR(D693="固定颜色盒",D693="广告锁定周转盒"),G693=0,TRUE)),TRUE)),"通过","需调整")</ns0:f>
        <ns0:v>通过</ns0:v>
      </ns0:c>
      <ns0:c r="P693" t="str" s="147">
        <ns0:v>参考图两只半满盒</ns0:v>
      </ns0:c>
      <ns0:c r="Q693" t="str" s="147">
        <ns0:v>上→下：香橙/蓝莓；草莓/香草</ns0:v>
      </ns0:c>
      <ns0:c r="R693" t="n" s="150">
        <ns0:f>E693*H693</ns0:f>
        <ns0:v>0</ns0:v>
      </ns0:c>
    </ns0:row>
    <ns0:row r="694" ht="21" customHeight="1">
      <ns0:c r="A694" t="n" s="150">
        <ns0:v>2</ns0:v>
      </ns0:c>
      <ns0:c r="B694" t="str" s="147">
        <ns0:v>开局</ns0:v>
      </ns0:c>
      <ns0:c r="C694" t="str" s="147">
        <ns0:v>R2-002-05</ns0:v>
      </ns0:c>
      <ns0:c r="D694" t="str" s="147">
        <ns0:v>数字冰冻盒</ns0:v>
      </ns0:c>
      <ns0:c r="E694" t="n" s="152">
        <ns0:v>1</ns0:v>
      </ns0:c>
      <ns0:c r="F694" t="n" s="152">
        <ns0:v>4</ns0:v>
      </ns0:c>
      <ns0:c r="G694" t="n" s="152">
        <ns0:v>4</ns0:v>
      </ns0:c>
      <ns0:c r="H694" t="n" s="152">
        <ns0:v>1</ns0:v>
      </ns0:c>
      <ns0:c r="I694" t="n" s="150">
        <ns0:f>E694*G694</ns0:f>
        <ns0:v>4</ns0:v>
      </ns0:c>
      <ns0:c r="J694" t="n" s="150">
        <ns0:f>E694*(F694-G694)</ns0:f>
        <ns0:v>0</ns0:v>
      </ns0:c>
      <ns0:c r="K694" t="n" s="150">
        <ns0:f>IF(AND(B694="开局",G694=0,OR(D694="普通盒",D694="单颗暂存盒")),J694,0)</ns0:f>
        <ns0:v>0</ns0:v>
      </ns0:c>
      <ns0:c r="L694" t="n" s="150">
        <ns0:f>IF(AND(B694="开局",G694&gt;0,OR(D694="普通盒",D694="底部置顶盒",D694="炸弹盒")),J694,0)</ns0:f>
        <ns0:v>0</ns0:v>
      </ns0:c>
      <ns0:c r="M694" t="n" s="150">
        <ns0:f>IF(AND(B694="开局",OR(D694="固定颜色盒",D694="单向收纳盒")),J694,0)</ns0:f>
        <ns0:v>0</ns0:v>
      </ns0:c>
      <ns0:c r="N694" t="n" s="150">
        <ns0:f>IF(AND(B694="开局",OR(D694="数字盖盒",D694="普通冰冻盒",D694="数字冰冻盒",D694="数字冰冻单颗暂存盒")),J694,0)</ns0:f>
        <ns0:v>0</ns0:v>
      </ns0:c>
      <ns0:c r="O694" t="str" s="147">
        <ns0:f>IF(AND(E694&gt;0,E694=INT(E694),G694&gt;=0,G694&lt;=F694,G694=INT(G694),OR(AND(F694=1,OR(D694="单颗暂存盒",D694="数字冰冻单颗暂存盒")),AND(F694=4,NOT(OR(D694="单颗暂存盒",D694="数字冰冻单颗暂存盒")))),IF(OR(D694="数字盖盒",D694="数字冰冻盒",D694="数字冰冻单颗暂存盒"),AND(H694&gt;=1,H694=INT(H694)),H694=0),IF(B694="开局",AND(IF(OR(D694="数字盖盒",D694="普通冰冻盒",D694="数字冰冻盒",D694="炸弹盒",D694="底部置顶盒"),OR(G694=3,G694=4),TRUE),IF(OR(D694="单向收纳盒",D694="单颗暂存盒",D694="数字冰冻单颗暂存盒"),OR(G694=0,G694=1),TRUE),IF(OR(D694="固定颜色盒",D694="广告锁定周转盒"),G694=0,TRUE)),TRUE)),"通过","需调整")</ns0:f>
        <ns0:v>通过</ns0:v>
      </ns0:c>
      <ns0:c r="P694" t="str" s="147">
        <ns0:v>首次四同味归纳即解冻</ns0:v>
      </ns0:c>
      <ns0:c r="Q694" t="str" s="147">
        <ns0:v>上→下：草莓/草莓/香橙/蓝莓</ns0:v>
      </ns0:c>
      <ns0:c r="R694" t="n" s="150">
        <ns0:f>E694*H694</ns0:f>
        <ns0:v>1</ns0:v>
      </ns0:c>
    </ns0:row>
    <ns0:row r="695" ht="21" customHeight="1">
      <ns0:c r="A695" t="n" s="149">
        <ns0:v>3</ns0:v>
      </ns0:c>
      <ns0:c r="B695" t="str" s="145">
        <ns0:v>开局</ns0:v>
      </ns0:c>
      <ns0:c r="C695" t="str" s="145">
        <ns0:v>R2-003-04</ns0:v>
      </ns0:c>
      <ns0:c r="D695" t="str" s="145">
        <ns0:v>普通盒</ns0:v>
      </ns0:c>
      <ns0:c r="E695" t="n" s="152">
        <ns0:v>2</ns0:v>
      </ns0:c>
      <ns0:c r="F695" t="n" s="152">
        <ns0:v>4</ns0:v>
      </ns0:c>
      <ns0:c r="G695" t="n" s="152">
        <ns0:v>2</ns0:v>
      </ns0:c>
      <ns0:c r="H695" t="n" s="152">
        <ns0:v>0</ns0:v>
      </ns0:c>
      <ns0:c r="I695" t="n" s="149">
        <ns0:f>E695*G695</ns0:f>
        <ns0:v>4</ns0:v>
      </ns0:c>
      <ns0:c r="J695" t="n" s="149">
        <ns0:f>E695*(F695-G695)</ns0:f>
        <ns0:v>4</ns0:v>
      </ns0:c>
      <ns0:c r="K695" t="n" s="149">
        <ns0:f>IF(AND(B695="开局",G695=0,OR(D695="普通盒",D695="单颗暂存盒")),J695,0)</ns0:f>
        <ns0:v>0</ns0:v>
      </ns0:c>
      <ns0:c r="L695" t="n" s="149">
        <ns0:f>IF(AND(B695="开局",G695&gt;0,OR(D695="普通盒",D695="底部置顶盒",D695="炸弹盒")),J695,0)</ns0:f>
        <ns0:v>4</ns0:v>
      </ns0:c>
      <ns0:c r="M695" t="n" s="149">
        <ns0:f>IF(AND(B695="开局",OR(D695="固定颜色盒",D695="单向收纳盒")),J695,0)</ns0:f>
        <ns0:v>0</ns0:v>
      </ns0:c>
      <ns0:c r="N695" t="n" s="149">
        <ns0:f>IF(AND(B695="开局",OR(D695="数字盖盒",D695="普通冰冻盒",D695="数字冰冻盒",D695="数字冰冻单颗暂存盒")),J695,0)</ns0:f>
        <ns0:v>0</ns0:v>
      </ns0:c>
      <ns0:c r="O695" t="str" s="145">
        <ns0:f>IF(AND(E695&gt;0,E695=INT(E695),G695&gt;=0,G695&lt;=F695,G695=INT(G695),OR(AND(F695=1,OR(D695="单颗暂存盒",D695="数字冰冻单颗暂存盒")),AND(F695=4,NOT(OR(D695="单颗暂存盒",D695="数字冰冻单颗暂存盒")))),IF(OR(D695="数字盖盒",D695="数字冰冻盒",D695="数字冰冻单颗暂存盒"),AND(H695&gt;=1,H695=INT(H695)),H695=0),IF(B695="开局",AND(IF(OR(D695="数字盖盒",D695="普通冰冻盒",D695="数字冰冻盒",D695="炸弹盒",D695="底部置顶盒"),OR(G695=3,G695=4),TRUE),IF(OR(D695="单向收纳盒",D695="单颗暂存盒",D695="数字冰冻单颗暂存盒"),OR(G695=0,G695=1),TRUE),IF(OR(D695="固定颜色盒",D695="广告锁定周转盒"),G695=0,TRUE)),TRUE)),"通过","需调整")</ns0:f>
        <ns0:v>通过</ns0:v>
      </ns0:c>
      <ns0:c r="P695" t="str" s="145">
        <ns0:v>参考图两只半满盒</ns0:v>
      </ns0:c>
      <ns0:c r="Q695" t="str" s="145">
        <ns0:v>上→下：蓝莓/巧克力；抹茶/蓝莓</ns0:v>
      </ns0:c>
      <ns0:c r="R695" t="n" s="149">
        <ns0:f>E695*H695</ns0:f>
        <ns0:v>0</ns0:v>
      </ns0:c>
    </ns0:row>
    <ns0:row r="696" ht="21" customHeight="1">
      <ns0:c r="A696" t="n" s="149">
        <ns0:v>3</ns0:v>
      </ns0:c>
      <ns0:c r="B696" t="str" s="145">
        <ns0:v>开局</ns0:v>
      </ns0:c>
      <ns0:c r="C696" t="str" s="145">
        <ns0:v>R2-003-05</ns0:v>
      </ns0:c>
      <ns0:c r="D696" t="str" s="145">
        <ns0:v>数字冰冻盒</ns0:v>
      </ns0:c>
      <ns0:c r="E696" t="n" s="152">
        <ns0:v>2</ns0:v>
      </ns0:c>
      <ns0:c r="F696" t="n" s="152">
        <ns0:v>4</ns0:v>
      </ns0:c>
      <ns0:c r="G696" t="n" s="152">
        <ns0:v>4</ns0:v>
      </ns0:c>
      <ns0:c r="H696" t="n" s="152">
        <ns0:v>1</ns0:v>
      </ns0:c>
      <ns0:c r="I696" t="n" s="149">
        <ns0:f>E696*G696</ns0:f>
        <ns0:v>8</ns0:v>
      </ns0:c>
      <ns0:c r="J696" t="n" s="149">
        <ns0:f>E696*(F696-G696)</ns0:f>
        <ns0:v>0</ns0:v>
      </ns0:c>
      <ns0:c r="K696" t="n" s="149">
        <ns0:f>IF(AND(B696="开局",G696=0,OR(D696="普通盒",D696="单颗暂存盒")),J696,0)</ns0:f>
        <ns0:v>0</ns0:v>
      </ns0:c>
      <ns0:c r="L696" t="n" s="149">
        <ns0:f>IF(AND(B696="开局",G696&gt;0,OR(D696="普通盒",D696="底部置顶盒",D696="炸弹盒")),J696,0)</ns0:f>
        <ns0:v>0</ns0:v>
      </ns0:c>
      <ns0:c r="M696" t="n" s="149">
        <ns0:f>IF(AND(B696="开局",OR(D696="固定颜色盒",D696="单向收纳盒")),J696,0)</ns0:f>
        <ns0:v>0</ns0:v>
      </ns0:c>
      <ns0:c r="N696" t="n" s="149">
        <ns0:f>IF(AND(B696="开局",OR(D696="数字盖盒",D696="普通冰冻盒",D696="数字冰冻盒",D696="数字冰冻单颗暂存盒")),J696,0)</ns0:f>
        <ns0:v>0</ns0:v>
      </ns0:c>
      <ns0:c r="O696" t="str" s="145">
        <ns0:f>IF(AND(E696&gt;0,E696=INT(E696),G696&gt;=0,G696&lt;=F696,G696=INT(G696),OR(AND(F696=1,OR(D696="单颗暂存盒",D696="数字冰冻单颗暂存盒")),AND(F696=4,NOT(OR(D696="单颗暂存盒",D696="数字冰冻单颗暂存盒")))),IF(OR(D696="数字盖盒",D696="数字冰冻盒",D696="数字冰冻单颗暂存盒"),AND(H696&gt;=1,H696=INT(H696)),H696=0),IF(B696="开局",AND(IF(OR(D696="数字盖盒",D696="普通冰冻盒",D696="数字冰冻盒",D696="炸弹盒",D696="底部置顶盒"),OR(G696=3,G696=4),TRUE),IF(OR(D696="单向收纳盒",D696="单颗暂存盒",D696="数字冰冻单颗暂存盒"),OR(G696=0,G696=1),TRUE),IF(OR(D696="固定颜色盒",D696="广告锁定周转盒"),G696=0,TRUE)),TRUE)),"通过","需调整")</ns0:f>
        <ns0:v>通过</ns0:v>
      </ns0:c>
      <ns0:c r="P696" t="str" s="145">
        <ns0:v>按固定顺序逐个归纳解冻</ns0:v>
      </ns0:c>
      <ns0:c r="Q696" t="str" s="145">
        <ns0:v>上→下：草莓/香草/草莓/蓝莓；香橙/蓝莓/蓝莓/抹茶</ns0:v>
      </ns0:c>
      <ns0:c r="R696" t="n" s="149">
        <ns0:f>E696*H696</ns0:f>
        <ns0:v>2</ns0:v>
      </ns0:c>
    </ns0:row>
    <ns0:row r="697" ht="21" customHeight="1">
      <ns0:c r="A697" s="149" t="n">
        <ns0:v>4</ns0:v>
      </ns0:c>
      <ns0:c r="B697" s="145" t="str">
        <ns0:v>开局</ns0:v>
      </ns0:c>
      <ns0:c r="C697" s="145" t="str">
        <ns0:v>R2-004-04</ns0:v>
      </ns0:c>
      <ns0:c r="D697" s="145" t="str">
        <ns0:v>数字冰冻盒</ns0:v>
      </ns0:c>
      <ns0:c r="E697" s="152" t="n">
        <ns0:v>2</ns0:v>
      </ns0:c>
      <ns0:c r="F697" s="152" t="n">
        <ns0:v>4</ns0:v>
      </ns0:c>
      <ns0:c r="G697" s="152" t="n">
        <ns0:v>4</ns0:v>
      </ns0:c>
      <ns0:c r="H697" s="152" t="n">
        <ns0:v>1</ns0:v>
      </ns0:c>
      <ns0:c r="I697" s="149" t="n">
        <ns0:f>E697*G697</ns0:f>
        <ns0:v>8</ns0:v>
      </ns0:c>
      <ns0:c r="J697" s="149" t="n">
        <ns0:f>E697*(F697-G697)</ns0:f>
        <ns0:v>0</ns0:v>
      </ns0:c>
      <ns0:c r="K697" s="149" t="n">
        <ns0:f>IF(AND(B697="开局",G697=0,OR(D697="普通盒",D697="单颗暂存盒")),J697,0)</ns0:f>
        <ns0:v>0</ns0:v>
      </ns0:c>
      <ns0:c r="L697" s="149" t="n">
        <ns0:f>IF(AND(B697="开局",G697&gt;0,OR(D697="普通盒",D697="底部置顶盒",D697="炸弹盒")),J697,0)</ns0:f>
        <ns0:v>0</ns0:v>
      </ns0:c>
      <ns0:c r="M697" s="149" t="n">
        <ns0:f>IF(AND(B697="开局",OR(D697="固定颜色盒",D697="单向收纳盒")),J697,0)</ns0:f>
        <ns0:v>0</ns0:v>
      </ns0:c>
      <ns0:c r="N697" s="149" t="n">
        <ns0:f>IF(AND(B697="开局",OR(D697="数字盖盒",D697="普通冰冻盒",D697="数字冰冻盒",D697="数字冰冻单颗暂存盒")),J697,0)</ns0:f>
        <ns0:v>0</ns0:v>
      </ns0:c>
      <ns0:c r="O697" s="145" t="str">
        <ns0:f>IF(AND(E697&gt;0,E697=INT(E697),G697&gt;=0,G697&lt;=F697,G697=INT(G697),OR(AND(F697=1,OR(D697="单颗暂存盒",D697="数字冰冻单颗暂存盒")),AND(F697=4,NOT(OR(D697="单颗暂存盒",D697="数字冰冻单颗暂存盒")))),IF(OR(D697="数字盖盒",D697="数字冰冻盒",D697="数字冰冻单颗暂存盒"),AND(H697&gt;=1,H697=INT(H697)),H697=0),IF(B697="开局",AND(IF(OR(D697="数字盖盒",D697="普通冰冻盒",D697="数字冰冻盒",D697="炸弹盒",D697="底部置顶盒"),OR(G697=3,G697=4),TRUE),IF(OR(D697="单向收纳盒",D697="单颗暂存盒",D697="数字冰冻单颗暂存盒"),OR(G697=0,G697=1),TRUE),IF(OR(D697="固定颜色盒",D697="广告锁定周转盒"),G697=0,TRUE)),TRUE)),"通过","需调整")</ns0:f>
        <ns0:v>通过</ns0:v>
      </ns0:c>
      <ns0:c r="P697" s="145" t="str">
        <ns0:v>参考图左右冰冻1</ns0:v>
      </ns0:c>
      <ns0:c r="Q697" s="145" t="str">
        <ns0:v>上→下：蓝/粉/红/红；蓝/香草/橙/开心果</ns0:v>
      </ns0:c>
      <ns0:c r="R697" s="149" t="n">
        <ns0:f>E697*H697</ns0:f>
        <ns0:v>2</ns0:v>
      </ns0:c>
    </ns0:row>
    <ns0:row r="698" ht="21" customHeight="1">
      <ns0:c r="A698" s="149" t="n">
        <ns0:v>5</ns0:v>
      </ns0:c>
      <ns0:c r="B698" s="145" t="str">
        <ns0:v>开局</ns0:v>
      </ns0:c>
      <ns0:c r="C698" s="145" t="str">
        <ns0:v>FILL-005-0</ns0:v>
      </ns0:c>
      <ns0:c r="D698" s="145" t="str">
        <ns0:v>普通盒</ns0:v>
      </ns0:c>
      <ns0:c r="E698" s="152" t="n">
        <ns0:v>1</ns0:v>
      </ns0:c>
      <ns0:c r="F698" s="152" t="n">
        <ns0:v>4</ns0:v>
      </ns0:c>
      <ns0:c r="G698" s="152" t="n">
        <ns0:v>0</ns0:v>
      </ns0:c>
      <ns0:c r="H698" s="152" t="n">
        <ns0:v>0</ns0:v>
      </ns0:c>
      <ns0:c r="I698" s="149" t="n">
        <ns0:f>E698*G698</ns0:f>
        <ns0:v>0</ns0:v>
      </ns0:c>
      <ns0:c r="J698" s="149" t="n">
        <ns0:f>E698*(F698-G698)</ns0:f>
        <ns0:v>4</ns0:v>
      </ns0:c>
      <ns0:c r="K698" s="149" t="n">
        <ns0:f>IF(AND(B698="开局",G698=0,OR(D698="普通盒",D698="单颗暂存盒")),J698,0)</ns0:f>
        <ns0:v>4</ns0:v>
      </ns0:c>
      <ns0:c r="L698" s="149" t="n">
        <ns0:f>IF(AND(B698="开局",G698&gt;0,OR(D698="普通盒",D698="底部置顶盒",D698="炸弹盒")),J698,0)</ns0:f>
        <ns0:v>0</ns0:v>
      </ns0:c>
      <ns0:c r="M698" s="149" t="n">
        <ns0:f>IF(AND(B698="开局",OR(D698="固定颜色盒",D698="单向收纳盒")),J698,0)</ns0:f>
        <ns0:v>0</ns0:v>
      </ns0:c>
      <ns0:c r="N698" s="149" t="n">
        <ns0:f>IF(AND(B698="开局",OR(D698="数字盖盒",D698="普通冰冻盒",D698="数字冰冻盒",D698="数字冰冻单颗暂存盒")),J698,0)</ns0:f>
        <ns0:v>0</ns0:v>
      </ns0:c>
      <ns0:c r="O698" s="145" t="str">
        <ns0:f>IF(AND(E698&gt;0,E698=INT(E698),G698&gt;=0,G698&lt;=F698,G698=INT(G698),OR(AND(F698=1,OR(D698="单颗暂存盒",D698="数字冰冻单颗暂存盒")),AND(F698=4,NOT(OR(D698="单颗暂存盒",D698="数字冰冻单颗暂存盒")))),IF(OR(D698="数字盖盒",D698="数字冰冻盒",D698="数字冰冻单颗暂存盒"),AND(H698&gt;=1,H698=INT(H698)),H698=0),IF(B698="开局",AND(IF(OR(D698="数字盖盒",D698="普通冰冻盒",D698="数字冰冻盒",D698="炸弹盒",D698="底部置顶盒"),OR(G698=3,G698=4),TRUE),IF(OR(D698="单向收纳盒",D698="单颗暂存盒",D698="数字冰冻单颗暂存盒"),OR(G698=0,G698=1),TRUE),IF(OR(D698="固定颜色盒",D698="广告锁定周转盒"),G698=0,TRUE)),TRUE)),"通过","需调整")</ns0:f>
        <ns0:v>通过</ns0:v>
      </ns0:c>
      <ns0:c r="R698" s="149" t="n">
        <ns0:f>E698*H698</ns0:f>
        <ns0:v>0</ns0:v>
      </ns0:c>
      <ns0:c r="P698" s="145" t="str">
        <ns0:v>开局装量多样化</ns0:v>
      </ns0:c>
      <ns0:c r="Q698" s="145" t="str">
        <ns0:v>逐味供需与可操作空间由固定层序校验</ns0:v>
      </ns0:c>
    </ns0:row>
    <ns0:row r="699" ht="21" customHeight="1">
      <ns0:c r="A699" s="149" t="n">
        <ns0:v>8</ns0:v>
      </ns0:c>
      <ns0:c r="B699" s="145" t="str">
        <ns0:v>开局</ns0:v>
      </ns0:c>
      <ns0:c r="C699" s="145" t="str">
        <ns0:v>WAVE-008-04</ns0:v>
      </ns0:c>
      <ns0:c r="D699" s="145" t="str">
        <ns0:v>广告锁定周转盒</ns0:v>
      </ns0:c>
      <ns0:c r="E699" s="152" t="n">
        <ns0:v>2</ns0:v>
      </ns0:c>
      <ns0:c r="F699" s="152" t="n">
        <ns0:v>4</ns0:v>
      </ns0:c>
      <ns0:c r="G699" s="152" t="n">
        <ns0:v>0</ns0:v>
      </ns0:c>
      <ns0:c r="H699" s="152" t="n">
        <ns0:v>0</ns0:v>
      </ns0:c>
      <ns0:c r="I699" s="149" t="n">
        <ns0:f>E699*G699</ns0:f>
        <ns0:v>0</ns0:v>
      </ns0:c>
      <ns0:c r="J699" s="149" t="n">
        <ns0:f>E699*(F699-G699)</ns0:f>
        <ns0:v>8</ns0:v>
      </ns0:c>
      <ns0:c r="K699" s="149" t="n">
        <ns0:f>IF(AND(B699="开局",G699=0,OR(D699="普通盒",D699="单颗暂存盒")),J699,0)</ns0:f>
        <ns0:v>0</ns0:v>
      </ns0:c>
      <ns0:c r="L699" s="149" t="n">
        <ns0:f>IF(AND(B699="开局",G699&gt;0,OR(D699="普通盒",D699="底部置顶盒",D699="炸弹盒")),J699,0)</ns0:f>
        <ns0:v>0</ns0:v>
      </ns0:c>
      <ns0:c r="M699" s="149" t="n">
        <ns0:f>IF(AND(B699="开局",OR(D699="固定颜色盒",D699="单向收纳盒")),J699,0)</ns0:f>
        <ns0:v>0</ns0:v>
      </ns0:c>
      <ns0:c r="N699" s="149" t="n">
        <ns0:f>IF(AND(B699="开局",OR(D699="数字盖盒",D699="普通冰冻盒",D699="数字冰冻盒",D699="数字冰冻单颗暂存盒")),J699,0)</ns0:f>
        <ns0:v>0</ns0:v>
      </ns0:c>
      <ns0:c r="O699" s="145" t="str">
        <ns0:f>IF(AND(E699&gt;0,E699=INT(E699),G699&gt;=0,G699&lt;=F699,G699=INT(G699),OR(AND(F699=1,OR(D699="单颗暂存盒",D699="数字冰冻单颗暂存盒")),AND(F699=4,NOT(OR(D699="单颗暂存盒",D699="数字冰冻单颗暂存盒")))),IF(OR(D699="数字盖盒",D699="数字冰冻盒",D699="数字冰冻单颗暂存盒"),AND(H699&gt;=1,H699=INT(H699)),H699=0),IF(B699="开局",AND(IF(OR(D699="数字盖盒",D699="普通冰冻盒",D699="数字冰冻盒",D699="炸弹盒",D699="底部置顶盒"),OR(G699=3,G699=4),TRUE),IF(OR(D699="单向收纳盒",D699="单颗暂存盒",D699="数字冰冻单颗暂存盒"),OR(G699=0,G699=1),TRUE),IF(OR(D699="固定颜色盒",D699="广告锁定周转盒"),G699=0,TRUE)),TRUE)),"通过","需调整")</ns0:f>
        <ns0:v>通过</ns0:v>
      </ns0:c>
      <ns0:c r="R699" s="149" t="n">
        <ns0:f>E699*H699</ns0:f>
        <ns0:v>0</ns0:v>
      </ns0:c>
      <ns0:c r="P699" s="145" t="str">
        <ns0:v>可选广告周转</ns0:v>
      </ns0:c>
      <ns0:c r="Q699" s="145" t="str">
        <ns0:v>逐味供需由固定层序校验</ns0:v>
      </ns0:c>
    </ns0:row>
    <ns0:row r="700" ht="21" customHeight="1">
      <ns0:c r="A700" s="149" t="n">
        <ns0:v>5</ns0:v>
      </ns0:c>
      <ns0:c r="B700" s="145" t="str">
        <ns0:v>开局</ns0:v>
      </ns0:c>
      <ns0:c r="C700" s="145" t="str">
        <ns0:v>FILL-005-ICE</ns0:v>
      </ns0:c>
      <ns0:c r="D700" s="145" t="str">
        <ns0:v>数字冰冻盒</ns0:v>
      </ns0:c>
      <ns0:c r="E700" s="152" t="n">
        <ns0:v>2</ns0:v>
      </ns0:c>
      <ns0:c r="F700" s="152" t="n">
        <ns0:v>4</ns0:v>
      </ns0:c>
      <ns0:c r="G700" s="152" t="n">
        <ns0:v>4</ns0:v>
      </ns0:c>
      <ns0:c r="H700" s="152" t="n">
        <ns0:v>1</ns0:v>
      </ns0:c>
      <ns0:c r="I700" s="149" t="n">
        <ns0:f>E700*G700</ns0:f>
        <ns0:v>8</ns0:v>
      </ns0:c>
      <ns0:c r="J700" s="149" t="n">
        <ns0:f>E700*(F700-G700)</ns0:f>
        <ns0:v>0</ns0:v>
      </ns0:c>
      <ns0:c r="K700" s="149" t="n">
        <ns0:f>IF(AND(B700="开局",G700=0,OR(D700="普通盒",D700="单颗暂存盒")),J700,0)</ns0:f>
        <ns0:v>0</ns0:v>
      </ns0:c>
      <ns0:c r="L700" s="149" t="n">
        <ns0:f>IF(AND(B700="开局",G700&gt;0,OR(D700="普通盒",D700="底部置顶盒",D700="炸弹盒")),J700,0)</ns0:f>
        <ns0:v>0</ns0:v>
      </ns0:c>
      <ns0:c r="M700" s="149" t="n">
        <ns0:f>IF(AND(B700="开局",OR(D700="固定颜色盒",D700="单向收纳盒")),J700,0)</ns0:f>
        <ns0:v>0</ns0:v>
      </ns0:c>
      <ns0:c r="N700" s="149" t="n">
        <ns0:f>IF(AND(B700="开局",OR(D700="数字盖盒",D700="普通冰冻盒",D700="数字冰冻盒",D700="数字冰冻单颗暂存盒")),J700,0)</ns0:f>
        <ns0:v>0</ns0:v>
      </ns0:c>
      <ns0:c r="O700" s="145" t="str">
        <ns0:f>IF(AND(E700&gt;0,E700=INT(E700),G700&gt;=0,G700&lt;=F700,G700=INT(G700),OR(AND(F700=1,OR(D700="单颗暂存盒",D700="数字冰冻单颗暂存盒")),AND(F700=4,NOT(OR(D700="单颗暂存盒",D700="数字冰冻单颗暂存盒")))),IF(OR(D700="数字盖盒",D700="数字冰冻盒",D700="数字冰冻单颗暂存盒"),AND(H700&gt;=1,H700=INT(H700)),H700=0),IF(B700="开局",AND(IF(OR(D700="数字盖盒",D700="普通冰冻盒",D700="数字冰冻盒",D700="炸弹盒",D700="底部置顶盒"),OR(G700=3,G700=4),TRUE),IF(OR(D700="单向收纳盒",D700="单颗暂存盒",D700="数字冰冻单颗暂存盒"),OR(G700=0,G700=1),TRUE),IF(OR(D700="固定颜色盒",D700="广告锁定周转盒"),G700=0,TRUE)),TRUE)),"通过","需调整")</ns0:f>
        <ns0:v>通过</ns0:v>
      </ns0:c>
      <ns0:c r="R700" s="149" t="n">
        <ns0:f>E700*H700</ns0:f>
        <ns0:v>2</ns0:v>
      </ns0:c>
      <ns0:c r="P700" s="145" t="str">
        <ns0:v>开局装量多样化</ns0:v>
      </ns0:c>
      <ns0:c r="Q700" s="145" t="str">
        <ns0:v>逐味供需与可操作空间由固定层序校验</ns0:v>
      </ns0:c>
    </ns0:row>
    <ns0:row r="701" ht="21" customHeight="1">
      <ns0:c r="A701" s="149" t="n">
        <ns0:v>5</ns0:v>
      </ns0:c>
      <ns0:c r="B701" s="145" t="str">
        <ns0:v>开局</ns0:v>
      </ns0:c>
      <ns0:c r="C701" s="145" t="str">
        <ns0:v>FILL-005-AD</ns0:v>
      </ns0:c>
      <ns0:c r="D701" s="145" t="str">
        <ns0:v>广告锁定周转盒</ns0:v>
      </ns0:c>
      <ns0:c r="E701" s="152" t="n">
        <ns0:v>2</ns0:v>
      </ns0:c>
      <ns0:c r="F701" s="152" t="n">
        <ns0:v>4</ns0:v>
      </ns0:c>
      <ns0:c r="G701" s="152" t="n">
        <ns0:v>0</ns0:v>
      </ns0:c>
      <ns0:c r="H701" s="152" t="n">
        <ns0:v>0</ns0:v>
      </ns0:c>
      <ns0:c r="I701" s="149" t="n">
        <ns0:f>E701*G701</ns0:f>
        <ns0:v>0</ns0:v>
      </ns0:c>
      <ns0:c r="J701" s="149" t="n">
        <ns0:f>E701*(F701-G701)</ns0:f>
        <ns0:v>8</ns0:v>
      </ns0:c>
      <ns0:c r="K701" s="149" t="n">
        <ns0:f>IF(AND(B701="开局",G701=0,OR(D701="普通盒",D701="单颗暂存盒")),J701,0)</ns0:f>
        <ns0:v>0</ns0:v>
      </ns0:c>
      <ns0:c r="L701" s="149" t="n">
        <ns0:f>IF(AND(B701="开局",G701&gt;0,OR(D701="普通盒",D701="底部置顶盒",D701="炸弹盒")),J701,0)</ns0:f>
        <ns0:v>0</ns0:v>
      </ns0:c>
      <ns0:c r="M701" s="149" t="n">
        <ns0:f>IF(AND(B701="开局",OR(D701="固定颜色盒",D701="单向收纳盒")),J701,0)</ns0:f>
        <ns0:v>0</ns0:v>
      </ns0:c>
      <ns0:c r="N701" s="149" t="n">
        <ns0:f>IF(AND(B701="开局",OR(D701="数字盖盒",D701="普通冰冻盒",D701="数字冰冻盒",D701="数字冰冻单颗暂存盒")),J701,0)</ns0:f>
        <ns0:v>0</ns0:v>
      </ns0:c>
      <ns0:c r="O701" s="145" t="str">
        <ns0:f>IF(AND(E701&gt;0,E701=INT(E701),G701&gt;=0,G701&lt;=F701,G701=INT(G701),OR(AND(F701=1,OR(D701="单颗暂存盒",D701="数字冰冻单颗暂存盒")),AND(F701=4,NOT(OR(D701="单颗暂存盒",D701="数字冰冻单颗暂存盒")))),IF(OR(D701="数字盖盒",D701="数字冰冻盒",D701="数字冰冻单颗暂存盒"),AND(H701&gt;=1,H701=INT(H701)),H701=0),IF(B701="开局",AND(IF(OR(D701="数字盖盒",D701="普通冰冻盒",D701="数字冰冻盒",D701="炸弹盒",D701="底部置顶盒"),OR(G701=3,G701=4),TRUE),IF(OR(D701="单向收纳盒",D701="单颗暂存盒",D701="数字冰冻单颗暂存盒"),OR(G701=0,G701=1),TRUE),IF(OR(D701="固定颜色盒",D701="广告锁定周转盒"),G701=0,TRUE)),TRUE)),"通过","需调整")</ns0:f>
        <ns0:v>通过</ns0:v>
      </ns0:c>
      <ns0:c r="R701" s="149" t="n">
        <ns0:f>E701*H701</ns0:f>
        <ns0:v>0</ns0:v>
      </ns0:c>
      <ns0:c r="P701" s="145" t="str">
        <ns0:v>可选广告周转</ns0:v>
      </ns0:c>
      <ns0:c r="Q701" s="145" t="str">
        <ns0:v>逐味供需与可操作空间由固定层序校验</ns0:v>
      </ns0:c>
    </ns0:row>
    <ns0:row r="702" ht="21" customHeight="1">
      <ns0:c r="A702" s="149" t="n">
        <ns0:v>6</ns0:v>
      </ns0:c>
      <ns0:c r="B702" s="145" t="str">
        <ns0:v>开局</ns0:v>
      </ns0:c>
      <ns0:c r="C702" s="145" t="str">
        <ns0:v>FILL-006-AD</ns0:v>
      </ns0:c>
      <ns0:c r="D702" s="145" t="str">
        <ns0:v>广告锁定周转盒</ns0:v>
      </ns0:c>
      <ns0:c r="E702" s="152" t="n">
        <ns0:v>2</ns0:v>
      </ns0:c>
      <ns0:c r="F702" s="152" t="n">
        <ns0:v>4</ns0:v>
      </ns0:c>
      <ns0:c r="G702" s="152" t="n">
        <ns0:v>0</ns0:v>
      </ns0:c>
      <ns0:c r="H702" s="152" t="n">
        <ns0:v>0</ns0:v>
      </ns0:c>
      <ns0:c r="I702" s="149" t="n">
        <ns0:f>E702*G702</ns0:f>
        <ns0:v>0</ns0:v>
      </ns0:c>
      <ns0:c r="J702" s="149" t="n">
        <ns0:f>E702*(F702-G702)</ns0:f>
        <ns0:v>8</ns0:v>
      </ns0:c>
      <ns0:c r="K702" s="149" t="n">
        <ns0:f>IF(AND(B702="开局",G702=0,OR(D702="普通盒",D702="单颗暂存盒")),J702,0)</ns0:f>
        <ns0:v>0</ns0:v>
      </ns0:c>
      <ns0:c r="L702" s="149" t="n">
        <ns0:f>IF(AND(B702="开局",G702&gt;0,OR(D702="普通盒",D702="底部置顶盒",D702="炸弹盒")),J702,0)</ns0:f>
        <ns0:v>0</ns0:v>
      </ns0:c>
      <ns0:c r="M702" s="149" t="n">
        <ns0:f>IF(AND(B702="开局",OR(D702="固定颜色盒",D702="单向收纳盒")),J702,0)</ns0:f>
        <ns0:v>0</ns0:v>
      </ns0:c>
      <ns0:c r="N702" s="149" t="n">
        <ns0:f>IF(AND(B702="开局",OR(D702="数字盖盒",D702="普通冰冻盒",D702="数字冰冻盒",D702="数字冰冻单颗暂存盒")),J702,0)</ns0:f>
        <ns0:v>0</ns0:v>
      </ns0:c>
      <ns0:c r="O702" s="145" t="str">
        <ns0:f>IF(AND(E702&gt;0,E702=INT(E702),G702&gt;=0,G702&lt;=F702,G702=INT(G702),OR(AND(F702=1,OR(D702="单颗暂存盒",D702="数字冰冻单颗暂存盒")),AND(F702=4,NOT(OR(D702="单颗暂存盒",D702="数字冰冻单颗暂存盒")))),IF(OR(D702="数字盖盒",D702="数字冰冻盒",D702="数字冰冻单颗暂存盒"),AND(H702&gt;=1,H702=INT(H702)),H702=0),IF(B702="开局",AND(IF(OR(D702="数字盖盒",D702="普通冰冻盒",D702="数字冰冻盒",D702="炸弹盒",D702="底部置顶盒"),OR(G702=3,G702=4),TRUE),IF(OR(D702="单向收纳盒",D702="单颗暂存盒",D702="数字冰冻单颗暂存盒"),OR(G702=0,G702=1),TRUE),IF(OR(D702="固定颜色盒",D702="广告锁定周转盒"),G702=0,TRUE)),TRUE)),"通过","需调整")</ns0:f>
        <ns0:v>通过</ns0:v>
      </ns0:c>
      <ns0:c r="R702" s="149" t="n">
        <ns0:f>E702*H702</ns0:f>
        <ns0:v>0</ns0:v>
      </ns0:c>
      <ns0:c r="P702" s="145" t="str">
        <ns0:v>可选广告周转</ns0:v>
      </ns0:c>
      <ns0:c r="Q702" s="145" t="str">
        <ns0:v>逐味供需与可操作空间由固定层序校验</ns0:v>
      </ns0:c>
    </ns0:row>
    <ns0:row r="703" ht="21" customHeight="1">
      <ns0:c r="A703" s="149" t="n">
        <ns0:v>7</ns0:v>
      </ns0:c>
      <ns0:c r="B703" s="145" t="str">
        <ns0:v>开局</ns0:v>
      </ns0:c>
      <ns0:c r="C703" s="145" t="str">
        <ns0:v>FILL-007-AD</ns0:v>
      </ns0:c>
      <ns0:c r="D703" s="145" t="str">
        <ns0:v>广告锁定周转盒</ns0:v>
      </ns0:c>
      <ns0:c r="E703" s="152" t="n">
        <ns0:v>2</ns0:v>
      </ns0:c>
      <ns0:c r="F703" s="152" t="n">
        <ns0:v>4</ns0:v>
      </ns0:c>
      <ns0:c r="G703" s="152" t="n">
        <ns0:v>0</ns0:v>
      </ns0:c>
      <ns0:c r="H703" s="152" t="n">
        <ns0:v>0</ns0:v>
      </ns0:c>
      <ns0:c r="I703" s="149" t="n">
        <ns0:f>E703*G703</ns0:f>
        <ns0:v>0</ns0:v>
      </ns0:c>
      <ns0:c r="J703" s="149" t="n">
        <ns0:f>E703*(F703-G703)</ns0:f>
        <ns0:v>8</ns0:v>
      </ns0:c>
      <ns0:c r="K703" s="149" t="n">
        <ns0:f>IF(AND(B703="开局",G703=0,OR(D703="普通盒",D703="单颗暂存盒")),J703,0)</ns0:f>
        <ns0:v>0</ns0:v>
      </ns0:c>
      <ns0:c r="L703" s="149" t="n">
        <ns0:f>IF(AND(B703="开局",G703&gt;0,OR(D703="普通盒",D703="底部置顶盒",D703="炸弹盒")),J703,0)</ns0:f>
        <ns0:v>0</ns0:v>
      </ns0:c>
      <ns0:c r="M703" s="149" t="n">
        <ns0:f>IF(AND(B703="开局",OR(D703="固定颜色盒",D703="单向收纳盒")),J703,0)</ns0:f>
        <ns0:v>0</ns0:v>
      </ns0:c>
      <ns0:c r="N703" s="149" t="n">
        <ns0:f>IF(AND(B703="开局",OR(D703="数字盖盒",D703="普通冰冻盒",D703="数字冰冻盒",D703="数字冰冻单颗暂存盒")),J703,0)</ns0:f>
        <ns0:v>0</ns0:v>
      </ns0:c>
      <ns0:c r="O703" s="145" t="str">
        <ns0:f>IF(AND(E703&gt;0,E703=INT(E703),G703&gt;=0,G703&lt;=F703,G703=INT(G703),OR(AND(F703=1,OR(D703="单颗暂存盒",D703="数字冰冻单颗暂存盒")),AND(F703=4,NOT(OR(D703="单颗暂存盒",D703="数字冰冻单颗暂存盒")))),IF(OR(D703="数字盖盒",D703="数字冰冻盒",D703="数字冰冻单颗暂存盒"),AND(H703&gt;=1,H703=INT(H703)),H703=0),IF(B703="开局",AND(IF(OR(D703="数字盖盒",D703="普通冰冻盒",D703="数字冰冻盒",D703="炸弹盒",D703="底部置顶盒"),OR(G703=3,G703=4),TRUE),IF(OR(D703="单向收纳盒",D703="单颗暂存盒",D703="数字冰冻单颗暂存盒"),OR(G703=0,G703=1),TRUE),IF(OR(D703="固定颜色盒",D703="广告锁定周转盒"),G703=0,TRUE)),TRUE)),"通过","需调整")</ns0:f>
        <ns0:v>通过</ns0:v>
      </ns0:c>
      <ns0:c r="R703" s="149" t="n">
        <ns0:f>E703*H703</ns0:f>
        <ns0:v>0</ns0:v>
      </ns0:c>
      <ns0:c r="P703" s="145" t="str">
        <ns0:v>可选广告周转</ns0:v>
      </ns0:c>
      <ns0:c r="Q703" s="145" t="str">
        <ns0:v>逐味供需与可操作空间由固定层序校验</ns0:v>
      </ns0:c>
    </ns0:row>
    <ns0:row r="704" ht="21" customHeight="1">
      <ns0:c r="A704" s="149" t="n">
        <ns0:v>9</ns0:v>
      </ns0:c>
      <ns0:c r="B704" s="145" t="str">
        <ns0:v>备货</ns0:v>
      </ns0:c>
      <ns0:c r="C704" s="145" t="str">
        <ns0:v>FILL-009-STOCK</ns0:v>
      </ns0:c>
      <ns0:c r="D704" s="145" t="str">
        <ns0:v>普通盒</ns0:v>
      </ns0:c>
      <ns0:c r="E704" s="152" t="n">
        <ns0:v>1</ns0:v>
      </ns0:c>
      <ns0:c r="F704" s="152" t="n">
        <ns0:v>4</ns0:v>
      </ns0:c>
      <ns0:c r="G704" s="152" t="n">
        <ns0:v>4</ns0:v>
      </ns0:c>
      <ns0:c r="H704" s="152" t="n">
        <ns0:v>0</ns0:v>
      </ns0:c>
      <ns0:c r="I704" s="149" t="n">
        <ns0:f>E704*G704</ns0:f>
        <ns0:v>4</ns0:v>
      </ns0:c>
      <ns0:c r="J704" s="149" t="n">
        <ns0:f>E704*(F704-G704)</ns0:f>
        <ns0:v>0</ns0:v>
      </ns0:c>
      <ns0:c r="K704" s="149" t="n">
        <ns0:f>IF(AND(B704="开局",G704=0,OR(D704="普通盒",D704="单颗暂存盒")),J704,0)</ns0:f>
        <ns0:v>0</ns0:v>
      </ns0:c>
      <ns0:c r="L704" s="149" t="n">
        <ns0:f>IF(AND(B704="开局",G704&gt;0,OR(D704="普通盒",D704="底部置顶盒",D704="炸弹盒")),J704,0)</ns0:f>
        <ns0:v>0</ns0:v>
      </ns0:c>
      <ns0:c r="M704" s="149" t="n">
        <ns0:f>IF(AND(B704="开局",OR(D704="固定颜色盒",D704="单向收纳盒")),J704,0)</ns0:f>
        <ns0:v>0</ns0:v>
      </ns0:c>
      <ns0:c r="N704" s="149" t="n">
        <ns0:f>IF(AND(B704="开局",OR(D704="数字盖盒",D704="普通冰冻盒",D704="数字冰冻盒",D704="数字冰冻单颗暂存盒")),J704,0)</ns0:f>
        <ns0:v>0</ns0:v>
      </ns0:c>
      <ns0:c r="O704" s="145" t="str">
        <ns0:f>IF(AND(E704&gt;0,E704=INT(E704),G704&gt;=0,G704&lt;=F704,G704=INT(G704),OR(AND(F704=1,OR(D704="单颗暂存盒",D704="数字冰冻单颗暂存盒")),AND(F704=4,NOT(OR(D704="单颗暂存盒",D704="数字冰冻单颗暂存盒")))),IF(OR(D704="数字盖盒",D704="数字冰冻盒",D704="数字冰冻单颗暂存盒"),AND(H704&gt;=1,H704=INT(H704)),H704=0),IF(B704="开局",AND(IF(OR(D704="数字盖盒",D704="普通冰冻盒",D704="数字冰冻盒",D704="炸弹盒",D704="底部置顶盒"),OR(G704=3,G704=4),TRUE),IF(OR(D704="单向收纳盒",D704="单颗暂存盒",D704="数字冰冻单颗暂存盒"),OR(G704=0,G704=1),TRUE),IF(OR(D704="固定颜色盒",D704="广告锁定周转盒"),G704=0,TRUE)),TRUE)),"通过","需调整")</ns0:f>
        <ns0:v>通过</ns0:v>
      </ns0:c>
      <ns0:c r="R704" s="149" t="n">
        <ns0:f>E704*H704</ns0:f>
        <ns0:v>0</ns0:v>
      </ns0:c>
      <ns0:c r="P704" s="145" t="str">
        <ns0:v>有限备货</ns0:v>
      </ns0:c>
      <ns0:c r="Q704" s="145" t="str">
        <ns0:v>逐味供需与可操作空间由固定层序校验</ns0:v>
      </ns0:c>
    </ns0:row>
    <ns0:row r="705" ht="21" customHeight="1">
      <ns0:c r="A705" s="149" t="n">
        <ns0:v>10</ns0:v>
      </ns0:c>
      <ns0:c r="B705" s="145" t="str">
        <ns0:v>备货</ns0:v>
      </ns0:c>
      <ns0:c r="C705" s="145" t="str">
        <ns0:v>FILL-010-STOCK</ns0:v>
      </ns0:c>
      <ns0:c r="D705" s="145" t="str">
        <ns0:v>普通盒</ns0:v>
      </ns0:c>
      <ns0:c r="E705" s="152" t="n">
        <ns0:v>2</ns0:v>
      </ns0:c>
      <ns0:c r="F705" s="152" t="n">
        <ns0:v>4</ns0:v>
      </ns0:c>
      <ns0:c r="G705" s="152" t="n">
        <ns0:v>4</ns0:v>
      </ns0:c>
      <ns0:c r="H705" s="152" t="n">
        <ns0:v>0</ns0:v>
      </ns0:c>
      <ns0:c r="I705" s="149" t="n">
        <ns0:f>E705*G705</ns0:f>
        <ns0:v>8</ns0:v>
      </ns0:c>
      <ns0:c r="J705" s="149" t="n">
        <ns0:f>E705*(F705-G705)</ns0:f>
        <ns0:v>0</ns0:v>
      </ns0:c>
      <ns0:c r="K705" s="149" t="n">
        <ns0:f>IF(AND(B705="开局",G705=0,OR(D705="普通盒",D705="单颗暂存盒")),J705,0)</ns0:f>
        <ns0:v>0</ns0:v>
      </ns0:c>
      <ns0:c r="L705" s="149" t="n">
        <ns0:f>IF(AND(B705="开局",G705&gt;0,OR(D705="普通盒",D705="底部置顶盒",D705="炸弹盒")),J705,0)</ns0:f>
        <ns0:v>0</ns0:v>
      </ns0:c>
      <ns0:c r="M705" s="149" t="n">
        <ns0:f>IF(AND(B705="开局",OR(D705="固定颜色盒",D705="单向收纳盒")),J705,0)</ns0:f>
        <ns0:v>0</ns0:v>
      </ns0:c>
      <ns0:c r="N705" s="149" t="n">
        <ns0:f>IF(AND(B705="开局",OR(D705="数字盖盒",D705="普通冰冻盒",D705="数字冰冻盒",D705="数字冰冻单颗暂存盒")),J705,0)</ns0:f>
        <ns0:v>0</ns0:v>
      </ns0:c>
      <ns0:c r="O705" s="145" t="str">
        <ns0:f>IF(AND(E705&gt;0,E705=INT(E705),G705&gt;=0,G705&lt;=F705,G705=INT(G705),OR(AND(F705=1,OR(D705="单颗暂存盒",D705="数字冰冻单颗暂存盒")),AND(F705=4,NOT(OR(D705="单颗暂存盒",D705="数字冰冻单颗暂存盒")))),IF(OR(D705="数字盖盒",D705="数字冰冻盒",D705="数字冰冻单颗暂存盒"),AND(H705&gt;=1,H705=INT(H705)),H705=0),IF(B705="开局",AND(IF(OR(D705="数字盖盒",D705="普通冰冻盒",D705="数字冰冻盒",D705="炸弹盒",D705="底部置顶盒"),OR(G705=3,G705=4),TRUE),IF(OR(D705="单向收纳盒",D705="单颗暂存盒",D705="数字冰冻单颗暂存盒"),OR(G705=0,G705=1),TRUE),IF(OR(D705="固定颜色盒",D705="广告锁定周转盒"),G705=0,TRUE)),TRUE)),"通过","需调整")</ns0:f>
        <ns0:v>通过</ns0:v>
      </ns0:c>
      <ns0:c r="R705" s="149" t="n">
        <ns0:f>E705*H705</ns0:f>
        <ns0:v>0</ns0:v>
      </ns0:c>
      <ns0:c r="P705" s="145" t="str">
        <ns0:v>有限备货</ns0:v>
      </ns0:c>
      <ns0:c r="Q705" s="145" t="str">
        <ns0:v>逐味供需与可操作空间由固定层序校验</ns0:v>
      </ns0:c>
    </ns0:row>
    <ns0:row ht="21" customHeight="1" r="706">
      <ns0:c r="A706" s="149" t="n">
        <ns0:v>19</ns0:v>
      </ns0:c>
      <ns0:c r="B706" s="145" t="str">
        <ns0:v>开局</ns0:v>
      </ns0:c>
      <ns0:c r="C706" s="145" t="str">
        <ns0:v>WAVE-019-07</ns0:v>
      </ns0:c>
      <ns0:c r="D706" s="145" t="str">
        <ns0:v>广告锁定周转盒</ns0:v>
      </ns0:c>
      <ns0:c r="E706" s="152" t="n">
        <ns0:v>2</ns0:v>
      </ns0:c>
      <ns0:c r="F706" s="152" t="n">
        <ns0:v>4</ns0:v>
      </ns0:c>
      <ns0:c r="G706" s="152" t="n">
        <ns0:v>0</ns0:v>
      </ns0:c>
      <ns0:c r="H706" s="152" t="n">
        <ns0:v>0</ns0:v>
      </ns0:c>
      <ns0:c r="I706" s="149" t="n">
        <ns0:f>E706*G706</ns0:f>
        <ns0:v>0</ns0:v>
      </ns0:c>
      <ns0:c r="J706" s="149" t="n">
        <ns0:f>E706*(F706-G706)</ns0:f>
        <ns0:v>8</ns0:v>
      </ns0:c>
      <ns0:c r="K706" s="149" t="n">
        <ns0:f>IF(AND(B706="开局",G706=0,OR(D706="普通盒",D706="单颗暂存盒")),J706,0)</ns0:f>
        <ns0:v>0</ns0:v>
      </ns0:c>
      <ns0:c r="L706" s="149" t="n">
        <ns0:f>IF(AND(B706="开局",G706&gt;0,OR(D706="普通盒",D706="底部置顶盒",D706="炸弹盒")),J706,0)</ns0:f>
        <ns0:v>0</ns0:v>
      </ns0:c>
      <ns0:c r="M706" s="149" t="n">
        <ns0:f>IF(AND(B706="开局",OR(D706="固定颜色盒",D706="单向收纳盒")),J706,0)</ns0:f>
        <ns0:v>0</ns0:v>
      </ns0:c>
      <ns0:c r="N706" s="149" t="n">
        <ns0:f>IF(AND(B706="开局",OR(D706="数字盖盒",D706="普通冰冻盒",D706="数字冰冻盒",D706="数字冰冻单颗暂存盒")),J706,0)</ns0:f>
        <ns0:v>0</ns0:v>
      </ns0:c>
      <ns0:c r="O706" s="145" t="str">
        <ns0:f>IF(AND(E706&gt;0,E706=INT(E706),G706&gt;=0,G706&lt;=F706,G706=INT(G706),OR(AND(F706=1,OR(D706="单颗暂存盒",D706="数字冰冻单颗暂存盒")),AND(F706=4,NOT(OR(D706="单颗暂存盒",D706="数字冰冻单颗暂存盒")))),IF(OR(D706="数字盖盒",D706="数字冰冻盒",D706="数字冰冻单颗暂存盒"),AND(H706&gt;=1,H706=INT(H706)),H706=0),IF(B706="开局",AND(IF(OR(D706="数字盖盒",D706="普通冰冻盒",D706="数字冰冻盒",D706="炸弹盒",D706="底部置顶盒"),OR(G706=3,G706=4),TRUE),IF(OR(D706="单向收纳盒",D706="单颗暂存盒",D706="数字冰冻单颗暂存盒"),OR(G706=0,G706=1),TRUE),IF(OR(D706="固定颜色盒",D706="广告锁定周转盒"),G706=0,TRUE)),TRUE)),"通过","需调整")</ns0:f>
        <ns0:v>通过</ns0:v>
      </ns0:c>
      <ns0:c r="P706" s="145" t="str">
        <ns0:v>确认方案装量</ns0:v>
      </ns0:c>
      <ns0:c r="Q706" s="145" t="str">
        <ns0:v>普通盒容量4；广告周转不计入免费空盒</ns0:v>
      </ns0:c>
      <ns0:c r="R706" s="149" t="n">
        <ns0:f>E706*H706</ns0:f>
        <ns0:v>0</ns0:v>
      </ns0:c>
    </ns0:row>
    <ns0:row ht="21" customHeight="1" r="707">
      <ns0:c r="A707" s="149" t="n">
        <ns0:v>20</ns0:v>
      </ns0:c>
      <ns0:c r="B707" s="145" t="str">
        <ns0:v>开局</ns0:v>
      </ns0:c>
      <ns0:c r="C707" s="145" t="str">
        <ns0:v>WAVE-020-01</ns0:v>
      </ns0:c>
      <ns0:c r="D707" s="145" t="str">
        <ns0:v>普通盒</ns0:v>
      </ns0:c>
      <ns0:c r="E707" s="152" t="n">
        <ns0:v>12</ns0:v>
      </ns0:c>
      <ns0:c r="F707" s="152" t="n">
        <ns0:v>4</ns0:v>
      </ns0:c>
      <ns0:c r="G707" s="152" t="n">
        <ns0:v>4</ns0:v>
      </ns0:c>
      <ns0:c r="H707" s="152" t="n">
        <ns0:v>0</ns0:v>
      </ns0:c>
      <ns0:c r="I707" s="149" t="n">
        <ns0:f>E707*G707</ns0:f>
        <ns0:v>48</ns0:v>
      </ns0:c>
      <ns0:c r="J707" s="149" t="n">
        <ns0:f>E707*(F707-G707)</ns0:f>
        <ns0:v>0</ns0:v>
      </ns0:c>
      <ns0:c r="K707" s="149" t="n">
        <ns0:f>IF(AND(B707="开局",G707=0,OR(D707="普通盒",D707="单颗暂存盒")),J707,0)</ns0:f>
        <ns0:v>0</ns0:v>
      </ns0:c>
      <ns0:c r="L707" s="149" t="n">
        <ns0:f>IF(AND(B707="开局",G707&gt;0,OR(D707="普通盒",D707="底部置顶盒",D707="炸弹盒")),J707,0)</ns0:f>
        <ns0:v>0</ns0:v>
      </ns0:c>
      <ns0:c r="M707" s="149" t="n">
        <ns0:f>IF(AND(B707="开局",OR(D707="固定颜色盒",D707="单向收纳盒")),J707,0)</ns0:f>
        <ns0:v>0</ns0:v>
      </ns0:c>
      <ns0:c r="N707" s="149" t="n">
        <ns0:f>IF(AND(B707="开局",OR(D707="数字盖盒",D707="普通冰冻盒",D707="数字冰冻盒",D707="数字冰冻单颗暂存盒")),J707,0)</ns0:f>
        <ns0:v>0</ns0:v>
      </ns0:c>
      <ns0:c r="O707" s="145" t="str">
        <ns0:f>IF(AND(E707&gt;0,E707=INT(E707),G707&gt;=0,G707&lt;=F707,G707=INT(G707),OR(AND(F707=1,OR(D707="单颗暂存盒",D707="数字冰冻单颗暂存盒")),AND(F707=4,NOT(OR(D707="单颗暂存盒",D707="数字冰冻单颗暂存盒")))),IF(OR(D707="数字盖盒",D707="数字冰冻盒",D707="数字冰冻单颗暂存盒"),AND(H707&gt;=1,H707=INT(H707)),H707=0),IF(B707="开局",AND(IF(OR(D707="数字盖盒",D707="普通冰冻盒",D707="数字冰冻盒",D707="炸弹盒",D707="底部置顶盒"),OR(G707=3,G707=4),TRUE),IF(OR(D707="单向收纳盒",D707="单颗暂存盒",D707="数字冰冻单颗暂存盒"),OR(G707=0,G707=1),TRUE),IF(OR(D707="固定颜色盒",D707="广告锁定周转盒"),G707=0,TRUE)),TRUE)),"通过","需调整")</ns0:f>
        <ns0:v>通过</ns0:v>
      </ns0:c>
      <ns0:c r="P707" s="145" t="str">
        <ns0:v>确认方案装量</ns0:v>
      </ns0:c>
      <ns0:c r="Q707" s="145" t="str">
        <ns0:v>层序JSON:{"reference":"2026-10-04 用户确认11—20关难度表；2026-10-05制作；层序自顶向下","slots":[{"group_id":"WAVE-020-01","layers":[4,4,0,12]},{"group_id":"WAVE-020-02","layers":[3,8,6]},{"group_id":"WAVE-020-01","layers":[2,8,4,2]},{"group_id":"WAVE-020-06","layers":[4,6,8,12]},{"group_id":"WAVE-020-01","layers":[0,12,2,0]},{"group_id":"WAVE-020-05","layers":[3,12,5,0]},{"group_id":"WAVE-020-01","layers":[12,3,3,12]},{"group_id":"WAVE-020-01","layers":[8,4,6,3]},{"group_id":"WAVE-020-03","layers":[12,8]},{"group_id":"WAVE-020-01","layers":[8,6,6,3]},{"group_id":"WAVE-020-02","layers":[8,0,2]},{"group_id":"WAVE-020-03","layers":[6,5]},{"group_id":"WAVE-020-03","layers":[4,2]},{"group_id":"WAVE-020-01","layers":[4,0,5,5]},{"group_id":"WAVE-020-01","layers":[3,5,2,4]},{"group_id":"WAVE-020-01","layers":[8,5,2,12]},{"group_id":"WAVE-020-01","layers":[4,6,5,12]},{"group_id":"WAVE-020-01","layers":[4,0,4,12]},{"group_id":"WAVE-020-01","layers":[2,5,12,3]},{"group_id":"WAVE-020-04","layers":[12,6,0,4]}],"stock":[],"demand_sequences":[[8,12,5,2,6,4,6,2,12],[12,0,4,3,3,8,0,4,5]]}</ns0:v>
      </ns0:c>
      <ns0:c r="R707" s="149" t="n">
        <ns0:f>E707*H707</ns0:f>
        <ns0:v>0</ns0:v>
      </ns0:c>
    </ns0:row>
    <ns0:row ht="21" customHeight="1" r="708">
      <ns0:c r="A708" s="149" t="n">
        <ns0:v>20</ns0:v>
      </ns0:c>
      <ns0:c r="B708" s="145" t="str">
        <ns0:v>开局</ns0:v>
      </ns0:c>
      <ns0:c r="C708" s="145" t="str">
        <ns0:v>WAVE-020-02</ns0:v>
      </ns0:c>
      <ns0:c r="D708" s="145" t="str">
        <ns0:v>普通盒</ns0:v>
      </ns0:c>
      <ns0:c r="E708" s="152" t="n">
        <ns0:v>2</ns0:v>
      </ns0:c>
      <ns0:c r="F708" s="152" t="n">
        <ns0:v>4</ns0:v>
      </ns0:c>
      <ns0:c r="G708" s="152" t="n">
        <ns0:v>3</ns0:v>
      </ns0:c>
      <ns0:c r="H708" s="152" t="n">
        <ns0:v>0</ns0:v>
      </ns0:c>
      <ns0:c r="I708" s="149" t="n">
        <ns0:f>E708*G708</ns0:f>
        <ns0:v>6</ns0:v>
      </ns0:c>
      <ns0:c r="J708" s="149" t="n">
        <ns0:f>E708*(F708-G708)</ns0:f>
        <ns0:v>2</ns0:v>
      </ns0:c>
      <ns0:c r="K708" s="149" t="n">
        <ns0:f>IF(AND(B708="开局",G708=0,OR(D708="普通盒",D708="单颗暂存盒")),J708,0)</ns0:f>
        <ns0:v>0</ns0:v>
      </ns0:c>
      <ns0:c r="L708" s="149" t="n">
        <ns0:f>IF(AND(B708="开局",G708&gt;0,OR(D708="普通盒",D708="底部置顶盒",D708="炸弹盒")),J708,0)</ns0:f>
        <ns0:v>2</ns0:v>
      </ns0:c>
      <ns0:c r="M708" s="149" t="n">
        <ns0:f>IF(AND(B708="开局",OR(D708="固定颜色盒",D708="单向收纳盒")),J708,0)</ns0:f>
        <ns0:v>0</ns0:v>
      </ns0:c>
      <ns0:c r="N708" s="149" t="n">
        <ns0:f>IF(AND(B708="开局",OR(D708="数字盖盒",D708="普通冰冻盒",D708="数字冰冻盒",D708="数字冰冻单颗暂存盒")),J708,0)</ns0:f>
        <ns0:v>0</ns0:v>
      </ns0:c>
      <ns0:c r="O708" s="145" t="str">
        <ns0:f>IF(AND(E708&gt;0,E708=INT(E708),G708&gt;=0,G708&lt;=F708,G708=INT(G708),OR(AND(F708=1,OR(D708="单颗暂存盒",D708="数字冰冻单颗暂存盒")),AND(F708=4,NOT(OR(D708="单颗暂存盒",D708="数字冰冻单颗暂存盒")))),IF(OR(D708="数字盖盒",D708="数字冰冻盒",D708="数字冰冻单颗暂存盒"),AND(H708&gt;=1,H708=INT(H708)),H708=0),IF(B708="开局",AND(IF(OR(D708="数字盖盒",D708="普通冰冻盒",D708="数字冰冻盒",D708="炸弹盒",D708="底部置顶盒"),OR(G708=3,G708=4),TRUE),IF(OR(D708="单向收纳盒",D708="单颗暂存盒",D708="数字冰冻单颗暂存盒"),OR(G708=0,G708=1),TRUE),IF(OR(D708="固定颜色盒",D708="广告锁定周转盒"),G708=0,TRUE)),TRUE)),"通过","需调整")</ns0:f>
        <ns0:v>通过</ns0:v>
      </ns0:c>
      <ns0:c r="P708" s="145" t="str">
        <ns0:v>确认方案装量</ns0:v>
      </ns0:c>
      <ns0:c r="Q708" s="145" t="str">
        <ns0:v>普通盒容量4；广告周转不计入免费空盒</ns0:v>
      </ns0:c>
      <ns0:c r="R708" s="149" t="n">
        <ns0:f>E708*H708</ns0:f>
        <ns0:v>0</ns0:v>
      </ns0:c>
    </ns0:row>
    <ns0:row ht="21" customHeight="1" r="709">
      <ns0:c r="A709" s="149" t="n">
        <ns0:v>20</ns0:v>
      </ns0:c>
      <ns0:c r="B709" s="145" t="str">
        <ns0:v>开局</ns0:v>
      </ns0:c>
      <ns0:c r="C709" s="145" t="str">
        <ns0:v>WAVE-020-03</ns0:v>
      </ns0:c>
      <ns0:c r="D709" s="145" t="str">
        <ns0:v>普通盒</ns0:v>
      </ns0:c>
      <ns0:c r="E709" s="152" t="n">
        <ns0:v>3</ns0:v>
      </ns0:c>
      <ns0:c r="F709" s="152" t="n">
        <ns0:v>4</ns0:v>
      </ns0:c>
      <ns0:c r="G709" s="152" t="n">
        <ns0:v>2</ns0:v>
      </ns0:c>
      <ns0:c r="H709" s="152" t="n">
        <ns0:v>0</ns0:v>
      </ns0:c>
      <ns0:c r="I709" s="149" t="n">
        <ns0:f>E709*G709</ns0:f>
        <ns0:v>6</ns0:v>
      </ns0:c>
      <ns0:c r="J709" s="149" t="n">
        <ns0:f>E709*(F709-G709)</ns0:f>
        <ns0:v>6</ns0:v>
      </ns0:c>
      <ns0:c r="K709" s="149" t="n">
        <ns0:f>IF(AND(B709="开局",G709=0,OR(D709="普通盒",D709="单颗暂存盒")),J709,0)</ns0:f>
        <ns0:v>0</ns0:v>
      </ns0:c>
      <ns0:c r="L709" s="149" t="n">
        <ns0:f>IF(AND(B709="开局",G709&gt;0,OR(D709="普通盒",D709="底部置顶盒",D709="炸弹盒")),J709,0)</ns0:f>
        <ns0:v>6</ns0:v>
      </ns0:c>
      <ns0:c r="M709" s="149" t="n">
        <ns0:f>IF(AND(B709="开局",OR(D709="固定颜色盒",D709="单向收纳盒")),J709,0)</ns0:f>
        <ns0:v>0</ns0:v>
      </ns0:c>
      <ns0:c r="N709" s="149" t="n">
        <ns0:f>IF(AND(B709="开局",OR(D709="数字盖盒",D709="普通冰冻盒",D709="数字冰冻盒",D709="数字冰冻单颗暂存盒")),J709,0)</ns0:f>
        <ns0:v>0</ns0:v>
      </ns0:c>
      <ns0:c r="O709" s="145" t="str">
        <ns0:f>IF(AND(E709&gt;0,E709=INT(E709),G709&gt;=0,G709&lt;=F709,G709=INT(G709),OR(AND(F709=1,OR(D709="单颗暂存盒",D709="数字冰冻单颗暂存盒")),AND(F709=4,NOT(OR(D709="单颗暂存盒",D709="数字冰冻单颗暂存盒")))),IF(OR(D709="数字盖盒",D709="数字冰冻盒",D709="数字冰冻单颗暂存盒"),AND(H709&gt;=1,H709=INT(H709)),H709=0),IF(B709="开局",AND(IF(OR(D709="数字盖盒",D709="普通冰冻盒",D709="数字冰冻盒",D709="炸弹盒",D709="底部置顶盒"),OR(G709=3,G709=4),TRUE),IF(OR(D709="单向收纳盒",D709="单颗暂存盒",D709="数字冰冻单颗暂存盒"),OR(G709=0,G709=1),TRUE),IF(OR(D709="固定颜色盒",D709="广告锁定周转盒"),G709=0,TRUE)),TRUE)),"通过","需调整")</ns0:f>
        <ns0:v>通过</ns0:v>
      </ns0:c>
      <ns0:c r="P709" s="145" t="str">
        <ns0:v>确认方案装量</ns0:v>
      </ns0:c>
      <ns0:c r="Q709" s="145" t="str">
        <ns0:v>普通盒容量4；广告周转不计入免费空盒</ns0:v>
      </ns0:c>
      <ns0:c r="R709" s="149" t="n">
        <ns0:f>E709*H709</ns0:f>
        <ns0:v>0</ns0:v>
      </ns0:c>
    </ns0:row>
    <ns0:row ht="21" customHeight="1" r="710">
      <ns0:c r="A710" s="149" t="n">
        <ns0:v>20</ns0:v>
      </ns0:c>
      <ns0:c r="B710" s="145" t="str">
        <ns0:v>开局</ns0:v>
      </ns0:c>
      <ns0:c r="C710" s="145" t="str">
        <ns0:v>WAVE-020-04</ns0:v>
      </ns0:c>
      <ns0:c r="D710" s="145" t="str">
        <ns0:v>普通冰冻盒</ns0:v>
      </ns0:c>
      <ns0:c r="E710" s="152" t="n">
        <ns0:v>1</ns0:v>
      </ns0:c>
      <ns0:c r="F710" s="152" t="n">
        <ns0:v>4</ns0:v>
      </ns0:c>
      <ns0:c r="G710" s="152" t="n">
        <ns0:v>4</ns0:v>
      </ns0:c>
      <ns0:c r="H710" s="152" t="n">
        <ns0:v>0</ns0:v>
      </ns0:c>
      <ns0:c r="I710" s="149" t="n">
        <ns0:f>E710*G710</ns0:f>
        <ns0:v>4</ns0:v>
      </ns0:c>
      <ns0:c r="J710" s="149" t="n">
        <ns0:f>E710*(F710-G710)</ns0:f>
        <ns0:v>0</ns0:v>
      </ns0:c>
      <ns0:c r="K710" s="149" t="n">
        <ns0:f>IF(AND(B710="开局",G710=0,OR(D710="普通盒",D710="单颗暂存盒")),J710,0)</ns0:f>
        <ns0:v>0</ns0:v>
      </ns0:c>
      <ns0:c r="L710" s="149" t="n">
        <ns0:f>IF(AND(B710="开局",G710&gt;0,OR(D710="普通盒",D710="底部置顶盒",D710="炸弹盒")),J710,0)</ns0:f>
        <ns0:v>0</ns0:v>
      </ns0:c>
      <ns0:c r="M710" s="149" t="n">
        <ns0:f>IF(AND(B710="开局",OR(D710="固定颜色盒",D710="单向收纳盒")),J710,0)</ns0:f>
        <ns0:v>0</ns0:v>
      </ns0:c>
      <ns0:c r="N710" s="149" t="n">
        <ns0:f>IF(AND(B710="开局",OR(D710="数字盖盒",D710="普通冰冻盒",D710="数字冰冻盒",D710="数字冰冻单颗暂存盒")),J710,0)</ns0:f>
        <ns0:v>0</ns0:v>
      </ns0:c>
      <ns0:c r="O710" s="145" t="str">
        <ns0:f>IF(AND(E710&gt;0,E710=INT(E710),G710&gt;=0,G710&lt;=F710,G710=INT(G710),OR(AND(F710=1,OR(D710="单颗暂存盒",D710="数字冰冻单颗暂存盒")),AND(F710=4,NOT(OR(D710="单颗暂存盒",D710="数字冰冻单颗暂存盒")))),IF(OR(D710="数字盖盒",D710="数字冰冻盒",D710="数字冰冻单颗暂存盒"),AND(H710&gt;=1,H710=INT(H710)),H710=0),IF(B710="开局",AND(IF(OR(D710="数字盖盒",D710="普通冰冻盒",D710="数字冰冻盒",D710="炸弹盒",D710="底部置顶盒"),OR(G710=3,G710=4),TRUE),IF(OR(D710="单向收纳盒",D710="单颗暂存盒",D710="数字冰冻单颗暂存盒"),OR(G710=0,G710=1),TRUE),IF(OR(D710="固定颜色盒",D710="广告锁定周转盒"),G710=0,TRUE)),TRUE)),"通过","需调整")</ns0:f>
        <ns0:v>通过</ns0:v>
      </ns0:c>
      <ns0:c r="P710" s="145" t="str">
        <ns0:v>确认方案装量</ns0:v>
      </ns0:c>
      <ns0:c r="Q710" s="145" t="str">
        <ns0:v>普通盒容量4；广告周转不计入免费空盒</ns0:v>
      </ns0:c>
      <ns0:c r="R710" s="149" t="n">
        <ns0:f>E710*H710</ns0:f>
        <ns0:v>0</ns0:v>
      </ns0:c>
    </ns0:row>
    <ns0:row ht="21" customHeight="1" r="711">
      <ns0:c r="A711" s="149" t="n">
        <ns0:v>20</ns0:v>
      </ns0:c>
      <ns0:c r="B711" s="145" t="str">
        <ns0:v>开局</ns0:v>
      </ns0:c>
      <ns0:c r="C711" s="145" t="str">
        <ns0:v>WAVE-020-05</ns0:v>
      </ns0:c>
      <ns0:c r="D711" s="145" t="str">
        <ns0:v>普通冰冻盒</ns0:v>
      </ns0:c>
      <ns0:c r="E711" s="152" t="n">
        <ns0:v>1</ns0:v>
      </ns0:c>
      <ns0:c r="F711" s="152" t="n">
        <ns0:v>4</ns0:v>
      </ns0:c>
      <ns0:c r="G711" s="152" t="n">
        <ns0:v>4</ns0:v>
      </ns0:c>
      <ns0:c r="H711" s="152" t="n">
        <ns0:v>0</ns0:v>
      </ns0:c>
      <ns0:c r="I711" s="149" t="n">
        <ns0:f>E711*G711</ns0:f>
        <ns0:v>4</ns0:v>
      </ns0:c>
      <ns0:c r="J711" s="149" t="n">
        <ns0:f>E711*(F711-G711)</ns0:f>
        <ns0:v>0</ns0:v>
      </ns0:c>
      <ns0:c r="K711" s="149" t="n">
        <ns0:f>IF(AND(B711="开局",G711=0,OR(D711="普通盒",D711="单颗暂存盒")),J711,0)</ns0:f>
        <ns0:v>0</ns0:v>
      </ns0:c>
      <ns0:c r="L711" s="149" t="n">
        <ns0:f>IF(AND(B711="开局",G711&gt;0,OR(D711="普通盒",D711="底部置顶盒",D711="炸弹盒")),J711,0)</ns0:f>
        <ns0:v>0</ns0:v>
      </ns0:c>
      <ns0:c r="M711" s="149" t="n">
        <ns0:f>IF(AND(B711="开局",OR(D711="固定颜色盒",D711="单向收纳盒")),J711,0)</ns0:f>
        <ns0:v>0</ns0:v>
      </ns0:c>
      <ns0:c r="N711" s="149" t="n">
        <ns0:f>IF(AND(B711="开局",OR(D711="数字盖盒",D711="普通冰冻盒",D711="数字冰冻盒",D711="数字冰冻单颗暂存盒")),J711,0)</ns0:f>
        <ns0:v>0</ns0:v>
      </ns0:c>
      <ns0:c r="O711" s="145" t="str">
        <ns0:f>IF(AND(E711&gt;0,E711=INT(E711),G711&gt;=0,G711&lt;=F711,G711=INT(G711),OR(AND(F711=1,OR(D711="单颗暂存盒",D711="数字冰冻单颗暂存盒")),AND(F711=4,NOT(OR(D711="单颗暂存盒",D711="数字冰冻单颗暂存盒")))),IF(OR(D711="数字盖盒",D711="数字冰冻盒",D711="数字冰冻单颗暂存盒"),AND(H711&gt;=1,H711=INT(H711)),H711=0),IF(B711="开局",AND(IF(OR(D711="数字盖盒",D711="普通冰冻盒",D711="数字冰冻盒",D711="炸弹盒",D711="底部置顶盒"),OR(G711=3,G711=4),TRUE),IF(OR(D711="单向收纳盒",D711="单颗暂存盒",D711="数字冰冻单颗暂存盒"),OR(G711=0,G711=1),TRUE),IF(OR(D711="固定颜色盒",D711="广告锁定周转盒"),G711=0,TRUE)),TRUE)),"通过","需调整")</ns0:f>
        <ns0:v>通过</ns0:v>
      </ns0:c>
      <ns0:c r="P711" s="145" t="str">
        <ns0:v>确认方案装量</ns0:v>
      </ns0:c>
      <ns0:c r="Q711" s="145" t="str">
        <ns0:v>普通盒容量4；广告周转不计入免费空盒</ns0:v>
      </ns0:c>
      <ns0:c r="R711" s="149" t="n">
        <ns0:f>E711*H711</ns0:f>
        <ns0:v>0</ns0:v>
      </ns0:c>
    </ns0:row>
    <ns0:row ht="21" customHeight="1" r="712">
      <ns0:c r="A712" s="149" t="n">
        <ns0:v>20</ns0:v>
      </ns0:c>
      <ns0:c r="B712" s="145" t="str">
        <ns0:v>开局</ns0:v>
      </ns0:c>
      <ns0:c r="C712" s="145" t="str">
        <ns0:v>WAVE-020-06</ns0:v>
      </ns0:c>
      <ns0:c r="D712" s="145" t="str">
        <ns0:v>数字盖盒</ns0:v>
      </ns0:c>
      <ns0:c r="E712" s="152" t="n">
        <ns0:v>1</ns0:v>
      </ns0:c>
      <ns0:c r="F712" s="152" t="n">
        <ns0:v>4</ns0:v>
      </ns0:c>
      <ns0:c r="G712" s="152" t="n">
        <ns0:v>4</ns0:v>
      </ns0:c>
      <ns0:c r="H712" s="152" t="n">
        <ns0:v>1</ns0:v>
      </ns0:c>
      <ns0:c r="I712" s="149" t="n">
        <ns0:f>E712*G712</ns0:f>
        <ns0:v>4</ns0:v>
      </ns0:c>
      <ns0:c r="J712" s="149" t="n">
        <ns0:f>E712*(F712-G712)</ns0:f>
        <ns0:v>0</ns0:v>
      </ns0:c>
      <ns0:c r="K712" s="149" t="n">
        <ns0:f>IF(AND(B712="开局",G712=0,OR(D712="普通盒",D712="单颗暂存盒")),J712,0)</ns0:f>
        <ns0:v>0</ns0:v>
      </ns0:c>
      <ns0:c r="L712" s="149" t="n">
        <ns0:f>IF(AND(B712="开局",G712&gt;0,OR(D712="普通盒",D712="底部置顶盒",D712="炸弹盒")),J712,0)</ns0:f>
        <ns0:v>0</ns0:v>
      </ns0:c>
      <ns0:c r="M712" s="149" t="n">
        <ns0:f>IF(AND(B712="开局",OR(D712="固定颜色盒",D712="单向收纳盒")),J712,0)</ns0:f>
        <ns0:v>0</ns0:v>
      </ns0:c>
      <ns0:c r="N712" s="149" t="n">
        <ns0:f>IF(AND(B712="开局",OR(D712="数字盖盒",D712="普通冰冻盒",D712="数字冰冻盒",D712="数字冰冻单颗暂存盒")),J712,0)</ns0:f>
        <ns0:v>0</ns0:v>
      </ns0:c>
      <ns0:c r="O712" s="145" t="str">
        <ns0:f>IF(AND(E712&gt;0,E712=INT(E712),G712&gt;=0,G712&lt;=F712,G712=INT(G712),OR(AND(F712=1,OR(D712="单颗暂存盒",D712="数字冰冻单颗暂存盒")),AND(F712=4,NOT(OR(D712="单颗暂存盒",D712="数字冰冻单颗暂存盒")))),IF(OR(D712="数字盖盒",D712="数字冰冻盒",D712="数字冰冻单颗暂存盒"),AND(H712&gt;=1,H712=INT(H712)),H712=0),IF(B712="开局",AND(IF(OR(D712="数字盖盒",D712="普通冰冻盒",D712="数字冰冻盒",D712="炸弹盒",D712="底部置顶盒"),OR(G712=3,G712=4),TRUE),IF(OR(D712="单向收纳盒",D712="单颗暂存盒",D712="数字冰冻单颗暂存盒"),OR(G712=0,G712=1),TRUE),IF(OR(D712="固定颜色盒",D712="广告锁定周转盒"),G712=0,TRUE)),TRUE)),"通过","需调整")</ns0:f>
        <ns0:v>通过</ns0:v>
      </ns0:c>
      <ns0:c r="P712" s="145" t="str">
        <ns0:v>确认方案装量</ns0:v>
      </ns0:c>
      <ns0:c r="Q712" s="145" t="str">
        <ns0:v>普通盒容量4；广告周转不计入免费空盒</ns0:v>
      </ns0:c>
      <ns0:c r="R712" s="149" t="n">
        <ns0:f>E712*H712</ns0:f>
        <ns0:v>1</ns0:v>
      </ns0:c>
    </ns0:row>
    <ns0:row ht="21" customHeight="1" r="713">
      <ns0:c r="A713" s="149" t="n">
        <ns0:v>20</ns0:v>
      </ns0:c>
      <ns0:c r="B713" s="145" t="str">
        <ns0:v>开局</ns0:v>
      </ns0:c>
      <ns0:c r="C713" s="145" t="str">
        <ns0:v>WAVE-020-07</ns0:v>
      </ns0:c>
      <ns0:c r="D713" s="145" t="str">
        <ns0:v>广告锁定周转盒</ns0:v>
      </ns0:c>
      <ns0:c r="E713" s="152" t="n">
        <ns0:v>2</ns0:v>
      </ns0:c>
      <ns0:c r="F713" s="152" t="n">
        <ns0:v>4</ns0:v>
      </ns0:c>
      <ns0:c r="G713" s="152" t="n">
        <ns0:v>0</ns0:v>
      </ns0:c>
      <ns0:c r="H713" s="152" t="n">
        <ns0:v>0</ns0:v>
      </ns0:c>
      <ns0:c r="I713" s="149" t="n">
        <ns0:f>E713*G713</ns0:f>
        <ns0:v>0</ns0:v>
      </ns0:c>
      <ns0:c r="J713" s="149" t="n">
        <ns0:f>E713*(F713-G713)</ns0:f>
        <ns0:v>8</ns0:v>
      </ns0:c>
      <ns0:c r="K713" s="149" t="n">
        <ns0:f>IF(AND(B713="开局",G713=0,OR(D713="普通盒",D713="单颗暂存盒")),J713,0)</ns0:f>
        <ns0:v>0</ns0:v>
      </ns0:c>
      <ns0:c r="L713" s="149" t="n">
        <ns0:f>IF(AND(B713="开局",G713&gt;0,OR(D713="普通盒",D713="底部置顶盒",D713="炸弹盒")),J713,0)</ns0:f>
        <ns0:v>0</ns0:v>
      </ns0:c>
      <ns0:c r="M713" s="149" t="n">
        <ns0:f>IF(AND(B713="开局",OR(D713="固定颜色盒",D713="单向收纳盒")),J713,0)</ns0:f>
        <ns0:v>0</ns0:v>
      </ns0:c>
      <ns0:c r="N713" s="149" t="n">
        <ns0:f>IF(AND(B713="开局",OR(D713="数字盖盒",D713="普通冰冻盒",D713="数字冰冻盒",D713="数字冰冻单颗暂存盒")),J713,0)</ns0:f>
        <ns0:v>0</ns0:v>
      </ns0:c>
      <ns0:c r="O713" s="145" t="str">
        <ns0:f>IF(AND(E713&gt;0,E713=INT(E713),G713&gt;=0,G713&lt;=F713,G713=INT(G713),OR(AND(F713=1,OR(D713="单颗暂存盒",D713="数字冰冻单颗暂存盒")),AND(F713=4,NOT(OR(D713="单颗暂存盒",D713="数字冰冻单颗暂存盒")))),IF(OR(D713="数字盖盒",D713="数字冰冻盒",D713="数字冰冻单颗暂存盒"),AND(H713&gt;=1,H713=INT(H713)),H713=0),IF(B713="开局",AND(IF(OR(D713="数字盖盒",D713="普通冰冻盒",D713="数字冰冻盒",D713="炸弹盒",D713="底部置顶盒"),OR(G713=3,G713=4),TRUE),IF(OR(D713="单向收纳盒",D713="单颗暂存盒",D713="数字冰冻单颗暂存盒"),OR(G713=0,G713=1),TRUE),IF(OR(D713="固定颜色盒",D713="广告锁定周转盒"),G713=0,TRUE)),TRUE)),"通过","需调整")</ns0:f>
        <ns0:v>通过</ns0:v>
      </ns0:c>
      <ns0:c r="P713" s="145" t="str">
        <ns0:v>确认方案装量</ns0:v>
      </ns0:c>
      <ns0:c r="Q713" s="145" t="str">
        <ns0:v>普通盒容量4；广告周转不计入免费空盒</ns0:v>
      </ns0:c>
      <ns0:c r="R713" s="149" t="n">
        <ns0:f>E713*H713</ns0:f>
        <ns0:v>0</ns0:v>
      </ns0:c>
    </ns0:row>
    <ns0:row ht="21" customHeight="1" r="714">
      <ns0:c r="A714" s="149" t="n">
        <ns0:v>30</ns0:v>
      </ns0:c>
      <ns0:c r="B714" s="145" t="str">
        <ns0:v>开局</ns0:v>
      </ns0:c>
      <ns0:c r="C714" s="145" t="str">
        <ns0:v>WAVE-030-04</ns0:v>
      </ns0:c>
      <ns0:c r="D714" s="145" t="str">
        <ns0:v>普通盒</ns0:v>
      </ns0:c>
      <ns0:c r="E714" s="152" t="n">
        <ns0:v>1</ns0:v>
      </ns0:c>
      <ns0:c r="F714" s="152" t="n">
        <ns0:v>4</ns0:v>
      </ns0:c>
      <ns0:c r="G714" s="152" t="n">
        <ns0:v>0</ns0:v>
      </ns0:c>
      <ns0:c r="H714" s="152" t="n">
        <ns0:v>0</ns0:v>
      </ns0:c>
      <ns0:c r="I714" s="149" t="n">
        <ns0:f>E714*G714</ns0:f>
        <ns0:v>0</ns0:v>
      </ns0:c>
      <ns0:c r="J714" s="149" t="n">
        <ns0:f>E714*(F714-G714)</ns0:f>
        <ns0:v>4</ns0:v>
      </ns0:c>
      <ns0:c r="K714" s="149" t="n">
        <ns0:f>IF(AND(B714="开局",G714=0,OR(D714="普通盒",D714="单颗暂存盒")),J714,0)</ns0:f>
        <ns0:v>4</ns0:v>
      </ns0:c>
      <ns0:c r="L714" s="149" t="n">
        <ns0:f>IF(AND(B714="开局",G714&gt;0,OR(D714="普通盒",D714="底部置顶盒",D714="炸弹盒")),J714,0)</ns0:f>
        <ns0:v>0</ns0:v>
      </ns0:c>
      <ns0:c r="M714" s="149" t="n">
        <ns0:f>IF(AND(B714="开局",OR(D714="固定颜色盒",D714="单向收纳盒")),J714,0)</ns0:f>
        <ns0:v>0</ns0:v>
      </ns0:c>
      <ns0:c r="N714" s="149" t="n">
        <ns0:f>IF(AND(B714="开局",OR(D714="数字盖盒",D714="普通冰冻盒",D714="数字冰冻盒",D714="数字冰冻单颗暂存盒")),J714,0)</ns0:f>
        <ns0:v>0</ns0:v>
      </ns0:c>
      <ns0:c r="O714" s="145" t="str">
        <ns0:f>IF(AND(E714&gt;0,E714=INT(E714),G714&gt;=0,G714&lt;=F714,G714=INT(G714),OR(AND(F714=1,OR(D714="单颗暂存盒",D714="数字冰冻单颗暂存盒")),AND(F714=4,NOT(OR(D714="单颗暂存盒",D714="数字冰冻单颗暂存盒")))),IF(OR(D714="数字盖盒",D714="数字冰冻盒",D714="数字冰冻单颗暂存盒"),AND(H714&gt;=1,H714=INT(H714)),H714=0),IF(B714="开局",AND(IF(OR(D714="数字盖盒",D714="普通冰冻盒",D714="数字冰冻盒",D714="炸弹盒",D714="底部置顶盒"),OR(G714=3,G714=4),TRUE),IF(OR(D714="单向收纳盒",D714="单颗暂存盒",D714="数字冰冻单颗暂存盒"),OR(G714=0,G714=1),TRUE),IF(OR(D714="固定颜色盒",D714="广告锁定周转盒"),G714=0,TRUE)),TRUE)),"通过","需调整")</ns0:f>
        <ns0:v>通过</ns0:v>
      </ns0:c>
      <ns0:c r="P714" s="145" t="str">
        <ns0:v>确认方案装量</ns0:v>
      </ns0:c>
      <ns0:c r="Q714" s="145" t="str">
        <ns0:v>普通盒容量4；单颗盒容量1；广告周转不计免费空间</ns0:v>
      </ns0:c>
      <ns0:c r="R714" s="149" t="n">
        <ns0:f>E714*H714</ns0:f>
        <ns0:v>0</ns0:v>
      </ns0:c>
    </ns0:row>
    <ns0:row ht="21" customHeight="1" r="715">
      <ns0:c r="A715" s="149" t="n">
        <ns0:v>30</ns0:v>
      </ns0:c>
      <ns0:c r="B715" s="145" t="str">
        <ns0:v>开局</ns0:v>
      </ns0:c>
      <ns0:c r="C715" s="145" t="str">
        <ns0:v>WAVE-030-05</ns0:v>
      </ns0:c>
      <ns0:c r="D715" s="145" t="str">
        <ns0:v>数字冰冻盒</ns0:v>
      </ns0:c>
      <ns0:c r="E715" s="152" t="n">
        <ns0:v>1</ns0:v>
      </ns0:c>
      <ns0:c r="F715" s="152" t="n">
        <ns0:v>4</ns0:v>
      </ns0:c>
      <ns0:c r="G715" s="152" t="n">
        <ns0:v>4</ns0:v>
      </ns0:c>
      <ns0:c r="H715" s="152" t="n">
        <ns0:v>1</ns0:v>
      </ns0:c>
      <ns0:c r="I715" s="149" t="n">
        <ns0:f>E715*G715</ns0:f>
        <ns0:v>4</ns0:v>
      </ns0:c>
      <ns0:c r="J715" s="149" t="n">
        <ns0:f>E715*(F715-G715)</ns0:f>
        <ns0:v>0</ns0:v>
      </ns0:c>
      <ns0:c r="K715" s="149" t="n">
        <ns0:f>IF(AND(B715="开局",G715=0,OR(D715="普通盒",D715="单颗暂存盒")),J715,0)</ns0:f>
        <ns0:v>0</ns0:v>
      </ns0:c>
      <ns0:c r="L715" s="149" t="n">
        <ns0:f>IF(AND(B715="开局",G715&gt;0,OR(D715="普通盒",D715="底部置顶盒",D715="炸弹盒")),J715,0)</ns0:f>
        <ns0:v>0</ns0:v>
      </ns0:c>
      <ns0:c r="M715" s="149" t="n">
        <ns0:f>IF(AND(B715="开局",OR(D715="固定颜色盒",D715="单向收纳盒")),J715,0)</ns0:f>
        <ns0:v>0</ns0:v>
      </ns0:c>
      <ns0:c r="N715" s="149" t="n">
        <ns0:f>IF(AND(B715="开局",OR(D715="数字盖盒",D715="普通冰冻盒",D715="数字冰冻盒",D715="数字冰冻单颗暂存盒")),J715,0)</ns0:f>
        <ns0:v>0</ns0:v>
      </ns0:c>
      <ns0:c r="O715" s="145" t="str">
        <ns0:f>IF(AND(E715&gt;0,E715=INT(E715),G715&gt;=0,G715&lt;=F715,G715=INT(G715),OR(AND(F715=1,OR(D715="单颗暂存盒",D715="数字冰冻单颗暂存盒")),AND(F715=4,NOT(OR(D715="单颗暂存盒",D715="数字冰冻单颗暂存盒")))),IF(OR(D715="数字盖盒",D715="数字冰冻盒",D715="数字冰冻单颗暂存盒"),AND(H715&gt;=1,H715=INT(H715)),H715=0),IF(B715="开局",AND(IF(OR(D715="数字盖盒",D715="普通冰冻盒",D715="数字冰冻盒",D715="炸弹盒",D715="底部置顶盒"),OR(G715=3,G715=4),TRUE),IF(OR(D715="单向收纳盒",D715="单颗暂存盒",D715="数字冰冻单颗暂存盒"),OR(G715=0,G715=1),TRUE),IF(OR(D715="固定颜色盒",D715="广告锁定周转盒"),G715=0,TRUE)),TRUE)),"通过","需调整")</ns0:f>
        <ns0:v>通过</ns0:v>
      </ns0:c>
      <ns0:c r="P715" s="145" t="str">
        <ns0:v>确认方案装量</ns0:v>
      </ns0:c>
      <ns0:c r="Q715" s="145" t="str">
        <ns0:v>普通盒容量4；单颗盒容量1；广告周转不计免费空间</ns0:v>
      </ns0:c>
      <ns0:c r="R715" s="149" t="n">
        <ns0:f>E715*H715</ns0:f>
        <ns0:v>1</ns0:v>
      </ns0:c>
    </ns0:row>
    <ns0:row ht="21" customHeight="1" r="716">
      <ns0:c r="A716" s="149" t="n">
        <ns0:v>30</ns0:v>
      </ns0:c>
      <ns0:c r="B716" s="145" t="str">
        <ns0:v>开局</ns0:v>
      </ns0:c>
      <ns0:c r="C716" s="145" t="str">
        <ns0:v>WAVE-030-06</ns0:v>
      </ns0:c>
      <ns0:c r="D716" s="145" t="str">
        <ns0:v>数字冰冻盒</ns0:v>
      </ns0:c>
      <ns0:c r="E716" s="152" t="n">
        <ns0:v>1</ns0:v>
      </ns0:c>
      <ns0:c r="F716" s="152" t="n">
        <ns0:v>4</ns0:v>
      </ns0:c>
      <ns0:c r="G716" s="152" t="n">
        <ns0:v>4</ns0:v>
      </ns0:c>
      <ns0:c r="H716" s="152" t="n">
        <ns0:v>1</ns0:v>
      </ns0:c>
      <ns0:c r="I716" s="149" t="n">
        <ns0:f>E716*G716</ns0:f>
        <ns0:v>4</ns0:v>
      </ns0:c>
      <ns0:c r="J716" s="149" t="n">
        <ns0:f>E716*(F716-G716)</ns0:f>
        <ns0:v>0</ns0:v>
      </ns0:c>
      <ns0:c r="K716" s="149" t="n">
        <ns0:f>IF(AND(B716="开局",G716=0,OR(D716="普通盒",D716="单颗暂存盒")),J716,0)</ns0:f>
        <ns0:v>0</ns0:v>
      </ns0:c>
      <ns0:c r="L716" s="149" t="n">
        <ns0:f>IF(AND(B716="开局",G716&gt;0,OR(D716="普通盒",D716="底部置顶盒",D716="炸弹盒")),J716,0)</ns0:f>
        <ns0:v>0</ns0:v>
      </ns0:c>
      <ns0:c r="M716" s="149" t="n">
        <ns0:f>IF(AND(B716="开局",OR(D716="固定颜色盒",D716="单向收纳盒")),J716,0)</ns0:f>
        <ns0:v>0</ns0:v>
      </ns0:c>
      <ns0:c r="N716" s="149" t="n">
        <ns0:f>IF(AND(B716="开局",OR(D716="数字盖盒",D716="普通冰冻盒",D716="数字冰冻盒",D716="数字冰冻单颗暂存盒")),J716,0)</ns0:f>
        <ns0:v>0</ns0:v>
      </ns0:c>
      <ns0:c r="O716" s="145" t="str">
        <ns0:f>IF(AND(E716&gt;0,E716=INT(E716),G716&gt;=0,G716&lt;=F716,G716=INT(G716),OR(AND(F716=1,OR(D716="单颗暂存盒",D716="数字冰冻单颗暂存盒")),AND(F716=4,NOT(OR(D716="单颗暂存盒",D716="数字冰冻单颗暂存盒")))),IF(OR(D716="数字盖盒",D716="数字冰冻盒",D716="数字冰冻单颗暂存盒"),AND(H716&gt;=1,H716=INT(H716)),H716=0),IF(B716="开局",AND(IF(OR(D716="数字盖盒",D716="普通冰冻盒",D716="数字冰冻盒",D716="炸弹盒",D716="底部置顶盒"),OR(G716=3,G716=4),TRUE),IF(OR(D716="单向收纳盒",D716="单颗暂存盒",D716="数字冰冻单颗暂存盒"),OR(G716=0,G716=1),TRUE),IF(OR(D716="固定颜色盒",D716="广告锁定周转盒"),G716=0,TRUE)),TRUE)),"通过","需调整")</ns0:f>
        <ns0:v>通过</ns0:v>
      </ns0:c>
      <ns0:c r="P716" s="145" t="str">
        <ns0:v>确认方案装量</ns0:v>
      </ns0:c>
      <ns0:c r="Q716" s="145" t="str">
        <ns0:v>普通盒容量4；单颗盒容量1；广告周转不计免费空间</ns0:v>
      </ns0:c>
      <ns0:c r="R716" s="149" t="n">
        <ns0:f>E716*H716</ns0:f>
        <ns0:v>1</ns0:v>
      </ns0:c>
    </ns0:row>
    <ns0:row ht="21" customHeight="1" r="717">
      <ns0:c r="A717" s="149" t="n">
        <ns0:v>30</ns0:v>
      </ns0:c>
      <ns0:c r="B717" s="145" t="str">
        <ns0:v>开局</ns0:v>
      </ns0:c>
      <ns0:c r="C717" s="145" t="str">
        <ns0:v>WAVE-030-07</ns0:v>
      </ns0:c>
      <ns0:c r="D717" s="145" t="str">
        <ns0:v>单颗暂存盒</ns0:v>
      </ns0:c>
      <ns0:c r="E717" s="152" t="n">
        <ns0:v>1</ns0:v>
      </ns0:c>
      <ns0:c r="F717" s="152" t="n">
        <ns0:v>1</ns0:v>
      </ns0:c>
      <ns0:c r="G717" s="152" t="n">
        <ns0:v>0</ns0:v>
      </ns0:c>
      <ns0:c r="H717" s="152" t="n">
        <ns0:v>0</ns0:v>
      </ns0:c>
      <ns0:c r="I717" s="149" t="n">
        <ns0:f>E717*G717</ns0:f>
        <ns0:v>0</ns0:v>
      </ns0:c>
      <ns0:c r="J717" s="149" t="n">
        <ns0:f>E717*(F717-G717)</ns0:f>
        <ns0:v>1</ns0:v>
      </ns0:c>
      <ns0:c r="K717" s="149" t="n">
        <ns0:f>IF(AND(B717="开局",G717=0,OR(D717="普通盒",D717="单颗暂存盒")),J717,0)</ns0:f>
        <ns0:v>1</ns0:v>
      </ns0:c>
      <ns0:c r="L717" s="149" t="n">
        <ns0:f>IF(AND(B717="开局",G717&gt;0,OR(D717="普通盒",D717="底部置顶盒",D717="炸弹盒")),J717,0)</ns0:f>
        <ns0:v>0</ns0:v>
      </ns0:c>
      <ns0:c r="M717" s="149" t="n">
        <ns0:f>IF(AND(B717="开局",OR(D717="固定颜色盒",D717="单向收纳盒")),J717,0)</ns0:f>
        <ns0:v>0</ns0:v>
      </ns0:c>
      <ns0:c r="N717" s="149" t="n">
        <ns0:f>IF(AND(B717="开局",OR(D717="数字盖盒",D717="普通冰冻盒",D717="数字冰冻盒",D717="数字冰冻单颗暂存盒")),J717,0)</ns0:f>
        <ns0:v>0</ns0:v>
      </ns0:c>
      <ns0:c r="O717" s="145" t="str">
        <ns0:f>IF(AND(E717&gt;0,E717=INT(E717),G717&gt;=0,G717&lt;=F717,G717=INT(G717),OR(AND(F717=1,OR(D717="单颗暂存盒",D717="数字冰冻单颗暂存盒")),AND(F717=4,NOT(OR(D717="单颗暂存盒",D717="数字冰冻单颗暂存盒")))),IF(OR(D717="数字盖盒",D717="数字冰冻盒",D717="数字冰冻单颗暂存盒"),AND(H717&gt;=1,H717=INT(H717)),H717=0),IF(B717="开局",AND(IF(OR(D717="数字盖盒",D717="普通冰冻盒",D717="数字冰冻盒",D717="炸弹盒",D717="底部置顶盒"),OR(G717=3,G717=4),TRUE),IF(OR(D717="单向收纳盒",D717="单颗暂存盒",D717="数字冰冻单颗暂存盒"),OR(G717=0,G717=1),TRUE),IF(OR(D717="固定颜色盒",D717="广告锁定周转盒"),G717=0,TRUE)),TRUE)),"通过","需调整")</ns0:f>
        <ns0:v>通过</ns0:v>
      </ns0:c>
      <ns0:c r="P717" s="145" t="str">
        <ns0:v>确认方案装量</ns0:v>
      </ns0:c>
      <ns0:c r="Q717" s="145" t="str">
        <ns0:v>普通盒容量4；单颗盒容量1；广告周转不计免费空间</ns0:v>
      </ns0:c>
      <ns0:c r="R717" s="149" t="n">
        <ns0:f>E717*H717</ns0:f>
        <ns0:v>0</ns0:v>
      </ns0:c>
    </ns0:row>
    <ns0:row ht="21" customHeight="1" r="718">
      <ns0:c r="A718" s="149" t="n">
        <ns0:v>30</ns0:v>
      </ns0:c>
      <ns0:c r="B718" s="145" t="str">
        <ns0:v>开局</ns0:v>
      </ns0:c>
      <ns0:c r="C718" s="145" t="str">
        <ns0:v>WAVE-030-08</ns0:v>
      </ns0:c>
      <ns0:c r="D718" s="145" t="str">
        <ns0:v>广告锁定周转盒</ns0:v>
      </ns0:c>
      <ns0:c r="E718" s="152" t="n">
        <ns0:v>2</ns0:v>
      </ns0:c>
      <ns0:c r="F718" s="152" t="n">
        <ns0:v>4</ns0:v>
      </ns0:c>
      <ns0:c r="G718" s="152" t="n">
        <ns0:v>0</ns0:v>
      </ns0:c>
      <ns0:c r="H718" s="152" t="n">
        <ns0:v>0</ns0:v>
      </ns0:c>
      <ns0:c r="I718" s="149" t="n">
        <ns0:f>E718*G718</ns0:f>
        <ns0:v>0</ns0:v>
      </ns0:c>
      <ns0:c r="J718" s="149" t="n">
        <ns0:f>E718*(F718-G718)</ns0:f>
        <ns0:v>8</ns0:v>
      </ns0:c>
      <ns0:c r="K718" s="149" t="n">
        <ns0:f>IF(AND(B718="开局",G718=0,OR(D718="普通盒",D718="单颗暂存盒")),J718,0)</ns0:f>
        <ns0:v>0</ns0:v>
      </ns0:c>
      <ns0:c r="L718" s="149" t="n">
        <ns0:f>IF(AND(B718="开局",G718&gt;0,OR(D718="普通盒",D718="底部置顶盒",D718="炸弹盒")),J718,0)</ns0:f>
        <ns0:v>0</ns0:v>
      </ns0:c>
      <ns0:c r="M718" s="149" t="n">
        <ns0:f>IF(AND(B718="开局",OR(D718="固定颜色盒",D718="单向收纳盒")),J718,0)</ns0:f>
        <ns0:v>0</ns0:v>
      </ns0:c>
      <ns0:c r="N718" s="149" t="n">
        <ns0:f>IF(AND(B718="开局",OR(D718="数字盖盒",D718="普通冰冻盒",D718="数字冰冻盒",D718="数字冰冻单颗暂存盒")),J718,0)</ns0:f>
        <ns0:v>0</ns0:v>
      </ns0:c>
      <ns0:c r="O718" s="145" t="str">
        <ns0:f>IF(AND(E718&gt;0,E718=INT(E718),G718&gt;=0,G718&lt;=F718,G718=INT(G718),OR(AND(F718=1,OR(D718="单颗暂存盒",D718="数字冰冻单颗暂存盒")),AND(F718=4,NOT(OR(D718="单颗暂存盒",D718="数字冰冻单颗暂存盒")))),IF(OR(D718="数字盖盒",D718="数字冰冻盒",D718="数字冰冻单颗暂存盒"),AND(H718&gt;=1,H718=INT(H718)),H718=0),IF(B718="开局",AND(IF(OR(D718="数字盖盒",D718="普通冰冻盒",D718="数字冰冻盒",D718="炸弹盒",D718="底部置顶盒"),OR(G718=3,G718=4),TRUE),IF(OR(D718="单向收纳盒",D718="单颗暂存盒",D718="数字冰冻单颗暂存盒"),OR(G718=0,G718=1),TRUE),IF(OR(D718="固定颜色盒",D718="广告锁定周转盒"),G718=0,TRUE)),TRUE)),"通过","需调整")</ns0:f>
        <ns0:v>通过</ns0:v>
      </ns0:c>
      <ns0:c r="P718" s="145" t="str">
        <ns0:v>确认方案装量</ns0:v>
      </ns0:c>
      <ns0:c r="Q718" s="145" t="str">
        <ns0:v>普通盒容量4；单颗盒容量1；广告周转不计免费空间</ns0:v>
      </ns0:c>
      <ns0:c r="R718" s="149" t="n">
        <ns0:f>E718*H718</ns0:f>
        <ns0:v>0</ns0:v>
      </ns0:c>
    </ns0:row>
  </ns0:sheetData>
  <ns0:conditionalFormatting sqref="O6:O578">
    <ns0:cfRule type="containsText" dxfId="0" priority="1" operator="containsText" text="需调整"/>
  </ns0:conditionalFormatting>
  <ns0:conditionalFormatting sqref="O579:O718">
    <ns0:cfRule type="containsText" dxfId="1" priority="2" operator="containsText" text="需调整"/>
  </ns0:conditionalFormatting>
  <ns0:dataValidations count="10">
    <ns0:dataValidation type="list" sqref="B6:B578">
      <ns0:formula1>"开局,备货"</ns0:formula1>
    </ns0:dataValidation>
    <ns0:dataValidation type="list" sqref="D6:D578">
      <ns0:formula1>"普通盒,数字盖盒,普通冰冻盒,单颗暂存盒,数字冰冻盒,固定颜色盒,单向收纳盒,底部置顶盒,炸弹盒,数字冰冻单颗暂存盒,广告锁定周转盒"</ns0:formula1>
    </ns0:dataValidation>
    <ns0:dataValidation type="whole" operator="between" sqref="E6:E578">
      <ns0:formula1>1</ns0:formula1>
      <ns0:formula2>25</ns0:formula2>
    </ns0:dataValidation>
    <ns0:dataValidation type="whole" operator="between" sqref="G6:G578">
      <ns0:formula1>0</ns0:formula1>
      <ns0:formula2>4</ns0:formula2>
    </ns0:dataValidation>
    <ns0:dataValidation type="whole" operator="between" sqref="H6:H578">
      <ns0:formula1>0</ns0:formula1>
      <ns0:formula2>10</ns0:formula2>
    </ns0:dataValidation>
    <ns0:dataValidation type="list" sqref="B579:B718">
      <ns0:formula1>"开局,备货"</ns0:formula1>
    </ns0:dataValidation>
    <ns0:dataValidation type="list" sqref="D579:D718">
      <ns0:formula1>"普通盒,数字盖盒,普通冰冻盒,单颗暂存盒,数字冰冻盒,固定颜色盒,单向收纳盒,底部置顶盒,炸弹盒,数字冰冻单颗暂存盒,广告锁定周转盒"</ns0:formula1>
    </ns0:dataValidation>
    <ns0:dataValidation type="whole" operator="between" sqref="E579:E718">
      <ns0:formula1>1</ns0:formula1>
      <ns0:formula2>25</ns0:formula2>
    </ns0:dataValidation>
    <ns0:dataValidation type="whole" operator="between" sqref="G579:G718">
      <ns0:formula1>0</ns0:formula1>
      <ns0:formula2>4</ns0:formula2>
    </ns0:dataValidation>
    <ns0:dataValidation type="whole" operator="between" sqref="H579:H718">
      <ns0:formula1>0</ns0:formula1>
      <ns0:formula2>10</ns0:formula2>
    </ns0:dataValidation>
  </ns0:dataValidations>
  <ns0:pageMargins left="0.7" right="0.7" top="0.75" bottom="0.75" header="0.3" footer="0.3"/>
  <ns0:tableParts count="1">
    <ns0:tablePart ns1:id="Rf45eb75f60e047fe"/>
  </ns0:tableParts>
</ns0:worksheet>
</file>